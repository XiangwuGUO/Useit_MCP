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elop\New_Start\Excel\Excel_Mcp_Server\test_space\"/>
    </mc:Choice>
  </mc:AlternateContent>
  <xr:revisionPtr revIDLastSave="0" documentId="13_ncr:1_{499FF5C2-6E33-47F9-890D-6B9097B8AFEB}" xr6:coauthVersionLast="47" xr6:coauthVersionMax="47" xr10:uidLastSave="{00000000-0000-0000-0000-000000000000}"/>
  <bookViews>
    <workbookView xWindow="19103" yWindow="-1657" windowWidth="23234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F22" i="1"/>
  <c r="E22" i="1"/>
  <c r="F21" i="1"/>
  <c r="E21" i="1"/>
  <c r="F20" i="1"/>
  <c r="E20" i="1"/>
  <c r="F19" i="1"/>
  <c r="F18" i="1"/>
  <c r="D16" i="1"/>
  <c r="E16" i="1" s="1"/>
  <c r="F15" i="1"/>
  <c r="F14" i="1"/>
  <c r="D14" i="1"/>
  <c r="E14" i="1" s="1"/>
  <c r="F13" i="1"/>
  <c r="D13" i="1"/>
  <c r="D15" i="1" s="1"/>
  <c r="M12" i="1"/>
  <c r="F12" i="1"/>
  <c r="E12" i="1"/>
  <c r="D12" i="1"/>
  <c r="F11" i="1"/>
  <c r="E11" i="1"/>
  <c r="F10" i="1"/>
  <c r="E10" i="1"/>
  <c r="F9" i="1"/>
  <c r="E9" i="1"/>
  <c r="G8" i="1"/>
  <c r="G9" i="1" s="1"/>
  <c r="F8" i="1"/>
  <c r="E8" i="1"/>
  <c r="J8" i="1" s="1"/>
  <c r="J7" i="1"/>
  <c r="G7" i="1"/>
  <c r="I7" i="1" s="1"/>
  <c r="F7" i="1"/>
  <c r="E7" i="1"/>
  <c r="I6" i="1"/>
  <c r="F6" i="1"/>
  <c r="E6" i="1"/>
  <c r="J6" i="1" s="1"/>
  <c r="F5" i="1"/>
  <c r="E5" i="1"/>
  <c r="G4" i="1"/>
  <c r="I4" i="1" s="1"/>
  <c r="F4" i="1"/>
  <c r="E4" i="1"/>
  <c r="J4" i="1" s="1"/>
  <c r="G3" i="1"/>
  <c r="J3" i="1" s="1"/>
  <c r="F3" i="1"/>
  <c r="E3" i="1"/>
  <c r="J2" i="1"/>
  <c r="I2" i="1"/>
  <c r="F2" i="1"/>
  <c r="E2" i="1"/>
  <c r="D17" i="1" l="1"/>
  <c r="E17" i="1" s="1"/>
  <c r="E15" i="1"/>
  <c r="D19" i="1"/>
  <c r="E19" i="1" s="1"/>
  <c r="I9" i="1"/>
  <c r="G10" i="1"/>
  <c r="J9" i="1"/>
  <c r="J10" i="1"/>
  <c r="D18" i="1"/>
  <c r="E18" i="1" s="1"/>
  <c r="I3" i="1"/>
  <c r="E13" i="1"/>
  <c r="I8" i="1"/>
  <c r="G5" i="1"/>
  <c r="I5" i="1" s="1"/>
  <c r="I10" i="1" l="1"/>
  <c r="G11" i="1"/>
  <c r="J5" i="1"/>
  <c r="J11" i="1" l="1"/>
  <c r="G12" i="1"/>
  <c r="I11" i="1"/>
  <c r="I12" i="1" l="1"/>
  <c r="G13" i="1"/>
  <c r="J12" i="1"/>
  <c r="I13" i="1" l="1"/>
  <c r="G14" i="1"/>
  <c r="J13" i="1"/>
  <c r="G15" i="1" l="1"/>
  <c r="I14" i="1"/>
  <c r="J14" i="1"/>
  <c r="G16" i="1" l="1"/>
  <c r="I15" i="1"/>
  <c r="J15" i="1"/>
  <c r="I16" i="1" l="1"/>
  <c r="G17" i="1"/>
  <c r="J16" i="1"/>
  <c r="I17" i="1" l="1"/>
  <c r="G18" i="1"/>
  <c r="J17" i="1"/>
  <c r="G19" i="1" l="1"/>
  <c r="I18" i="1"/>
  <c r="J18" i="1"/>
  <c r="G20" i="1" l="1"/>
  <c r="I19" i="1"/>
  <c r="J19" i="1"/>
  <c r="G21" i="1" l="1"/>
  <c r="I20" i="1"/>
  <c r="J20" i="1"/>
  <c r="G22" i="1" l="1"/>
  <c r="I21" i="1"/>
  <c r="J21" i="1"/>
  <c r="G23" i="1" l="1"/>
  <c r="I22" i="1"/>
  <c r="J22" i="1"/>
  <c r="I23" i="1" l="1"/>
  <c r="J23" i="1"/>
</calcChain>
</file>

<file path=xl/sharedStrings.xml><?xml version="1.0" encoding="utf-8"?>
<sst xmlns="http://schemas.openxmlformats.org/spreadsheetml/2006/main" count="20" uniqueCount="20">
  <si>
    <t>桩号m</t>
  </si>
  <si>
    <t>地面线</t>
  </si>
  <si>
    <t>地面</t>
    <phoneticPr fontId="0" type="noConversion"/>
  </si>
  <si>
    <t>比降</t>
    <phoneticPr fontId="0" type="noConversion"/>
  </si>
  <si>
    <t>渠底</t>
    <phoneticPr fontId="0" type="noConversion"/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</si>
  <si>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</si>
  <si>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</si>
  <si>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</si>
  <si>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</si>
  <si>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</si>
  <si>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</si>
  <si>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</si>
  <si>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</si>
  <si>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</si>
  <si>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</si>
  <si>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K0+460</t>
  </si>
  <si>
    <t>K0+464</t>
  </si>
  <si>
    <t>K0+500</t>
  </si>
  <si>
    <t>K0+550</t>
  </si>
  <si>
    <t>K0+600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</si>
</sst>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"/>
  <sheetViews>
    <sheetView tabSelected="1" workbookViewId="0">
      <selection activeCell="N15" sqref="N15"/>
    </sheetView>
  </sheetViews>
  <sheetFormatPr defaultRowHeight="14.4" x14ac:dyDescent="0.3"/>
  <cols>
    <col min="2" max="2" width="8.88671875" style="4"/>
  </cols>
  <sheetData>
    <row r="1" spans="2:13" x14ac:dyDescent="0.3">
      <c r="B1" s="4" t="s">
        <v>0</v>
      </c>
      <c r="D1" t="s">
        <v>1</v>
      </c>
      <c r="E1" t="s">
        <v>2</v>
      </c>
      <c r="F1" t="s">
        <v>3</v>
      </c>
      <c r="G1" t="s">
        <v>4</v>
      </c>
      <c r="J1" s="1"/>
      <c r="M1" s="2"/>
    </row>
    <row r="2" spans="2:13" x14ac:dyDescent="0.3">
      <c r="B2" s="4" t="s">
        <v>5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2:13" x14ac:dyDescent="0.3">
      <c r="B3" s="4" t="s">
        <v>6</v>
      </c>
      <c r="C3" s="3">
        <v>10</v>
      </c>
      <c r="D3">
        <v>1730.0229999999999</v>
      </c>
      <c r="E3">
        <f t="shared" ref="E3:E15" si="1">ROUND(D3,2)</f>
        <v>1730.02</v>
      </c>
      <c r="F3" t="str">
        <f t="shared" ref="F3:F15" si="2">"1/"&amp;ROUND(1/K3,0)</f>
        <v>1/100</v>
      </c>
      <c r="G3">
        <f>E2-K2*(C3-C2)</f>
        <v>1730.16</v>
      </c>
      <c r="H3">
        <v>1730.16</v>
      </c>
      <c r="I3">
        <f t="shared" ref="I3:I11" si="3">G3-H3</f>
        <v>0</v>
      </c>
      <c r="J3" s="1">
        <f t="shared" si="0"/>
        <v>-0.14000000000010004</v>
      </c>
      <c r="K3">
        <v>0.01</v>
      </c>
    </row>
    <row r="4" spans="2:13" x14ac:dyDescent="0.3">
      <c r="B4" s="4" t="s">
        <v>7</v>
      </c>
      <c r="C4" s="3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2:13" x14ac:dyDescent="0.3">
      <c r="B5" s="4" t="s">
        <v>8</v>
      </c>
      <c r="C5" s="3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2:13" x14ac:dyDescent="0.3">
      <c r="B6" s="4" t="s">
        <v>9</v>
      </c>
      <c r="C6" s="3">
        <v>30</v>
      </c>
      <c r="D6">
        <v>1729.5830000000001</v>
      </c>
      <c r="E6">
        <f t="shared" si="1"/>
        <v>1729.58</v>
      </c>
      <c r="F6" t="str">
        <f t="shared" si="2"/>
        <v>1/500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2E-3</v>
      </c>
      <c r="L6">
        <v>1728.08</v>
      </c>
    </row>
    <row r="7" spans="2:13" x14ac:dyDescent="0.3">
      <c r="B7" s="4" t="s">
        <v>10</v>
      </c>
      <c r="C7" s="3">
        <v>40</v>
      </c>
      <c r="D7">
        <v>1729.3009999999999</v>
      </c>
      <c r="E7">
        <f t="shared" si="1"/>
        <v>1729.3</v>
      </c>
      <c r="F7" t="str">
        <f t="shared" si="2"/>
        <v>1/500</v>
      </c>
      <c r="G7">
        <f t="shared" ref="G7:G15" si="4">ROUND(G6-(C7-C6)*K6,2)</f>
        <v>1727.98</v>
      </c>
      <c r="H7">
        <v>1727.98</v>
      </c>
      <c r="I7">
        <f t="shared" si="3"/>
        <v>0</v>
      </c>
      <c r="J7" s="1">
        <f t="shared" si="0"/>
        <v>1.3199999999999363</v>
      </c>
      <c r="K7">
        <v>2E-3</v>
      </c>
      <c r="L7">
        <v>1728.06</v>
      </c>
    </row>
    <row r="8" spans="2:13" x14ac:dyDescent="0.3">
      <c r="B8" s="4" t="s">
        <v>11</v>
      </c>
      <c r="C8" s="3">
        <v>50</v>
      </c>
      <c r="D8">
        <v>1728.903</v>
      </c>
      <c r="E8">
        <f t="shared" si="1"/>
        <v>1728.9</v>
      </c>
      <c r="F8" t="str">
        <f t="shared" si="2"/>
        <v>1/500</v>
      </c>
      <c r="G8">
        <f t="shared" si="4"/>
        <v>1727.96</v>
      </c>
      <c r="H8">
        <v>1727.96</v>
      </c>
      <c r="I8">
        <f t="shared" si="3"/>
        <v>0</v>
      </c>
      <c r="J8" s="1">
        <f>E8-G8</f>
        <v>0.94000000000005457</v>
      </c>
      <c r="K8">
        <v>2E-3</v>
      </c>
      <c r="L8">
        <v>1728.04</v>
      </c>
    </row>
    <row r="9" spans="2:13" x14ac:dyDescent="0.3">
      <c r="B9" s="4" t="s">
        <v>12</v>
      </c>
      <c r="C9" s="3">
        <v>100</v>
      </c>
      <c r="D9">
        <v>1729.7280000000001</v>
      </c>
      <c r="E9">
        <f t="shared" si="1"/>
        <v>1729.73</v>
      </c>
      <c r="F9" t="str">
        <f t="shared" si="2"/>
        <v>1/500</v>
      </c>
      <c r="G9">
        <f t="shared" si="4"/>
        <v>1727.86</v>
      </c>
      <c r="H9">
        <v>1727.86</v>
      </c>
      <c r="I9">
        <f t="shared" si="3"/>
        <v>0</v>
      </c>
      <c r="J9" s="1">
        <f t="shared" si="0"/>
        <v>1.8700000000001182</v>
      </c>
      <c r="K9">
        <v>2E-3</v>
      </c>
      <c r="L9">
        <v>1727.94</v>
      </c>
    </row>
    <row r="10" spans="2:13" x14ac:dyDescent="0.3">
      <c r="B10" s="4" t="s">
        <v>13</v>
      </c>
      <c r="C10" s="3">
        <v>150</v>
      </c>
      <c r="D10">
        <v>1728.713</v>
      </c>
      <c r="E10">
        <f t="shared" si="1"/>
        <v>1728.71</v>
      </c>
      <c r="F10" t="str">
        <f t="shared" si="2"/>
        <v>1/500</v>
      </c>
      <c r="G10">
        <f t="shared" si="4"/>
        <v>1727.76</v>
      </c>
      <c r="H10">
        <v>1727.76</v>
      </c>
      <c r="I10">
        <f t="shared" si="3"/>
        <v>0</v>
      </c>
      <c r="J10" s="1">
        <f t="shared" si="0"/>
        <v>0.95000000000004547</v>
      </c>
      <c r="K10">
        <v>2E-3</v>
      </c>
      <c r="L10">
        <v>1727.84</v>
      </c>
    </row>
    <row r="11" spans="2:13" x14ac:dyDescent="0.3">
      <c r="B11" s="4" t="s">
        <v>14</v>
      </c>
      <c r="C11" s="3">
        <v>200</v>
      </c>
      <c r="D11">
        <v>1727.885</v>
      </c>
      <c r="E11">
        <f t="shared" si="1"/>
        <v>1727.89</v>
      </c>
      <c r="F11" t="str">
        <f t="shared" si="2"/>
        <v>1/500</v>
      </c>
      <c r="G11">
        <f t="shared" si="4"/>
        <v>1727.66</v>
      </c>
      <c r="H11">
        <v>1727.66</v>
      </c>
      <c r="I11">
        <f t="shared" si="3"/>
        <v>0</v>
      </c>
      <c r="J11" s="1">
        <f t="shared" si="0"/>
        <v>0.23000000000001819</v>
      </c>
      <c r="K11">
        <v>2E-3</v>
      </c>
      <c r="L11">
        <v>1727.74</v>
      </c>
    </row>
    <row r="12" spans="2:13" x14ac:dyDescent="0.3">
      <c r="C12" s="3">
        <v>250</v>
      </c>
      <c r="D12">
        <f>D11-0.014*(C12-C11)</f>
        <v>1727.1849999999999</v>
      </c>
      <c r="E12">
        <f t="shared" si="1"/>
        <v>1727.19</v>
      </c>
      <c r="F12" t="str">
        <f t="shared" si="2"/>
        <v>1/500</v>
      </c>
      <c r="G12">
        <f t="shared" si="4"/>
        <v>1727.56</v>
      </c>
      <c r="H12">
        <v>1725.36</v>
      </c>
      <c r="I12">
        <f>G12-H12</f>
        <v>2.2000000000000455</v>
      </c>
      <c r="J12" s="1">
        <f>E12-G12</f>
        <v>-0.36999999999989086</v>
      </c>
      <c r="K12">
        <v>2E-3</v>
      </c>
      <c r="L12">
        <v>1725.73</v>
      </c>
      <c r="M12">
        <f>D11-D21</f>
        <v>4.4259999999999309</v>
      </c>
    </row>
    <row r="13" spans="2:13" x14ac:dyDescent="0.3">
      <c r="C13" s="3">
        <v>300</v>
      </c>
      <c r="D13">
        <f>D11-0.014*(C13-C11)</f>
        <v>1726.4849999999999</v>
      </c>
      <c r="E13">
        <f t="shared" si="1"/>
        <v>1726.49</v>
      </c>
      <c r="F13" t="str">
        <f t="shared" si="2"/>
        <v>1/500</v>
      </c>
      <c r="G13">
        <f t="shared" si="4"/>
        <v>1727.46</v>
      </c>
      <c r="H13">
        <v>1725.26</v>
      </c>
      <c r="I13">
        <f>G13-H13</f>
        <v>2.2000000000000455</v>
      </c>
      <c r="J13" s="1">
        <f>E13-G13</f>
        <v>-0.97000000000002728</v>
      </c>
      <c r="K13">
        <v>2E-3</v>
      </c>
      <c r="L13">
        <v>1725.56</v>
      </c>
    </row>
    <row r="14" spans="2:13" x14ac:dyDescent="0.3">
      <c r="C14" s="3">
        <v>350</v>
      </c>
      <c r="D14">
        <f>D12-0.014*(C14-C12)</f>
        <v>1725.7849999999999</v>
      </c>
      <c r="E14">
        <f t="shared" si="1"/>
        <v>1725.79</v>
      </c>
      <c r="F14" t="str">
        <f t="shared" si="2"/>
        <v>1/500</v>
      </c>
      <c r="G14">
        <f t="shared" si="4"/>
        <v>1727.36</v>
      </c>
      <c r="H14">
        <v>1725.16</v>
      </c>
      <c r="I14">
        <f>G14-H14</f>
        <v>2.1999999999998181</v>
      </c>
      <c r="J14" s="1">
        <f>E14-G14</f>
        <v>-1.5699999999999363</v>
      </c>
      <c r="K14">
        <v>2E-3</v>
      </c>
      <c r="L14">
        <v>1725.36</v>
      </c>
    </row>
    <row r="15" spans="2:13" x14ac:dyDescent="0.3">
      <c r="C15" s="3">
        <v>400</v>
      </c>
      <c r="D15">
        <f>D13-0.014*(C15-C13)</f>
        <v>1725.0849999999998</v>
      </c>
      <c r="E15">
        <f t="shared" si="1"/>
        <v>1725.09</v>
      </c>
      <c r="F15" t="str">
        <f t="shared" si="2"/>
        <v>1/500</v>
      </c>
      <c r="G15">
        <f t="shared" si="4"/>
        <v>1727.26</v>
      </c>
      <c r="H15">
        <v>1725.06</v>
      </c>
      <c r="I15">
        <f>G15-H15</f>
        <v>2.2000000000000455</v>
      </c>
      <c r="J15" s="1">
        <f>E15-G15</f>
        <v>-2.1700000000000728</v>
      </c>
      <c r="K15">
        <v>2E-3</v>
      </c>
      <c r="L15">
        <v>1725.16</v>
      </c>
    </row>
    <row r="16" spans="2:13" x14ac:dyDescent="0.3">
      <c r="C16" s="3">
        <v>420</v>
      </c>
      <c r="D16">
        <f t="shared" ref="D16:D17" si="5">D14-0.014*(C16-C14)</f>
        <v>1724.8049999999998</v>
      </c>
      <c r="E16">
        <f>ROUND(D16,2)</f>
        <v>1724.81</v>
      </c>
      <c r="G16">
        <f>ROUND(G15-(C16-C15)*K15,2)</f>
        <v>1727.22</v>
      </c>
      <c r="H16">
        <v>1725.02</v>
      </c>
      <c r="I16">
        <f t="shared" ref="I16:I23" si="6">G16-H16</f>
        <v>2.2000000000000455</v>
      </c>
      <c r="J16" s="1">
        <f t="shared" ref="J16:J23" si="7">E16-G16</f>
        <v>-2.4100000000000819</v>
      </c>
      <c r="K16">
        <v>2E-3</v>
      </c>
      <c r="L16">
        <v>1725.02</v>
      </c>
    </row>
    <row r="17" spans="2:12" x14ac:dyDescent="0.3">
      <c r="C17" s="3">
        <v>423</v>
      </c>
      <c r="D17">
        <f t="shared" si="5"/>
        <v>1724.7629999999999</v>
      </c>
      <c r="E17">
        <f>ROUND(D17,2)</f>
        <v>1724.76</v>
      </c>
      <c r="G17">
        <f>G16-2.2</f>
        <v>1725.02</v>
      </c>
      <c r="H17">
        <v>1725.02</v>
      </c>
      <c r="I17">
        <f t="shared" si="6"/>
        <v>0</v>
      </c>
      <c r="J17" s="1">
        <f t="shared" si="7"/>
        <v>-0.25999999999999091</v>
      </c>
      <c r="K17">
        <v>2E-3</v>
      </c>
      <c r="L17">
        <v>1722.81</v>
      </c>
    </row>
    <row r="18" spans="2:12" x14ac:dyDescent="0.3">
      <c r="C18" s="3">
        <v>430</v>
      </c>
      <c r="D18">
        <f>D14-0.014*(C18-C14)</f>
        <v>1724.665</v>
      </c>
      <c r="E18">
        <f t="shared" ref="E18:E23" si="8">ROUND(D18,2)</f>
        <v>1724.67</v>
      </c>
      <c r="F18" t="str">
        <f t="shared" ref="F18:F23" si="9">"1/"&amp;ROUND(1/K18,0)</f>
        <v>1/500</v>
      </c>
      <c r="G18">
        <f>ROUND(G17-(C18-C17-5)*K17,2)</f>
        <v>1725.02</v>
      </c>
      <c r="H18">
        <v>1722.82</v>
      </c>
      <c r="I18">
        <f t="shared" si="6"/>
        <v>2.2000000000000455</v>
      </c>
      <c r="J18" s="1">
        <f t="shared" si="7"/>
        <v>-0.34999999999990905</v>
      </c>
      <c r="K18">
        <v>2E-3</v>
      </c>
      <c r="L18">
        <v>1722.8</v>
      </c>
    </row>
    <row r="19" spans="2:12" x14ac:dyDescent="0.3">
      <c r="B19" s="4" t="s">
        <v>15</v>
      </c>
      <c r="C19" s="3">
        <v>460</v>
      </c>
      <c r="D19">
        <f>D15-0.014*(C19-C15)</f>
        <v>1724.2449999999999</v>
      </c>
      <c r="E19">
        <f t="shared" si="8"/>
        <v>1724.25</v>
      </c>
      <c r="F19" t="str">
        <f t="shared" si="9"/>
        <v>1/500</v>
      </c>
      <c r="G19">
        <f t="shared" ref="G19:G23" si="10">ROUND(G18-(C19-C18)*K18,2)</f>
        <v>1724.96</v>
      </c>
      <c r="H19">
        <v>1722.76</v>
      </c>
      <c r="I19">
        <f t="shared" si="6"/>
        <v>2.2000000000000455</v>
      </c>
      <c r="J19" s="1">
        <f t="shared" si="7"/>
        <v>-0.71000000000003638</v>
      </c>
      <c r="K19">
        <v>2E-3</v>
      </c>
      <c r="L19">
        <v>1722.74</v>
      </c>
    </row>
    <row r="20" spans="2:12" x14ac:dyDescent="0.3">
      <c r="B20" s="4" t="s">
        <v>16</v>
      </c>
      <c r="C20" s="3">
        <v>464</v>
      </c>
      <c r="D20">
        <v>1724.03</v>
      </c>
      <c r="E20">
        <f t="shared" si="8"/>
        <v>1724.03</v>
      </c>
      <c r="F20" t="str">
        <f t="shared" si="9"/>
        <v>1/500</v>
      </c>
      <c r="G20">
        <f t="shared" si="10"/>
        <v>1724.95</v>
      </c>
      <c r="H20">
        <v>1722.75</v>
      </c>
      <c r="I20">
        <f t="shared" si="6"/>
        <v>2.2000000000000455</v>
      </c>
      <c r="J20" s="1">
        <f t="shared" si="7"/>
        <v>-0.92000000000007276</v>
      </c>
      <c r="K20">
        <v>2E-3</v>
      </c>
      <c r="L20">
        <v>1722.73</v>
      </c>
    </row>
    <row r="21" spans="2:12" x14ac:dyDescent="0.3">
      <c r="B21" s="4" t="s">
        <v>17</v>
      </c>
      <c r="C21" s="3">
        <v>500</v>
      </c>
      <c r="D21">
        <v>1723.4590000000001</v>
      </c>
      <c r="E21">
        <f t="shared" si="8"/>
        <v>1723.46</v>
      </c>
      <c r="F21" t="str">
        <f t="shared" si="9"/>
        <v>1/500</v>
      </c>
      <c r="G21">
        <f t="shared" si="10"/>
        <v>1724.88</v>
      </c>
      <c r="H21">
        <v>1722.68</v>
      </c>
      <c r="I21">
        <f t="shared" si="6"/>
        <v>2.2000000000000455</v>
      </c>
      <c r="J21" s="1">
        <f t="shared" si="7"/>
        <v>-1.4200000000000728</v>
      </c>
      <c r="K21">
        <v>2E-3</v>
      </c>
      <c r="L21">
        <v>1722.66</v>
      </c>
    </row>
    <row r="22" spans="2:12" x14ac:dyDescent="0.3">
      <c r="B22" s="4" t="s">
        <v>18</v>
      </c>
      <c r="C22" s="3">
        <v>550</v>
      </c>
      <c r="D22">
        <v>1722.885</v>
      </c>
      <c r="E22">
        <f t="shared" si="8"/>
        <v>1722.89</v>
      </c>
      <c r="F22" t="str">
        <f t="shared" si="9"/>
        <v>1/500</v>
      </c>
      <c r="G22">
        <f t="shared" si="10"/>
        <v>1724.78</v>
      </c>
      <c r="H22">
        <v>1722.58</v>
      </c>
      <c r="I22">
        <f t="shared" si="6"/>
        <v>2.2000000000000455</v>
      </c>
      <c r="J22" s="1">
        <f t="shared" si="7"/>
        <v>-1.8899999999998727</v>
      </c>
      <c r="K22">
        <v>2E-3</v>
      </c>
      <c r="L22">
        <v>1722.56</v>
      </c>
    </row>
    <row r="23" spans="2:12" x14ac:dyDescent="0.3">
      <c r="B23" s="4" t="s">
        <v>19</v>
      </c>
      <c r="C23" s="3">
        <v>600</v>
      </c>
      <c r="D23">
        <v>1722.3789999999999</v>
      </c>
      <c r="E23">
        <f t="shared" si="8"/>
        <v>1722.38</v>
      </c>
      <c r="F23" t="str">
        <f t="shared" si="9"/>
        <v>1/500</v>
      </c>
      <c r="G23">
        <f t="shared" si="10"/>
        <v>1724.68</v>
      </c>
      <c r="H23">
        <v>1722.48</v>
      </c>
      <c r="I23">
        <f t="shared" si="6"/>
        <v>2.2000000000000455</v>
      </c>
      <c r="J23" s="1">
        <f t="shared" si="7"/>
        <v>-2.2999999999999545</v>
      </c>
      <c r="K23">
        <v>2E-3</v>
      </c>
      <c r="L23">
        <v>1722.46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Xiangwu</dc:creator>
  <cp:lastModifiedBy>Guo Xiangwu</cp:lastModifiedBy>
  <dcterms:created xsi:type="dcterms:W3CDTF">2015-06-05T18:19:34Z</dcterms:created>
  <dcterms:modified xsi:type="dcterms:W3CDTF">2025-11-17T13:48:21Z</dcterms:modified>
</cp:coreProperties>
</file>