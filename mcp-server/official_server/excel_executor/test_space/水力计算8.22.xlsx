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7D90FB41-B36A-4F92-AFDC-93690917F51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heet1" sheetId="1" r:id="rId1"/>
    <sheet name="Sheet2" sheetId="16" r:id="rId2"/>
    <sheet name="建筑物统计" sheetId="15" r:id="rId3"/>
    <sheet name="试算" sheetId="2" r:id="rId4"/>
    <sheet name="干渠" sheetId="3" r:id="rId5"/>
    <sheet name="支渠" sheetId="4" r:id="rId6"/>
    <sheet name="1-1支渠" sheetId="5" r:id="rId7"/>
    <sheet name="1-2支渠" sheetId="6" r:id="rId8"/>
    <sheet name="1-3支渠" sheetId="7" r:id="rId9"/>
    <sheet name="1-4支渠" sheetId="8" r:id="rId10"/>
    <sheet name="1-5支渠" sheetId="9" r:id="rId11"/>
    <sheet name="斗渠" sheetId="10" r:id="rId12"/>
    <sheet name="2-支渠" sheetId="11" r:id="rId13"/>
    <sheet name="桥" sheetId="12" r:id="rId14"/>
    <sheet name="涵" sheetId="13" r:id="rId15"/>
    <sheet name="跌水" sheetId="1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6" l="1"/>
  <c r="J19" i="1"/>
  <c r="F12" i="16"/>
  <c r="E12" i="16"/>
  <c r="G13" i="1"/>
  <c r="G12" i="1"/>
  <c r="E12" i="1"/>
  <c r="D14" i="1"/>
  <c r="E14" i="1"/>
  <c r="J13" i="1"/>
  <c r="G8" i="1"/>
  <c r="J3" i="1"/>
  <c r="G5" i="1"/>
  <c r="G4" i="1"/>
  <c r="G3" i="1"/>
  <c r="F3" i="1"/>
  <c r="D16" i="1"/>
  <c r="E13" i="1"/>
  <c r="M14" i="1"/>
  <c r="M15" i="1"/>
  <c r="D14" i="16"/>
  <c r="D16" i="16" s="1"/>
  <c r="D20" i="16" s="1"/>
  <c r="E20" i="16" s="1"/>
  <c r="J6" i="16"/>
  <c r="F24" i="16"/>
  <c r="E24" i="16"/>
  <c r="F23" i="16"/>
  <c r="E23" i="16"/>
  <c r="F22" i="16"/>
  <c r="E22" i="16"/>
  <c r="F21" i="16"/>
  <c r="E21" i="16"/>
  <c r="F20" i="16"/>
  <c r="F19" i="16"/>
  <c r="D15" i="1"/>
  <c r="D13" i="16"/>
  <c r="E13" i="16" s="1"/>
  <c r="E9" i="16"/>
  <c r="E10" i="16"/>
  <c r="E11" i="16"/>
  <c r="F16" i="16"/>
  <c r="F15" i="16"/>
  <c r="F14" i="16"/>
  <c r="M13" i="16"/>
  <c r="F13" i="16"/>
  <c r="F11" i="16"/>
  <c r="F10" i="16"/>
  <c r="F9" i="16"/>
  <c r="F8" i="16"/>
  <c r="E8" i="16"/>
  <c r="G7" i="16"/>
  <c r="I7" i="16" s="1"/>
  <c r="F7" i="16"/>
  <c r="E7" i="16"/>
  <c r="I6" i="16"/>
  <c r="F6" i="16"/>
  <c r="E6" i="16"/>
  <c r="F5" i="16"/>
  <c r="E5" i="16"/>
  <c r="F4" i="16"/>
  <c r="E4" i="16"/>
  <c r="F3" i="16"/>
  <c r="E3" i="16"/>
  <c r="I2" i="16"/>
  <c r="F2" i="16"/>
  <c r="E2" i="16"/>
  <c r="J2" i="16" s="1"/>
  <c r="L236" i="11"/>
  <c r="M236" i="11"/>
  <c r="X64" i="6"/>
  <c r="J12" i="1" l="1"/>
  <c r="D18" i="16"/>
  <c r="E18" i="16" s="1"/>
  <c r="E16" i="16"/>
  <c r="D15" i="16"/>
  <c r="J7" i="16"/>
  <c r="E14" i="16"/>
  <c r="G3" i="16"/>
  <c r="I3" i="16" s="1"/>
  <c r="G8" i="16"/>
  <c r="I8" i="16" s="1"/>
  <c r="J3" i="16"/>
  <c r="G4" i="16"/>
  <c r="I4" i="16" s="1"/>
  <c r="G5" i="16"/>
  <c r="I5" i="16" s="1"/>
  <c r="I40" i="8"/>
  <c r="J51" i="7"/>
  <c r="I53" i="6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36" i="5"/>
  <c r="I50" i="5"/>
  <c r="D387" i="11"/>
  <c r="C387" i="11" s="1"/>
  <c r="N211" i="11"/>
  <c r="L237" i="11" s="1"/>
  <c r="M211" i="11"/>
  <c r="M237" i="11" s="1"/>
  <c r="H211" i="11"/>
  <c r="G211" i="11"/>
  <c r="H153" i="11"/>
  <c r="N92" i="11"/>
  <c r="M92" i="11"/>
  <c r="H92" i="11"/>
  <c r="G92" i="11"/>
  <c r="D48" i="11"/>
  <c r="C57" i="11"/>
  <c r="N34" i="11"/>
  <c r="M34" i="11"/>
  <c r="H34" i="11"/>
  <c r="G34" i="11"/>
  <c r="X23" i="6"/>
  <c r="Q71" i="5"/>
  <c r="AF5" i="5"/>
  <c r="AE5" i="5"/>
  <c r="D17" i="16" l="1"/>
  <c r="E17" i="16" s="1"/>
  <c r="D19" i="16"/>
  <c r="E19" i="16" s="1"/>
  <c r="E15" i="16"/>
  <c r="G9" i="16"/>
  <c r="J8" i="16"/>
  <c r="J4" i="16"/>
  <c r="J5" i="16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S3" i="4"/>
  <c r="J9" i="16" l="1"/>
  <c r="I9" i="16"/>
  <c r="G10" i="16"/>
  <c r="K22" i="10"/>
  <c r="G11" i="16" l="1"/>
  <c r="G12" i="16" s="1"/>
  <c r="J10" i="16"/>
  <c r="I10" i="16"/>
  <c r="J26" i="15"/>
  <c r="D15" i="15"/>
  <c r="D17" i="15" s="1"/>
  <c r="E15" i="15"/>
  <c r="E17" i="15" s="1"/>
  <c r="F15" i="15"/>
  <c r="F17" i="15" s="1"/>
  <c r="G15" i="15"/>
  <c r="G17" i="15" s="1"/>
  <c r="H15" i="15"/>
  <c r="H17" i="15" s="1"/>
  <c r="C15" i="15"/>
  <c r="C17" i="15" s="1"/>
  <c r="I3" i="15"/>
  <c r="I4" i="15"/>
  <c r="I5" i="15"/>
  <c r="I6" i="15"/>
  <c r="I7" i="15"/>
  <c r="I8" i="15"/>
  <c r="I9" i="15"/>
  <c r="I10" i="15"/>
  <c r="I11" i="15"/>
  <c r="I12" i="15"/>
  <c r="I13" i="15"/>
  <c r="I14" i="15"/>
  <c r="I16" i="15"/>
  <c r="I2" i="15"/>
  <c r="K4" i="15"/>
  <c r="I12" i="16" l="1"/>
  <c r="J12" i="16"/>
  <c r="I11" i="16"/>
  <c r="J11" i="16"/>
  <c r="I15" i="15"/>
  <c r="J17" i="15"/>
  <c r="I13" i="16" l="1"/>
  <c r="J13" i="16"/>
  <c r="G14" i="16"/>
  <c r="I14" i="16" s="1"/>
  <c r="AB345" i="3"/>
  <c r="AF334" i="3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D406" i="11"/>
  <c r="AB352" i="3" s="1"/>
  <c r="G406" i="11"/>
  <c r="H406" i="11"/>
  <c r="I406" i="11"/>
  <c r="L406" i="11"/>
  <c r="P406" i="11" s="1"/>
  <c r="M406" i="11"/>
  <c r="Q406" i="11" s="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S392" i="11"/>
  <c r="M392" i="11"/>
  <c r="Q392" i="11" s="1"/>
  <c r="L392" i="11"/>
  <c r="P392" i="11" s="1"/>
  <c r="K392" i="11"/>
  <c r="G392" i="11"/>
  <c r="H392" i="11"/>
  <c r="I392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S336" i="11"/>
  <c r="M336" i="11"/>
  <c r="Q336" i="11" s="1"/>
  <c r="L336" i="11"/>
  <c r="P336" i="11" s="1"/>
  <c r="K336" i="11"/>
  <c r="G336" i="11"/>
  <c r="H336" i="11"/>
  <c r="I336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S288" i="11"/>
  <c r="M288" i="11"/>
  <c r="Q288" i="11" s="1"/>
  <c r="L288" i="11"/>
  <c r="P288" i="11" s="1"/>
  <c r="K288" i="11"/>
  <c r="G288" i="11"/>
  <c r="H288" i="11"/>
  <c r="I288" i="11"/>
  <c r="G237" i="11"/>
  <c r="H237" i="11"/>
  <c r="I237" i="11"/>
  <c r="K237" i="11"/>
  <c r="P237" i="11"/>
  <c r="Q237" i="11"/>
  <c r="S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S236" i="11"/>
  <c r="Q236" i="11"/>
  <c r="P236" i="11"/>
  <c r="K236" i="11"/>
  <c r="G236" i="11"/>
  <c r="H236" i="11"/>
  <c r="I236" i="11"/>
  <c r="G181" i="11"/>
  <c r="H181" i="11"/>
  <c r="I181" i="11"/>
  <c r="K181" i="11"/>
  <c r="L181" i="11"/>
  <c r="P181" i="11" s="1"/>
  <c r="M181" i="11"/>
  <c r="Q181" i="11" s="1"/>
  <c r="S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S180" i="11"/>
  <c r="M180" i="11"/>
  <c r="Q180" i="11" s="1"/>
  <c r="L180" i="11"/>
  <c r="P180" i="11" s="1"/>
  <c r="K180" i="11"/>
  <c r="G180" i="11"/>
  <c r="H180" i="11"/>
  <c r="I180" i="11"/>
  <c r="B416" i="11"/>
  <c r="B417" i="11"/>
  <c r="B418" i="11"/>
  <c r="Z352" i="3" s="1"/>
  <c r="B406" i="11"/>
  <c r="B407" i="11"/>
  <c r="B408" i="11"/>
  <c r="B409" i="11"/>
  <c r="B410" i="11"/>
  <c r="B411" i="11"/>
  <c r="B412" i="11"/>
  <c r="B413" i="11"/>
  <c r="B414" i="11"/>
  <c r="B415" i="11"/>
  <c r="G122" i="11"/>
  <c r="H122" i="11"/>
  <c r="I122" i="11"/>
  <c r="K122" i="11"/>
  <c r="L122" i="11"/>
  <c r="P122" i="11" s="1"/>
  <c r="M122" i="11"/>
  <c r="Q122" i="11" s="1"/>
  <c r="S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S121" i="11"/>
  <c r="M121" i="11"/>
  <c r="Q121" i="11" s="1"/>
  <c r="L121" i="11"/>
  <c r="P121" i="11" s="1"/>
  <c r="K121" i="11"/>
  <c r="I121" i="11"/>
  <c r="G121" i="11"/>
  <c r="H121" i="11"/>
  <c r="G63" i="11"/>
  <c r="H63" i="11"/>
  <c r="I63" i="11"/>
  <c r="K63" i="11"/>
  <c r="L63" i="11"/>
  <c r="P63" i="11" s="1"/>
  <c r="M63" i="11"/>
  <c r="Q63" i="11" s="1"/>
  <c r="S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D76" i="11"/>
  <c r="G76" i="11"/>
  <c r="H76" i="11"/>
  <c r="I76" i="11"/>
  <c r="K76" i="11"/>
  <c r="L76" i="11"/>
  <c r="P76" i="11" s="1"/>
  <c r="M76" i="11"/>
  <c r="Q76" i="11" s="1"/>
  <c r="S76" i="11"/>
  <c r="D77" i="11"/>
  <c r="G77" i="11"/>
  <c r="H77" i="11"/>
  <c r="I77" i="11"/>
  <c r="K77" i="11"/>
  <c r="L77" i="11"/>
  <c r="P77" i="11" s="1"/>
  <c r="M77" i="11"/>
  <c r="Q77" i="11" s="1"/>
  <c r="S77" i="11"/>
  <c r="G78" i="11"/>
  <c r="H78" i="11"/>
  <c r="I78" i="11"/>
  <c r="I79" i="11"/>
  <c r="L79" i="11"/>
  <c r="P79" i="11" s="1"/>
  <c r="M79" i="11"/>
  <c r="Q79" i="11" s="1"/>
  <c r="I80" i="11"/>
  <c r="I81" i="11"/>
  <c r="I82" i="11"/>
  <c r="I83" i="11"/>
  <c r="I84" i="11"/>
  <c r="S62" i="11"/>
  <c r="M62" i="11"/>
  <c r="Q62" i="11" s="1"/>
  <c r="L62" i="11"/>
  <c r="P62" i="11" s="1"/>
  <c r="K62" i="11"/>
  <c r="G62" i="11"/>
  <c r="H62" i="11"/>
  <c r="I62" i="11"/>
  <c r="B76" i="11"/>
  <c r="R38" i="9"/>
  <c r="R39" i="9"/>
  <c r="P40" i="9"/>
  <c r="Q40" i="9"/>
  <c r="R40" i="9"/>
  <c r="U40" i="9"/>
  <c r="Y40" i="9" s="1"/>
  <c r="R41" i="9"/>
  <c r="R42" i="9"/>
  <c r="P43" i="9"/>
  <c r="Q43" i="9"/>
  <c r="R43" i="9"/>
  <c r="U43" i="9"/>
  <c r="Y43" i="9" s="1"/>
  <c r="V43" i="9"/>
  <c r="Z43" i="9" s="1"/>
  <c r="R44" i="9"/>
  <c r="R45" i="9"/>
  <c r="R46" i="9"/>
  <c r="R47" i="9"/>
  <c r="R48" i="9"/>
  <c r="R49" i="9"/>
  <c r="R50" i="9"/>
  <c r="R51" i="9"/>
  <c r="R52" i="9"/>
  <c r="AB37" i="9"/>
  <c r="V37" i="9"/>
  <c r="Z37" i="9" s="1"/>
  <c r="U37" i="9"/>
  <c r="Y37" i="9" s="1"/>
  <c r="T37" i="9"/>
  <c r="P37" i="9"/>
  <c r="Q37" i="9"/>
  <c r="R37" i="9"/>
  <c r="R67" i="8"/>
  <c r="U67" i="8"/>
  <c r="Y67" i="8" s="1"/>
  <c r="V67" i="8"/>
  <c r="Z67" i="8" s="1"/>
  <c r="AB67" i="8"/>
  <c r="R68" i="8"/>
  <c r="AB68" i="8"/>
  <c r="R69" i="8"/>
  <c r="AB69" i="8"/>
  <c r="R70" i="8"/>
  <c r="AB70" i="8"/>
  <c r="R71" i="8"/>
  <c r="AB71" i="8"/>
  <c r="P72" i="8"/>
  <c r="Q72" i="8"/>
  <c r="R72" i="8"/>
  <c r="U72" i="8"/>
  <c r="Y72" i="8" s="1"/>
  <c r="V72" i="8"/>
  <c r="Z72" i="8" s="1"/>
  <c r="AB72" i="8"/>
  <c r="R73" i="8"/>
  <c r="AB73" i="8"/>
  <c r="R74" i="8"/>
  <c r="AB74" i="8"/>
  <c r="R75" i="8"/>
  <c r="AB75" i="8"/>
  <c r="R76" i="8"/>
  <c r="AB76" i="8"/>
  <c r="R77" i="8"/>
  <c r="AB77" i="8"/>
  <c r="R78" i="8"/>
  <c r="AB78" i="8"/>
  <c r="R79" i="8"/>
  <c r="AB79" i="8"/>
  <c r="P80" i="8"/>
  <c r="Q80" i="8"/>
  <c r="R80" i="8"/>
  <c r="AB80" i="8"/>
  <c r="R81" i="8"/>
  <c r="U81" i="8"/>
  <c r="Y81" i="8" s="1"/>
  <c r="V81" i="8"/>
  <c r="Z81" i="8" s="1"/>
  <c r="AB81" i="8"/>
  <c r="R82" i="8"/>
  <c r="AB82" i="8"/>
  <c r="R83" i="8"/>
  <c r="U83" i="8"/>
  <c r="Y83" i="8" s="1"/>
  <c r="V83" i="8"/>
  <c r="Z83" i="8" s="1"/>
  <c r="AB83" i="8"/>
  <c r="R84" i="8"/>
  <c r="AB84" i="8"/>
  <c r="M85" i="8"/>
  <c r="AB342" i="3" s="1"/>
  <c r="P85" i="8"/>
  <c r="Q85" i="8"/>
  <c r="R85" i="8"/>
  <c r="T85" i="8"/>
  <c r="U85" i="8"/>
  <c r="Y85" i="8" s="1"/>
  <c r="V85" i="8"/>
  <c r="Z85" i="8" s="1"/>
  <c r="AB85" i="8"/>
  <c r="R86" i="8"/>
  <c r="AB86" i="8"/>
  <c r="R87" i="8"/>
  <c r="AB87" i="8"/>
  <c r="R88" i="8"/>
  <c r="AB88" i="8"/>
  <c r="R89" i="8"/>
  <c r="AB89" i="8"/>
  <c r="R90" i="8"/>
  <c r="AB90" i="8"/>
  <c r="P91" i="8"/>
  <c r="Q91" i="8"/>
  <c r="R91" i="8"/>
  <c r="U91" i="8"/>
  <c r="Y91" i="8" s="1"/>
  <c r="V91" i="8"/>
  <c r="Z91" i="8" s="1"/>
  <c r="AB91" i="8"/>
  <c r="R92" i="8"/>
  <c r="AB92" i="8"/>
  <c r="R93" i="8"/>
  <c r="AB93" i="8"/>
  <c r="R94" i="8"/>
  <c r="AB94" i="8"/>
  <c r="R95" i="8"/>
  <c r="AB95" i="8"/>
  <c r="R96" i="8"/>
  <c r="AB96" i="8"/>
  <c r="R97" i="8"/>
  <c r="AB97" i="8"/>
  <c r="AB66" i="8"/>
  <c r="V66" i="8"/>
  <c r="Z66" i="8" s="1"/>
  <c r="U66" i="8"/>
  <c r="Y66" i="8" s="1"/>
  <c r="T66" i="8"/>
  <c r="R66" i="8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M77" i="7"/>
  <c r="AB340" i="3" s="1"/>
  <c r="P77" i="7"/>
  <c r="Q77" i="7"/>
  <c r="R77" i="7"/>
  <c r="T77" i="7"/>
  <c r="U77" i="7"/>
  <c r="Y77" i="7" s="1"/>
  <c r="V77" i="7"/>
  <c r="Z77" i="7" s="1"/>
  <c r="AB77" i="7"/>
  <c r="R78" i="7"/>
  <c r="R79" i="7"/>
  <c r="R80" i="7"/>
  <c r="U80" i="7"/>
  <c r="Y80" i="7" s="1"/>
  <c r="V80" i="7"/>
  <c r="Z80" i="7" s="1"/>
  <c r="R81" i="7"/>
  <c r="R82" i="7"/>
  <c r="R83" i="7"/>
  <c r="R84" i="7"/>
  <c r="R85" i="7"/>
  <c r="R86" i="7"/>
  <c r="R87" i="7"/>
  <c r="AB60" i="7"/>
  <c r="U60" i="7"/>
  <c r="Y60" i="7" s="1"/>
  <c r="V60" i="7"/>
  <c r="Z60" i="7" s="1"/>
  <c r="T60" i="7"/>
  <c r="P60" i="7"/>
  <c r="Q60" i="7"/>
  <c r="R60" i="7"/>
  <c r="R84" i="6"/>
  <c r="T84" i="6"/>
  <c r="AB84" i="6"/>
  <c r="R85" i="6"/>
  <c r="T85" i="6"/>
  <c r="AB85" i="6"/>
  <c r="R86" i="6"/>
  <c r="T86" i="6"/>
  <c r="AB86" i="6"/>
  <c r="R87" i="6"/>
  <c r="T87" i="6"/>
  <c r="AB87" i="6"/>
  <c r="R88" i="6"/>
  <c r="T88" i="6"/>
  <c r="AB88" i="6"/>
  <c r="R89" i="6"/>
  <c r="T89" i="6"/>
  <c r="AB89" i="6"/>
  <c r="R90" i="6"/>
  <c r="T90" i="6"/>
  <c r="AB90" i="6"/>
  <c r="R91" i="6"/>
  <c r="T91" i="6"/>
  <c r="AB91" i="6"/>
  <c r="R92" i="6"/>
  <c r="T92" i="6"/>
  <c r="AB92" i="6"/>
  <c r="Q93" i="6"/>
  <c r="R93" i="6"/>
  <c r="T93" i="6"/>
  <c r="U93" i="6"/>
  <c r="Y93" i="6" s="1"/>
  <c r="V93" i="6"/>
  <c r="Z93" i="6" s="1"/>
  <c r="AB93" i="6"/>
  <c r="R94" i="6"/>
  <c r="T94" i="6"/>
  <c r="AB94" i="6"/>
  <c r="R95" i="6"/>
  <c r="T95" i="6"/>
  <c r="AB95" i="6"/>
  <c r="R96" i="6"/>
  <c r="T96" i="6"/>
  <c r="AB96" i="6"/>
  <c r="R97" i="6"/>
  <c r="T97" i="6"/>
  <c r="AB97" i="6"/>
  <c r="R98" i="6"/>
  <c r="T98" i="6"/>
  <c r="AB98" i="6"/>
  <c r="R99" i="6"/>
  <c r="T99" i="6"/>
  <c r="AB99" i="6"/>
  <c r="R100" i="6"/>
  <c r="T100" i="6"/>
  <c r="AB100" i="6"/>
  <c r="P101" i="6"/>
  <c r="Q101" i="6"/>
  <c r="R101" i="6"/>
  <c r="T101" i="6"/>
  <c r="AB101" i="6"/>
  <c r="R102" i="6"/>
  <c r="T102" i="6"/>
  <c r="AB102" i="6"/>
  <c r="R103" i="6"/>
  <c r="T103" i="6"/>
  <c r="AB103" i="6"/>
  <c r="M104" i="6"/>
  <c r="AB338" i="3" s="1"/>
  <c r="P104" i="6"/>
  <c r="Q104" i="6"/>
  <c r="R104" i="6"/>
  <c r="T104" i="6"/>
  <c r="U104" i="6"/>
  <c r="Y104" i="6" s="1"/>
  <c r="V104" i="6"/>
  <c r="Z104" i="6" s="1"/>
  <c r="AB104" i="6"/>
  <c r="R105" i="6"/>
  <c r="T105" i="6"/>
  <c r="AB105" i="6"/>
  <c r="R106" i="6"/>
  <c r="T106" i="6"/>
  <c r="AB106" i="6"/>
  <c r="R107" i="6"/>
  <c r="T107" i="6"/>
  <c r="AB107" i="6"/>
  <c r="R108" i="6"/>
  <c r="T108" i="6"/>
  <c r="AB108" i="6"/>
  <c r="R109" i="6"/>
  <c r="T109" i="6"/>
  <c r="AB109" i="6"/>
  <c r="R110" i="6"/>
  <c r="T110" i="6"/>
  <c r="AB110" i="6"/>
  <c r="R111" i="6"/>
  <c r="T111" i="6"/>
  <c r="AB111" i="6"/>
  <c r="P112" i="6"/>
  <c r="Q112" i="6"/>
  <c r="R112" i="6"/>
  <c r="T112" i="6"/>
  <c r="U112" i="6"/>
  <c r="Y112" i="6" s="1"/>
  <c r="V112" i="6"/>
  <c r="Z112" i="6" s="1"/>
  <c r="AB112" i="6"/>
  <c r="R113" i="6"/>
  <c r="T113" i="6"/>
  <c r="AB113" i="6"/>
  <c r="R114" i="6"/>
  <c r="T114" i="6"/>
  <c r="AB114" i="6"/>
  <c r="R115" i="6"/>
  <c r="T115" i="6"/>
  <c r="AB115" i="6"/>
  <c r="R116" i="6"/>
  <c r="T116" i="6"/>
  <c r="AB116" i="6"/>
  <c r="P117" i="6"/>
  <c r="Q117" i="6"/>
  <c r="R117" i="6"/>
  <c r="T117" i="6"/>
  <c r="V117" i="6"/>
  <c r="Z117" i="6" s="1"/>
  <c r="AB117" i="6"/>
  <c r="R118" i="6"/>
  <c r="T118" i="6"/>
  <c r="AB118" i="6"/>
  <c r="R119" i="6"/>
  <c r="T119" i="6"/>
  <c r="AB119" i="6"/>
  <c r="R120" i="6"/>
  <c r="T120" i="6"/>
  <c r="AB120" i="6"/>
  <c r="R121" i="6"/>
  <c r="T121" i="6"/>
  <c r="AB121" i="6"/>
  <c r="R122" i="6"/>
  <c r="T122" i="6"/>
  <c r="AB122" i="6"/>
  <c r="R123" i="6"/>
  <c r="T123" i="6"/>
  <c r="AB123" i="6"/>
  <c r="R124" i="6"/>
  <c r="T124" i="6"/>
  <c r="AB124" i="6"/>
  <c r="AB83" i="6"/>
  <c r="V83" i="6"/>
  <c r="Z83" i="6" s="1"/>
  <c r="U83" i="6"/>
  <c r="Y83" i="6" s="1"/>
  <c r="T83" i="6"/>
  <c r="R83" i="6"/>
  <c r="P83" i="6"/>
  <c r="R118" i="5"/>
  <c r="R106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P98" i="5"/>
  <c r="Q98" i="5"/>
  <c r="R98" i="5"/>
  <c r="U98" i="5"/>
  <c r="Y98" i="5" s="1"/>
  <c r="V98" i="5"/>
  <c r="Z98" i="5" s="1"/>
  <c r="R99" i="5"/>
  <c r="R100" i="5"/>
  <c r="R101" i="5"/>
  <c r="R102" i="5"/>
  <c r="R103" i="5"/>
  <c r="R104" i="5"/>
  <c r="R105" i="5"/>
  <c r="M107" i="5"/>
  <c r="AB336" i="3" s="1"/>
  <c r="P107" i="5"/>
  <c r="Q107" i="5"/>
  <c r="R107" i="5"/>
  <c r="U107" i="5"/>
  <c r="Y107" i="5" s="1"/>
  <c r="R108" i="5"/>
  <c r="R109" i="5"/>
  <c r="R110" i="5"/>
  <c r="R111" i="5"/>
  <c r="R112" i="5"/>
  <c r="R113" i="5"/>
  <c r="R114" i="5"/>
  <c r="R115" i="5"/>
  <c r="R116" i="5"/>
  <c r="R117" i="5"/>
  <c r="R119" i="5"/>
  <c r="R120" i="5"/>
  <c r="AB83" i="5"/>
  <c r="V83" i="5"/>
  <c r="Z83" i="5" s="1"/>
  <c r="U83" i="5"/>
  <c r="Y83" i="5" s="1"/>
  <c r="T83" i="5"/>
  <c r="R83" i="5"/>
  <c r="P83" i="5"/>
  <c r="Q83" i="5"/>
  <c r="O24" i="12"/>
  <c r="O25" i="12"/>
  <c r="O26" i="12"/>
  <c r="O27" i="12"/>
  <c r="P18" i="12"/>
  <c r="E37" i="15"/>
  <c r="D37" i="15"/>
  <c r="C37" i="15"/>
  <c r="B37" i="15"/>
  <c r="I17" i="15"/>
  <c r="U27" i="12"/>
  <c r="G19" i="15"/>
  <c r="G15" i="16" l="1"/>
  <c r="I15" i="16" s="1"/>
  <c r="J14" i="16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G243" i="10"/>
  <c r="G244" i="10"/>
  <c r="G245" i="10"/>
  <c r="G246" i="10"/>
  <c r="G247" i="10"/>
  <c r="G248" i="10"/>
  <c r="G249" i="10"/>
  <c r="G250" i="10"/>
  <c r="G251" i="10"/>
  <c r="G252" i="10"/>
  <c r="G242" i="10"/>
  <c r="G235" i="10"/>
  <c r="G236" i="10"/>
  <c r="G237" i="10"/>
  <c r="G238" i="10"/>
  <c r="G239" i="10"/>
  <c r="G240" i="10"/>
  <c r="G241" i="10"/>
  <c r="G234" i="10"/>
  <c r="G226" i="10"/>
  <c r="G227" i="10"/>
  <c r="G228" i="10"/>
  <c r="G229" i="10"/>
  <c r="G230" i="10"/>
  <c r="G231" i="10"/>
  <c r="G232" i="10"/>
  <c r="G233" i="10"/>
  <c r="G225" i="10"/>
  <c r="G216" i="10"/>
  <c r="G217" i="10"/>
  <c r="G218" i="10"/>
  <c r="G219" i="10"/>
  <c r="G220" i="10"/>
  <c r="G221" i="10"/>
  <c r="G222" i="10"/>
  <c r="G223" i="10"/>
  <c r="G224" i="10"/>
  <c r="G215" i="10"/>
  <c r="G205" i="10"/>
  <c r="G206" i="10"/>
  <c r="G207" i="10"/>
  <c r="G208" i="10"/>
  <c r="G209" i="10"/>
  <c r="G210" i="10"/>
  <c r="G211" i="10"/>
  <c r="G212" i="10"/>
  <c r="G213" i="10"/>
  <c r="G214" i="10"/>
  <c r="G204" i="10"/>
  <c r="G193" i="10"/>
  <c r="G194" i="10"/>
  <c r="G195" i="10"/>
  <c r="G196" i="10"/>
  <c r="G197" i="10"/>
  <c r="G198" i="10"/>
  <c r="G199" i="10"/>
  <c r="G200" i="10"/>
  <c r="G201" i="10"/>
  <c r="G202" i="10"/>
  <c r="G203" i="10"/>
  <c r="G192" i="10"/>
  <c r="G189" i="10"/>
  <c r="G190" i="10"/>
  <c r="G191" i="10"/>
  <c r="B243" i="10"/>
  <c r="B244" i="10"/>
  <c r="B245" i="10"/>
  <c r="B246" i="10"/>
  <c r="B247" i="10"/>
  <c r="B248" i="10"/>
  <c r="B249" i="10"/>
  <c r="B250" i="10"/>
  <c r="B251" i="10"/>
  <c r="B252" i="10"/>
  <c r="G181" i="10"/>
  <c r="G182" i="10"/>
  <c r="G183" i="10"/>
  <c r="G184" i="10"/>
  <c r="G185" i="10"/>
  <c r="G186" i="10"/>
  <c r="G187" i="10"/>
  <c r="G188" i="10"/>
  <c r="B242" i="10"/>
  <c r="B237" i="10"/>
  <c r="B238" i="10"/>
  <c r="B239" i="10"/>
  <c r="B240" i="10"/>
  <c r="B241" i="10"/>
  <c r="B236" i="10"/>
  <c r="B225" i="10"/>
  <c r="B226" i="10"/>
  <c r="B227" i="10"/>
  <c r="B228" i="10"/>
  <c r="B229" i="10"/>
  <c r="B230" i="10"/>
  <c r="B231" i="10"/>
  <c r="B232" i="10"/>
  <c r="B233" i="10"/>
  <c r="B234" i="10"/>
  <c r="B235" i="10"/>
  <c r="B224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09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196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81" i="10"/>
  <c r="E46" i="4"/>
  <c r="B14" i="15" s="1"/>
  <c r="G16" i="16" l="1"/>
  <c r="I16" i="16" s="1"/>
  <c r="J15" i="16"/>
  <c r="C408" i="3"/>
  <c r="A4" i="10"/>
  <c r="G17" i="16" l="1"/>
  <c r="I17" i="16" s="1"/>
  <c r="J16" i="16"/>
  <c r="E396" i="3"/>
  <c r="H396" i="3"/>
  <c r="I396" i="3"/>
  <c r="J396" i="3"/>
  <c r="L396" i="3"/>
  <c r="M396" i="3"/>
  <c r="U396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7" i="3"/>
  <c r="L398" i="3"/>
  <c r="L399" i="3"/>
  <c r="L400" i="3"/>
  <c r="L401" i="3"/>
  <c r="L402" i="3"/>
  <c r="L403" i="3"/>
  <c r="L404" i="3"/>
  <c r="L405" i="3"/>
  <c r="L333" i="3"/>
  <c r="E334" i="3"/>
  <c r="H334" i="3"/>
  <c r="I334" i="3"/>
  <c r="J334" i="3"/>
  <c r="M334" i="3"/>
  <c r="U334" i="3"/>
  <c r="E335" i="3"/>
  <c r="H335" i="3"/>
  <c r="I335" i="3"/>
  <c r="J335" i="3"/>
  <c r="M335" i="3"/>
  <c r="U335" i="3"/>
  <c r="E336" i="3"/>
  <c r="H336" i="3"/>
  <c r="I336" i="3"/>
  <c r="J336" i="3"/>
  <c r="M336" i="3"/>
  <c r="U336" i="3"/>
  <c r="E337" i="3"/>
  <c r="H337" i="3"/>
  <c r="I337" i="3"/>
  <c r="J337" i="3"/>
  <c r="M337" i="3"/>
  <c r="U337" i="3"/>
  <c r="E338" i="3"/>
  <c r="H338" i="3"/>
  <c r="I338" i="3"/>
  <c r="J338" i="3"/>
  <c r="M338" i="3"/>
  <c r="U338" i="3"/>
  <c r="E339" i="3"/>
  <c r="H339" i="3"/>
  <c r="I339" i="3"/>
  <c r="J339" i="3"/>
  <c r="M339" i="3"/>
  <c r="U339" i="3"/>
  <c r="E340" i="3"/>
  <c r="H340" i="3"/>
  <c r="I340" i="3"/>
  <c r="J340" i="3"/>
  <c r="M340" i="3"/>
  <c r="U340" i="3"/>
  <c r="E341" i="3"/>
  <c r="H341" i="3"/>
  <c r="I341" i="3"/>
  <c r="J341" i="3"/>
  <c r="M341" i="3"/>
  <c r="U341" i="3"/>
  <c r="E342" i="3"/>
  <c r="H342" i="3"/>
  <c r="I342" i="3"/>
  <c r="J342" i="3"/>
  <c r="M342" i="3"/>
  <c r="U342" i="3"/>
  <c r="E343" i="3"/>
  <c r="H343" i="3"/>
  <c r="I343" i="3"/>
  <c r="J343" i="3"/>
  <c r="M343" i="3"/>
  <c r="U343" i="3"/>
  <c r="E344" i="3"/>
  <c r="H344" i="3"/>
  <c r="I344" i="3"/>
  <c r="J344" i="3"/>
  <c r="M344" i="3"/>
  <c r="U344" i="3"/>
  <c r="E345" i="3"/>
  <c r="H345" i="3"/>
  <c r="I345" i="3"/>
  <c r="J345" i="3"/>
  <c r="M345" i="3"/>
  <c r="U345" i="3"/>
  <c r="E346" i="3"/>
  <c r="H346" i="3"/>
  <c r="I346" i="3"/>
  <c r="J346" i="3"/>
  <c r="M346" i="3"/>
  <c r="U346" i="3"/>
  <c r="E347" i="3"/>
  <c r="H347" i="3"/>
  <c r="I347" i="3"/>
  <c r="J347" i="3"/>
  <c r="M347" i="3"/>
  <c r="U347" i="3"/>
  <c r="E348" i="3"/>
  <c r="H348" i="3"/>
  <c r="I348" i="3"/>
  <c r="J348" i="3"/>
  <c r="M348" i="3"/>
  <c r="U348" i="3"/>
  <c r="E349" i="3"/>
  <c r="H349" i="3"/>
  <c r="I349" i="3"/>
  <c r="J349" i="3"/>
  <c r="M349" i="3"/>
  <c r="U349" i="3"/>
  <c r="E350" i="3"/>
  <c r="H350" i="3"/>
  <c r="I350" i="3"/>
  <c r="J350" i="3"/>
  <c r="M350" i="3"/>
  <c r="U350" i="3"/>
  <c r="E351" i="3"/>
  <c r="H351" i="3"/>
  <c r="I351" i="3"/>
  <c r="J351" i="3"/>
  <c r="M351" i="3"/>
  <c r="U351" i="3"/>
  <c r="E352" i="3"/>
  <c r="H352" i="3"/>
  <c r="I352" i="3"/>
  <c r="J352" i="3"/>
  <c r="M352" i="3"/>
  <c r="U352" i="3"/>
  <c r="E353" i="3"/>
  <c r="H353" i="3"/>
  <c r="I353" i="3"/>
  <c r="J353" i="3"/>
  <c r="M353" i="3"/>
  <c r="U353" i="3"/>
  <c r="E354" i="3"/>
  <c r="H354" i="3"/>
  <c r="I354" i="3"/>
  <c r="J354" i="3"/>
  <c r="M354" i="3"/>
  <c r="U354" i="3"/>
  <c r="E355" i="3"/>
  <c r="H355" i="3"/>
  <c r="I355" i="3"/>
  <c r="J355" i="3"/>
  <c r="M355" i="3"/>
  <c r="U355" i="3"/>
  <c r="E356" i="3"/>
  <c r="H356" i="3"/>
  <c r="I356" i="3"/>
  <c r="J356" i="3"/>
  <c r="M356" i="3"/>
  <c r="U356" i="3"/>
  <c r="E357" i="3"/>
  <c r="H357" i="3"/>
  <c r="I357" i="3"/>
  <c r="J357" i="3"/>
  <c r="M357" i="3"/>
  <c r="U357" i="3"/>
  <c r="E358" i="3"/>
  <c r="H358" i="3"/>
  <c r="I358" i="3"/>
  <c r="J358" i="3"/>
  <c r="M358" i="3"/>
  <c r="U358" i="3"/>
  <c r="E359" i="3"/>
  <c r="H359" i="3"/>
  <c r="I359" i="3"/>
  <c r="J359" i="3"/>
  <c r="M359" i="3"/>
  <c r="U359" i="3"/>
  <c r="E360" i="3"/>
  <c r="H360" i="3"/>
  <c r="I360" i="3"/>
  <c r="J360" i="3"/>
  <c r="M360" i="3"/>
  <c r="U360" i="3"/>
  <c r="E361" i="3"/>
  <c r="H361" i="3"/>
  <c r="I361" i="3"/>
  <c r="J361" i="3"/>
  <c r="M361" i="3"/>
  <c r="U361" i="3"/>
  <c r="E362" i="3"/>
  <c r="H362" i="3"/>
  <c r="I362" i="3"/>
  <c r="J362" i="3"/>
  <c r="M362" i="3"/>
  <c r="U362" i="3"/>
  <c r="E363" i="3"/>
  <c r="H363" i="3"/>
  <c r="I363" i="3"/>
  <c r="J363" i="3"/>
  <c r="M363" i="3"/>
  <c r="U363" i="3"/>
  <c r="E364" i="3"/>
  <c r="H364" i="3"/>
  <c r="I364" i="3"/>
  <c r="J364" i="3"/>
  <c r="M364" i="3"/>
  <c r="U364" i="3"/>
  <c r="E365" i="3"/>
  <c r="H365" i="3"/>
  <c r="I365" i="3"/>
  <c r="J365" i="3"/>
  <c r="M365" i="3"/>
  <c r="U365" i="3"/>
  <c r="E366" i="3"/>
  <c r="H366" i="3"/>
  <c r="I366" i="3"/>
  <c r="J366" i="3"/>
  <c r="M366" i="3"/>
  <c r="U366" i="3"/>
  <c r="E367" i="3"/>
  <c r="H367" i="3"/>
  <c r="I367" i="3"/>
  <c r="J367" i="3"/>
  <c r="M367" i="3"/>
  <c r="U367" i="3"/>
  <c r="E368" i="3"/>
  <c r="H368" i="3"/>
  <c r="I368" i="3"/>
  <c r="J368" i="3"/>
  <c r="M368" i="3"/>
  <c r="U368" i="3"/>
  <c r="E369" i="3"/>
  <c r="H369" i="3"/>
  <c r="I369" i="3"/>
  <c r="J369" i="3"/>
  <c r="M369" i="3"/>
  <c r="U369" i="3"/>
  <c r="E370" i="3"/>
  <c r="H370" i="3"/>
  <c r="I370" i="3"/>
  <c r="J370" i="3"/>
  <c r="M370" i="3"/>
  <c r="U370" i="3"/>
  <c r="E372" i="3"/>
  <c r="H372" i="3"/>
  <c r="I372" i="3"/>
  <c r="J372" i="3"/>
  <c r="M372" i="3"/>
  <c r="U372" i="3"/>
  <c r="E373" i="3"/>
  <c r="H373" i="3"/>
  <c r="I373" i="3"/>
  <c r="J373" i="3"/>
  <c r="M373" i="3"/>
  <c r="U373" i="3"/>
  <c r="E374" i="3"/>
  <c r="H374" i="3"/>
  <c r="I374" i="3"/>
  <c r="J374" i="3"/>
  <c r="M374" i="3"/>
  <c r="U374" i="3"/>
  <c r="E375" i="3"/>
  <c r="H375" i="3"/>
  <c r="I375" i="3"/>
  <c r="J375" i="3"/>
  <c r="M375" i="3"/>
  <c r="U375" i="3"/>
  <c r="E376" i="3"/>
  <c r="H376" i="3"/>
  <c r="I376" i="3"/>
  <c r="J376" i="3"/>
  <c r="M376" i="3"/>
  <c r="U376" i="3"/>
  <c r="E403" i="3"/>
  <c r="H403" i="3"/>
  <c r="I403" i="3"/>
  <c r="J403" i="3"/>
  <c r="M403" i="3"/>
  <c r="U403" i="3"/>
  <c r="E404" i="3"/>
  <c r="H404" i="3"/>
  <c r="I404" i="3"/>
  <c r="J404" i="3"/>
  <c r="M404" i="3"/>
  <c r="U404" i="3"/>
  <c r="E405" i="3"/>
  <c r="H405" i="3"/>
  <c r="I405" i="3"/>
  <c r="J405" i="3"/>
  <c r="M405" i="3"/>
  <c r="U405" i="3"/>
  <c r="E391" i="3"/>
  <c r="H391" i="3"/>
  <c r="I391" i="3"/>
  <c r="J391" i="3"/>
  <c r="M391" i="3"/>
  <c r="U391" i="3"/>
  <c r="E392" i="3"/>
  <c r="H392" i="3"/>
  <c r="I392" i="3"/>
  <c r="J392" i="3"/>
  <c r="M392" i="3"/>
  <c r="U392" i="3"/>
  <c r="E393" i="3"/>
  <c r="H393" i="3"/>
  <c r="I393" i="3"/>
  <c r="J393" i="3"/>
  <c r="M393" i="3"/>
  <c r="U393" i="3"/>
  <c r="E394" i="3"/>
  <c r="H394" i="3"/>
  <c r="I394" i="3"/>
  <c r="J394" i="3"/>
  <c r="M394" i="3"/>
  <c r="U394" i="3"/>
  <c r="E395" i="3"/>
  <c r="H395" i="3"/>
  <c r="I395" i="3"/>
  <c r="J395" i="3"/>
  <c r="M395" i="3"/>
  <c r="U395" i="3"/>
  <c r="E397" i="3"/>
  <c r="H397" i="3"/>
  <c r="I397" i="3"/>
  <c r="J397" i="3"/>
  <c r="M397" i="3"/>
  <c r="U397" i="3"/>
  <c r="E398" i="3"/>
  <c r="H398" i="3"/>
  <c r="I398" i="3"/>
  <c r="J398" i="3"/>
  <c r="M398" i="3"/>
  <c r="U398" i="3"/>
  <c r="E399" i="3"/>
  <c r="H399" i="3"/>
  <c r="I399" i="3"/>
  <c r="J399" i="3"/>
  <c r="M399" i="3"/>
  <c r="U399" i="3"/>
  <c r="E400" i="3"/>
  <c r="H400" i="3"/>
  <c r="I400" i="3"/>
  <c r="J400" i="3"/>
  <c r="M400" i="3"/>
  <c r="U400" i="3"/>
  <c r="E401" i="3"/>
  <c r="H401" i="3"/>
  <c r="I401" i="3"/>
  <c r="J401" i="3"/>
  <c r="M401" i="3"/>
  <c r="U401" i="3"/>
  <c r="E402" i="3"/>
  <c r="H402" i="3"/>
  <c r="I402" i="3"/>
  <c r="J402" i="3"/>
  <c r="M402" i="3"/>
  <c r="U402" i="3"/>
  <c r="E371" i="3"/>
  <c r="H371" i="3"/>
  <c r="I371" i="3"/>
  <c r="J371" i="3"/>
  <c r="M371" i="3"/>
  <c r="U371" i="3"/>
  <c r="E377" i="3"/>
  <c r="H377" i="3"/>
  <c r="I377" i="3"/>
  <c r="J377" i="3"/>
  <c r="M377" i="3"/>
  <c r="U377" i="3"/>
  <c r="E378" i="3"/>
  <c r="H378" i="3"/>
  <c r="I378" i="3"/>
  <c r="J378" i="3"/>
  <c r="M378" i="3"/>
  <c r="U378" i="3"/>
  <c r="E379" i="3"/>
  <c r="H379" i="3"/>
  <c r="I379" i="3"/>
  <c r="J379" i="3"/>
  <c r="M379" i="3"/>
  <c r="U379" i="3"/>
  <c r="E380" i="3"/>
  <c r="H380" i="3"/>
  <c r="I380" i="3"/>
  <c r="J380" i="3"/>
  <c r="M380" i="3"/>
  <c r="U380" i="3"/>
  <c r="E381" i="3"/>
  <c r="H381" i="3"/>
  <c r="I381" i="3"/>
  <c r="J381" i="3"/>
  <c r="M381" i="3"/>
  <c r="U381" i="3"/>
  <c r="E382" i="3"/>
  <c r="H382" i="3"/>
  <c r="I382" i="3"/>
  <c r="J382" i="3"/>
  <c r="M382" i="3"/>
  <c r="U382" i="3"/>
  <c r="E383" i="3"/>
  <c r="H383" i="3"/>
  <c r="I383" i="3"/>
  <c r="J383" i="3"/>
  <c r="M383" i="3"/>
  <c r="U383" i="3"/>
  <c r="E384" i="3"/>
  <c r="H384" i="3"/>
  <c r="I384" i="3"/>
  <c r="J384" i="3"/>
  <c r="M384" i="3"/>
  <c r="U384" i="3"/>
  <c r="E385" i="3"/>
  <c r="H385" i="3"/>
  <c r="I385" i="3"/>
  <c r="J385" i="3"/>
  <c r="M385" i="3"/>
  <c r="U385" i="3"/>
  <c r="E386" i="3"/>
  <c r="H386" i="3"/>
  <c r="I386" i="3"/>
  <c r="J386" i="3"/>
  <c r="M386" i="3"/>
  <c r="U386" i="3"/>
  <c r="E387" i="3"/>
  <c r="H387" i="3"/>
  <c r="I387" i="3"/>
  <c r="J387" i="3"/>
  <c r="M387" i="3"/>
  <c r="U387" i="3"/>
  <c r="E388" i="3"/>
  <c r="H388" i="3"/>
  <c r="I388" i="3"/>
  <c r="J388" i="3"/>
  <c r="M388" i="3"/>
  <c r="U388" i="3"/>
  <c r="E389" i="3"/>
  <c r="H389" i="3"/>
  <c r="I389" i="3"/>
  <c r="J389" i="3"/>
  <c r="M389" i="3"/>
  <c r="U389" i="3"/>
  <c r="E390" i="3"/>
  <c r="H390" i="3"/>
  <c r="I390" i="3"/>
  <c r="J390" i="3"/>
  <c r="M390" i="3"/>
  <c r="U390" i="3"/>
  <c r="U333" i="3"/>
  <c r="M333" i="3"/>
  <c r="J333" i="3"/>
  <c r="E333" i="3"/>
  <c r="H333" i="3"/>
  <c r="I333" i="3"/>
  <c r="J17" i="16" l="1"/>
  <c r="G18" i="16"/>
  <c r="I18" i="16" s="1"/>
  <c r="P396" i="3"/>
  <c r="Q396" i="3"/>
  <c r="G19" i="16" l="1"/>
  <c r="I19" i="16" s="1"/>
  <c r="J18" i="16"/>
  <c r="A100" i="10"/>
  <c r="A3" i="10" s="1"/>
  <c r="G20" i="16" l="1"/>
  <c r="I20" i="16" s="1"/>
  <c r="J19" i="16"/>
  <c r="I37" i="13"/>
  <c r="I38" i="13"/>
  <c r="I39" i="13"/>
  <c r="I40" i="13"/>
  <c r="I30" i="13"/>
  <c r="J20" i="16" l="1"/>
  <c r="G21" i="16"/>
  <c r="I21" i="16" s="1"/>
  <c r="E209" i="1"/>
  <c r="W374" i="11"/>
  <c r="W375" i="11"/>
  <c r="AA375" i="11"/>
  <c r="W376" i="11"/>
  <c r="AA376" i="11"/>
  <c r="W377" i="11"/>
  <c r="AA377" i="11"/>
  <c r="W378" i="11"/>
  <c r="AA378" i="11"/>
  <c r="W379" i="11"/>
  <c r="AA379" i="11"/>
  <c r="W380" i="11"/>
  <c r="AA380" i="11"/>
  <c r="W381" i="11"/>
  <c r="AA381" i="11"/>
  <c r="W382" i="11"/>
  <c r="AA382" i="11"/>
  <c r="W383" i="11"/>
  <c r="AA383" i="11"/>
  <c r="W384" i="11"/>
  <c r="AA384" i="11"/>
  <c r="W385" i="11"/>
  <c r="AA385" i="11"/>
  <c r="W386" i="11"/>
  <c r="AA386" i="11"/>
  <c r="O56" i="9"/>
  <c r="O100" i="8"/>
  <c r="F5" i="8"/>
  <c r="L100" i="8"/>
  <c r="I6" i="1"/>
  <c r="I163" i="1"/>
  <c r="I164" i="1"/>
  <c r="I165" i="1"/>
  <c r="I2" i="1"/>
  <c r="G22" i="16" l="1"/>
  <c r="I22" i="16" s="1"/>
  <c r="J21" i="16"/>
  <c r="O91" i="7"/>
  <c r="O143" i="7"/>
  <c r="O144" i="7"/>
  <c r="O145" i="7"/>
  <c r="O146" i="7"/>
  <c r="O147" i="7"/>
  <c r="O208" i="6"/>
  <c r="O209" i="6"/>
  <c r="O210" i="6"/>
  <c r="O211" i="6"/>
  <c r="O213" i="6"/>
  <c r="O214" i="6"/>
  <c r="O215" i="6"/>
  <c r="O216" i="6"/>
  <c r="O217" i="6"/>
  <c r="O218" i="6"/>
  <c r="Q202" i="5"/>
  <c r="Q203" i="5"/>
  <c r="Q205" i="5"/>
  <c r="Q206" i="5"/>
  <c r="Q207" i="5"/>
  <c r="Q208" i="5"/>
  <c r="Q209" i="5"/>
  <c r="Q211" i="5"/>
  <c r="Q212" i="5"/>
  <c r="Q213" i="5"/>
  <c r="G23" i="16" l="1"/>
  <c r="I23" i="16" s="1"/>
  <c r="J22" i="16"/>
  <c r="K50" i="7"/>
  <c r="S50" i="7"/>
  <c r="T50" i="7"/>
  <c r="Z50" i="7"/>
  <c r="K51" i="7"/>
  <c r="S51" i="7"/>
  <c r="T51" i="7"/>
  <c r="S85" i="7" s="1"/>
  <c r="Z51" i="7"/>
  <c r="K52" i="7"/>
  <c r="S52" i="7"/>
  <c r="T52" i="7"/>
  <c r="Z52" i="7"/>
  <c r="K53" i="7"/>
  <c r="S53" i="7"/>
  <c r="T53" i="7" s="1"/>
  <c r="S86" i="7" s="1"/>
  <c r="Z53" i="7"/>
  <c r="K54" i="7"/>
  <c r="K87" i="7" s="1"/>
  <c r="Z340" i="3" s="1"/>
  <c r="S54" i="7"/>
  <c r="T54" i="7" s="1"/>
  <c r="S87" i="7" s="1"/>
  <c r="Z54" i="7"/>
  <c r="K68" i="6"/>
  <c r="S68" i="6"/>
  <c r="T68" i="6" s="1"/>
  <c r="Z68" i="6"/>
  <c r="K69" i="6"/>
  <c r="K120" i="6" s="1"/>
  <c r="S69" i="6"/>
  <c r="T69" i="6" s="1"/>
  <c r="S120" i="6" s="1"/>
  <c r="Z69" i="6"/>
  <c r="K70" i="6"/>
  <c r="S70" i="6"/>
  <c r="T70" i="6" s="1"/>
  <c r="Z70" i="6"/>
  <c r="K71" i="6"/>
  <c r="K121" i="6" s="1"/>
  <c r="S71" i="6"/>
  <c r="T71" i="6" s="1"/>
  <c r="S121" i="6" s="1"/>
  <c r="Z71" i="6"/>
  <c r="K72" i="6"/>
  <c r="S72" i="6"/>
  <c r="T72" i="6" s="1"/>
  <c r="Z72" i="6"/>
  <c r="K73" i="6"/>
  <c r="K122" i="6" s="1"/>
  <c r="S73" i="6"/>
  <c r="T73" i="6" s="1"/>
  <c r="S122" i="6" s="1"/>
  <c r="Z73" i="6"/>
  <c r="K74" i="6"/>
  <c r="S74" i="6"/>
  <c r="T74" i="6" s="1"/>
  <c r="Z74" i="6"/>
  <c r="K75" i="6"/>
  <c r="K123" i="6" s="1"/>
  <c r="S75" i="6"/>
  <c r="T75" i="6" s="1"/>
  <c r="S123" i="6" s="1"/>
  <c r="Z75" i="6"/>
  <c r="K76" i="6"/>
  <c r="S76" i="6"/>
  <c r="T76" i="6" s="1"/>
  <c r="Z76" i="6"/>
  <c r="K77" i="6"/>
  <c r="S77" i="6"/>
  <c r="T77" i="6" s="1"/>
  <c r="S124" i="6" s="1"/>
  <c r="Z77" i="6"/>
  <c r="Z76" i="5"/>
  <c r="S76" i="5"/>
  <c r="T76" i="5" s="1"/>
  <c r="S120" i="5" s="1"/>
  <c r="Z67" i="5"/>
  <c r="Z68" i="5"/>
  <c r="Z69" i="5"/>
  <c r="Z70" i="5"/>
  <c r="Z71" i="5"/>
  <c r="Z72" i="5"/>
  <c r="Z73" i="5"/>
  <c r="Z74" i="5"/>
  <c r="Z75" i="5"/>
  <c r="S67" i="5"/>
  <c r="T67" i="5" s="1"/>
  <c r="S68" i="5"/>
  <c r="T68" i="5" s="1"/>
  <c r="S115" i="5" s="1"/>
  <c r="S69" i="5"/>
  <c r="T69" i="5" s="1"/>
  <c r="S70" i="5"/>
  <c r="T70" i="5" s="1"/>
  <c r="S116" i="5" s="1"/>
  <c r="S71" i="5"/>
  <c r="T71" i="5" s="1"/>
  <c r="S72" i="5"/>
  <c r="T72" i="5" s="1"/>
  <c r="S118" i="5" s="1"/>
  <c r="S73" i="5"/>
  <c r="T73" i="5" s="1"/>
  <c r="S74" i="5"/>
  <c r="T74" i="5" s="1"/>
  <c r="S119" i="5" s="1"/>
  <c r="S75" i="5"/>
  <c r="T75" i="5" s="1"/>
  <c r="K67" i="5"/>
  <c r="K68" i="5"/>
  <c r="K69" i="5"/>
  <c r="K70" i="5"/>
  <c r="K71" i="5"/>
  <c r="K72" i="5"/>
  <c r="K118" i="5" s="1"/>
  <c r="K73" i="5"/>
  <c r="K74" i="5"/>
  <c r="K75" i="5"/>
  <c r="K76" i="5"/>
  <c r="G24" i="16" l="1"/>
  <c r="I24" i="16" s="1"/>
  <c r="J23" i="16"/>
  <c r="K145" i="7"/>
  <c r="K144" i="7"/>
  <c r="K85" i="7"/>
  <c r="K146" i="7"/>
  <c r="K86" i="7"/>
  <c r="K143" i="7"/>
  <c r="K147" i="7"/>
  <c r="E37" i="4"/>
  <c r="B5" i="15" s="1"/>
  <c r="E36" i="4"/>
  <c r="B4" i="15" s="1"/>
  <c r="K124" i="6"/>
  <c r="Z338" i="3" s="1"/>
  <c r="S117" i="5"/>
  <c r="M207" i="5"/>
  <c r="K209" i="5"/>
  <c r="K212" i="5"/>
  <c r="K208" i="5"/>
  <c r="K207" i="5"/>
  <c r="K117" i="5"/>
  <c r="K211" i="5"/>
  <c r="K119" i="5"/>
  <c r="K206" i="5"/>
  <c r="K116" i="5"/>
  <c r="K203" i="5"/>
  <c r="K115" i="5"/>
  <c r="K213" i="5"/>
  <c r="K120" i="5"/>
  <c r="Z336" i="3" s="1"/>
  <c r="E35" i="4"/>
  <c r="K205" i="5"/>
  <c r="K202" i="5"/>
  <c r="D412" i="3"/>
  <c r="E412" i="3"/>
  <c r="G544" i="3"/>
  <c r="G545" i="3"/>
  <c r="G516" i="3"/>
  <c r="G430" i="3"/>
  <c r="G440" i="3"/>
  <c r="G515" i="3"/>
  <c r="K208" i="6"/>
  <c r="K209" i="6"/>
  <c r="K210" i="6"/>
  <c r="K211" i="6"/>
  <c r="K213" i="6"/>
  <c r="K214" i="6"/>
  <c r="K215" i="6"/>
  <c r="K216" i="6"/>
  <c r="K217" i="6"/>
  <c r="K218" i="6"/>
  <c r="Q145" i="5"/>
  <c r="E12" i="10"/>
  <c r="J24" i="16" l="1"/>
  <c r="B3" i="15"/>
  <c r="J10" i="10"/>
  <c r="J11" i="10"/>
  <c r="J12" i="10"/>
  <c r="J13" i="10"/>
  <c r="J14" i="10"/>
  <c r="J15" i="10"/>
  <c r="J16" i="10"/>
  <c r="J17" i="10"/>
  <c r="J18" i="10"/>
  <c r="J19" i="10"/>
  <c r="J20" i="10"/>
  <c r="J21" i="10"/>
  <c r="J24" i="10"/>
  <c r="J37" i="10" s="1"/>
  <c r="J25" i="10"/>
  <c r="J26" i="10"/>
  <c r="J27" i="10"/>
  <c r="J28" i="10"/>
  <c r="J29" i="10"/>
  <c r="J30" i="10"/>
  <c r="J31" i="10"/>
  <c r="J32" i="10"/>
  <c r="J33" i="10"/>
  <c r="J34" i="10"/>
  <c r="J35" i="10"/>
  <c r="J36" i="10"/>
  <c r="J39" i="10"/>
  <c r="J54" i="10" s="1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6" i="10"/>
  <c r="J68" i="10" s="1"/>
  <c r="J57" i="10"/>
  <c r="J58" i="10"/>
  <c r="J59" i="10"/>
  <c r="J60" i="10"/>
  <c r="J61" i="10"/>
  <c r="J62" i="10"/>
  <c r="J63" i="10"/>
  <c r="J64" i="10"/>
  <c r="J65" i="10"/>
  <c r="J66" i="10"/>
  <c r="J67" i="10"/>
  <c r="J70" i="10"/>
  <c r="J76" i="10" s="1"/>
  <c r="J71" i="10"/>
  <c r="J72" i="10"/>
  <c r="J73" i="10"/>
  <c r="J74" i="10"/>
  <c r="J75" i="10"/>
  <c r="J78" i="10"/>
  <c r="J100" i="10" s="1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2" i="10"/>
  <c r="J114" i="10" s="1"/>
  <c r="J103" i="10"/>
  <c r="J104" i="10"/>
  <c r="J105" i="10"/>
  <c r="J106" i="10"/>
  <c r="J107" i="10"/>
  <c r="J108" i="10"/>
  <c r="J109" i="10"/>
  <c r="J110" i="10"/>
  <c r="J111" i="10"/>
  <c r="J112" i="10"/>
  <c r="J113" i="10"/>
  <c r="J116" i="10"/>
  <c r="J127" i="10" s="1"/>
  <c r="J117" i="10"/>
  <c r="J118" i="10"/>
  <c r="J119" i="10"/>
  <c r="J120" i="10"/>
  <c r="J121" i="10"/>
  <c r="J122" i="10"/>
  <c r="J123" i="10"/>
  <c r="J124" i="10"/>
  <c r="J125" i="10"/>
  <c r="J126" i="10"/>
  <c r="J129" i="10"/>
  <c r="J139" i="10" s="1"/>
  <c r="J130" i="10"/>
  <c r="J131" i="10"/>
  <c r="J132" i="10"/>
  <c r="J133" i="10"/>
  <c r="J134" i="10"/>
  <c r="J135" i="10"/>
  <c r="J136" i="10"/>
  <c r="J137" i="10"/>
  <c r="J138" i="10"/>
  <c r="J141" i="10"/>
  <c r="J150" i="10" s="1"/>
  <c r="J142" i="10"/>
  <c r="J143" i="10"/>
  <c r="J144" i="10"/>
  <c r="J145" i="10"/>
  <c r="J146" i="10"/>
  <c r="J147" i="10"/>
  <c r="J148" i="10"/>
  <c r="J149" i="10"/>
  <c r="J152" i="10"/>
  <c r="J160" i="10" s="1"/>
  <c r="J153" i="10"/>
  <c r="J154" i="10"/>
  <c r="J155" i="10"/>
  <c r="J156" i="10"/>
  <c r="J157" i="10"/>
  <c r="J158" i="10"/>
  <c r="J159" i="10"/>
  <c r="J162" i="10"/>
  <c r="J174" i="10" s="1"/>
  <c r="J163" i="10"/>
  <c r="J164" i="10"/>
  <c r="J165" i="10"/>
  <c r="J166" i="10"/>
  <c r="J167" i="10"/>
  <c r="J168" i="10"/>
  <c r="J169" i="10"/>
  <c r="J170" i="10"/>
  <c r="J171" i="10"/>
  <c r="J172" i="10"/>
  <c r="J173" i="10"/>
  <c r="J9" i="10"/>
  <c r="J22" i="10" s="1"/>
  <c r="D4" i="4"/>
  <c r="D5" i="4"/>
  <c r="D3" i="4"/>
  <c r="C174" i="10"/>
  <c r="C160" i="10"/>
  <c r="C150" i="10"/>
  <c r="C139" i="10"/>
  <c r="C127" i="10"/>
  <c r="C114" i="10"/>
  <c r="C100" i="10"/>
  <c r="C76" i="10"/>
  <c r="C68" i="10"/>
  <c r="C54" i="10"/>
  <c r="C37" i="10"/>
  <c r="C22" i="10"/>
  <c r="D100" i="10" l="1"/>
  <c r="D7" i="10"/>
  <c r="C175" i="10"/>
  <c r="C176" i="10" s="1"/>
  <c r="J7" i="10"/>
  <c r="C177" i="10" l="1"/>
  <c r="B16" i="15"/>
  <c r="Q61" i="10"/>
  <c r="Q62" i="10" s="1"/>
  <c r="Q64" i="10" s="1"/>
  <c r="Q68" i="10" s="1"/>
  <c r="Q69" i="10" s="1"/>
  <c r="Q70" i="10" s="1"/>
  <c r="Q71" i="10" s="1"/>
  <c r="Q72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5" i="10" s="1"/>
  <c r="Q116" i="10" s="1"/>
  <c r="Q117" i="10" s="1"/>
  <c r="Q118" i="10" s="1"/>
  <c r="Q119" i="10" s="1"/>
  <c r="Q120" i="10" s="1"/>
  <c r="Q121" i="10" s="1"/>
  <c r="Q122" i="10" s="1"/>
  <c r="Q123" i="10" s="1"/>
  <c r="Q128" i="10" s="1"/>
  <c r="Q129" i="10" s="1"/>
  <c r="Q130" i="10" s="1"/>
  <c r="Q131" i="10" s="1"/>
  <c r="Q132" i="10" s="1"/>
  <c r="Q133" i="10" s="1"/>
  <c r="Q134" i="10" s="1"/>
  <c r="Q135" i="10" s="1"/>
  <c r="Q139" i="10" s="1"/>
  <c r="Q140" i="10" s="1"/>
  <c r="Q141" i="10" s="1"/>
  <c r="Q142" i="10" s="1"/>
  <c r="Q44" i="10"/>
  <c r="Q45" i="10" s="1"/>
  <c r="Q46" i="10" s="1"/>
  <c r="Q55" i="10" s="1"/>
  <c r="Q57" i="10" s="1"/>
  <c r="Q58" i="10" s="1"/>
  <c r="Q59" i="10" s="1"/>
  <c r="Q10" i="10"/>
  <c r="Q11" i="10" s="1"/>
  <c r="Q12" i="10" s="1"/>
  <c r="Q13" i="10" s="1"/>
  <c r="Q14" i="10" s="1"/>
  <c r="Q15" i="10" s="1"/>
  <c r="Q16" i="10" s="1"/>
  <c r="Q24" i="10" s="1"/>
  <c r="Q25" i="10" s="1"/>
  <c r="Q26" i="10" s="1"/>
  <c r="Q27" i="10" s="1"/>
  <c r="Q29" i="10" s="1"/>
  <c r="Q30" i="10" s="1"/>
  <c r="Q35" i="10" s="1"/>
  <c r="Q38" i="10" s="1"/>
  <c r="Q39" i="10" s="1"/>
  <c r="Q40" i="10" s="1"/>
  <c r="Q42" i="10" s="1"/>
  <c r="R134" i="10"/>
  <c r="R135" i="10"/>
  <c r="R139" i="10"/>
  <c r="R140" i="10"/>
  <c r="R141" i="10"/>
  <c r="R142" i="10"/>
  <c r="R133" i="10"/>
  <c r="R128" i="10"/>
  <c r="R129" i="10"/>
  <c r="R130" i="10"/>
  <c r="R131" i="10"/>
  <c r="R132" i="10"/>
  <c r="R119" i="10"/>
  <c r="R120" i="10"/>
  <c r="R121" i="10"/>
  <c r="R122" i="10"/>
  <c r="R123" i="10"/>
  <c r="R118" i="10"/>
  <c r="R108" i="10"/>
  <c r="R109" i="10"/>
  <c r="R115" i="10"/>
  <c r="R116" i="10"/>
  <c r="R117" i="10"/>
  <c r="R107" i="10"/>
  <c r="R100" i="10"/>
  <c r="R101" i="10"/>
  <c r="R102" i="10"/>
  <c r="R103" i="10"/>
  <c r="R104" i="10"/>
  <c r="R105" i="10"/>
  <c r="R106" i="10"/>
  <c r="R91" i="10"/>
  <c r="R84" i="10"/>
  <c r="R85" i="10"/>
  <c r="R86" i="10"/>
  <c r="R87" i="10"/>
  <c r="R88" i="10"/>
  <c r="R89" i="10"/>
  <c r="R90" i="10"/>
  <c r="R83" i="10"/>
  <c r="R64" i="10"/>
  <c r="R68" i="10"/>
  <c r="R69" i="10"/>
  <c r="R70" i="10"/>
  <c r="R71" i="10"/>
  <c r="R72" i="10"/>
  <c r="R76" i="10"/>
  <c r="R77" i="10"/>
  <c r="R78" i="10"/>
  <c r="R79" i="10"/>
  <c r="R80" i="10"/>
  <c r="R81" i="10"/>
  <c r="R82" i="10"/>
  <c r="R63" i="10"/>
  <c r="R61" i="10"/>
  <c r="R62" i="10"/>
  <c r="R60" i="10"/>
  <c r="R44" i="10"/>
  <c r="R45" i="10"/>
  <c r="R46" i="10"/>
  <c r="R55" i="10"/>
  <c r="R56" i="10"/>
  <c r="R57" i="10"/>
  <c r="R58" i="10"/>
  <c r="R59" i="10"/>
  <c r="R43" i="10"/>
  <c r="R35" i="10"/>
  <c r="R38" i="10"/>
  <c r="R39" i="10"/>
  <c r="R40" i="10"/>
  <c r="R41" i="10"/>
  <c r="R42" i="10"/>
  <c r="R31" i="10"/>
  <c r="R24" i="10"/>
  <c r="R25" i="10"/>
  <c r="R26" i="10"/>
  <c r="R27" i="10"/>
  <c r="R28" i="10"/>
  <c r="R29" i="10"/>
  <c r="R30" i="10"/>
  <c r="R23" i="10"/>
  <c r="R10" i="10"/>
  <c r="R11" i="10"/>
  <c r="R12" i="10"/>
  <c r="R13" i="10"/>
  <c r="R14" i="10"/>
  <c r="R15" i="10"/>
  <c r="R16" i="10"/>
  <c r="R9" i="10"/>
  <c r="P9" i="10"/>
  <c r="P10" i="10"/>
  <c r="P11" i="10"/>
  <c r="P12" i="10"/>
  <c r="P13" i="10"/>
  <c r="P14" i="10"/>
  <c r="P15" i="10"/>
  <c r="P16" i="10"/>
  <c r="P23" i="10"/>
  <c r="P24" i="10"/>
  <c r="P25" i="10"/>
  <c r="P26" i="10"/>
  <c r="P27" i="10"/>
  <c r="P28" i="10"/>
  <c r="P29" i="10"/>
  <c r="P30" i="10"/>
  <c r="P31" i="10"/>
  <c r="P35" i="10"/>
  <c r="P38" i="10"/>
  <c r="P39" i="10"/>
  <c r="P40" i="10"/>
  <c r="P41" i="10"/>
  <c r="P42" i="10"/>
  <c r="P43" i="10"/>
  <c r="P44" i="10"/>
  <c r="P45" i="10"/>
  <c r="P46" i="10"/>
  <c r="P55" i="10"/>
  <c r="P56" i="10"/>
  <c r="P57" i="10"/>
  <c r="P58" i="10"/>
  <c r="P59" i="10"/>
  <c r="P60" i="10"/>
  <c r="P61" i="10"/>
  <c r="P62" i="10"/>
  <c r="P63" i="10"/>
  <c r="P64" i="10"/>
  <c r="P68" i="10"/>
  <c r="P69" i="10"/>
  <c r="P70" i="10"/>
  <c r="P71" i="10"/>
  <c r="P72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100" i="10"/>
  <c r="P101" i="10"/>
  <c r="P102" i="10"/>
  <c r="P103" i="10"/>
  <c r="P104" i="10"/>
  <c r="P105" i="10"/>
  <c r="P106" i="10"/>
  <c r="P107" i="10"/>
  <c r="P108" i="10"/>
  <c r="P109" i="10"/>
  <c r="P115" i="10"/>
  <c r="P116" i="10"/>
  <c r="P117" i="10"/>
  <c r="P118" i="10"/>
  <c r="P119" i="10"/>
  <c r="P120" i="10"/>
  <c r="P121" i="10"/>
  <c r="P122" i="10"/>
  <c r="P123" i="10"/>
  <c r="P128" i="10"/>
  <c r="P129" i="10"/>
  <c r="P130" i="10"/>
  <c r="P131" i="10"/>
  <c r="P132" i="10"/>
  <c r="P133" i="10"/>
  <c r="P134" i="10"/>
  <c r="P135" i="10"/>
  <c r="P139" i="10"/>
  <c r="P140" i="10"/>
  <c r="P141" i="10"/>
  <c r="P142" i="10"/>
  <c r="O134" i="10"/>
  <c r="O135" i="10"/>
  <c r="O139" i="10"/>
  <c r="O140" i="10"/>
  <c r="O141" i="10"/>
  <c r="O142" i="10"/>
  <c r="O133" i="10"/>
  <c r="O128" i="10"/>
  <c r="O129" i="10"/>
  <c r="O130" i="10"/>
  <c r="O131" i="10"/>
  <c r="O132" i="10"/>
  <c r="O119" i="10"/>
  <c r="O120" i="10"/>
  <c r="O121" i="10"/>
  <c r="O122" i="10"/>
  <c r="O123" i="10"/>
  <c r="O118" i="10"/>
  <c r="O108" i="10"/>
  <c r="O109" i="10"/>
  <c r="O115" i="10"/>
  <c r="O116" i="10"/>
  <c r="O117" i="10"/>
  <c r="O107" i="10"/>
  <c r="O100" i="10"/>
  <c r="O101" i="10"/>
  <c r="O102" i="10"/>
  <c r="O103" i="10"/>
  <c r="O104" i="10"/>
  <c r="O105" i="10"/>
  <c r="O106" i="10"/>
  <c r="O91" i="10"/>
  <c r="O84" i="10"/>
  <c r="O85" i="10"/>
  <c r="O86" i="10"/>
  <c r="O87" i="10"/>
  <c r="O88" i="10"/>
  <c r="O89" i="10"/>
  <c r="O90" i="10"/>
  <c r="O83" i="10"/>
  <c r="O64" i="10"/>
  <c r="O68" i="10"/>
  <c r="O69" i="10"/>
  <c r="O70" i="10"/>
  <c r="O71" i="10"/>
  <c r="O72" i="10"/>
  <c r="O76" i="10"/>
  <c r="O77" i="10"/>
  <c r="O78" i="10"/>
  <c r="O79" i="10"/>
  <c r="O80" i="10"/>
  <c r="O81" i="10"/>
  <c r="O82" i="10"/>
  <c r="O63" i="10"/>
  <c r="O61" i="10"/>
  <c r="O62" i="10"/>
  <c r="O60" i="10"/>
  <c r="O44" i="10"/>
  <c r="O45" i="10"/>
  <c r="O46" i="10"/>
  <c r="O55" i="10"/>
  <c r="O56" i="10"/>
  <c r="O57" i="10"/>
  <c r="O58" i="10"/>
  <c r="O59" i="10"/>
  <c r="O43" i="10"/>
  <c r="O35" i="10"/>
  <c r="O38" i="10"/>
  <c r="O39" i="10"/>
  <c r="O40" i="10"/>
  <c r="O41" i="10"/>
  <c r="O42" i="10"/>
  <c r="O31" i="10"/>
  <c r="O24" i="10"/>
  <c r="O25" i="10"/>
  <c r="O26" i="10"/>
  <c r="O27" i="10"/>
  <c r="O28" i="10"/>
  <c r="O29" i="10"/>
  <c r="O30" i="10"/>
  <c r="O23" i="10"/>
  <c r="O10" i="10"/>
  <c r="O11" i="10"/>
  <c r="O12" i="10"/>
  <c r="O13" i="10"/>
  <c r="O14" i="10"/>
  <c r="O15" i="10"/>
  <c r="O16" i="10"/>
  <c r="O9" i="10"/>
  <c r="I20" i="13" l="1"/>
  <c r="I21" i="13"/>
  <c r="I22" i="13"/>
  <c r="I23" i="13"/>
  <c r="I24" i="13"/>
  <c r="I25" i="13"/>
  <c r="I26" i="13"/>
  <c r="I27" i="13"/>
  <c r="I31" i="13"/>
  <c r="I32" i="13"/>
  <c r="I33" i="13"/>
  <c r="I34" i="13"/>
  <c r="I35" i="13"/>
  <c r="I36" i="13"/>
  <c r="I19" i="13"/>
  <c r="H31" i="13"/>
  <c r="H32" i="13"/>
  <c r="H33" i="13"/>
  <c r="H34" i="13"/>
  <c r="H35" i="13"/>
  <c r="H36" i="13"/>
  <c r="H30" i="13"/>
  <c r="H20" i="13"/>
  <c r="H21" i="13"/>
  <c r="H23" i="13"/>
  <c r="H24" i="13"/>
  <c r="H25" i="13"/>
  <c r="H26" i="13"/>
  <c r="H27" i="13"/>
  <c r="H19" i="13"/>
  <c r="I9" i="13"/>
  <c r="I16" i="13" s="1"/>
  <c r="I10" i="13"/>
  <c r="I17" i="13" s="1"/>
  <c r="I11" i="13"/>
  <c r="I18" i="13" s="1"/>
  <c r="I8" i="13"/>
  <c r="I15" i="13" s="1"/>
  <c r="P17" i="12"/>
  <c r="P19" i="12"/>
  <c r="P20" i="12"/>
  <c r="P21" i="12"/>
  <c r="P22" i="12"/>
  <c r="P23" i="12"/>
  <c r="P28" i="12"/>
  <c r="P29" i="12"/>
  <c r="P32" i="12"/>
  <c r="P35" i="12"/>
  <c r="P36" i="12"/>
  <c r="P37" i="12"/>
  <c r="P38" i="12"/>
  <c r="P42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16" i="12"/>
  <c r="O62" i="12"/>
  <c r="O63" i="12"/>
  <c r="O64" i="12"/>
  <c r="O65" i="12"/>
  <c r="O66" i="12"/>
  <c r="O19" i="12"/>
  <c r="O20" i="12"/>
  <c r="O21" i="12"/>
  <c r="O22" i="12"/>
  <c r="O23" i="12"/>
  <c r="O28" i="12"/>
  <c r="O29" i="12"/>
  <c r="O32" i="12"/>
  <c r="O35" i="12"/>
  <c r="O36" i="12"/>
  <c r="O37" i="12"/>
  <c r="O38" i="12"/>
  <c r="O42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16" i="12"/>
  <c r="O17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Q9" i="12"/>
  <c r="Q10" i="12"/>
  <c r="Q11" i="12"/>
  <c r="Q12" i="12"/>
  <c r="Q13" i="12"/>
  <c r="Q14" i="12"/>
  <c r="Q15" i="12"/>
  <c r="L9" i="12"/>
  <c r="J66" i="12"/>
  <c r="O9" i="12"/>
  <c r="J12" i="12"/>
  <c r="J14" i="12"/>
  <c r="J16" i="12"/>
  <c r="J18" i="12"/>
  <c r="J19" i="12"/>
  <c r="J36" i="12"/>
  <c r="J39" i="12"/>
  <c r="J53" i="12"/>
  <c r="J56" i="12"/>
  <c r="K65" i="12"/>
  <c r="K66" i="12"/>
  <c r="K67" i="12"/>
  <c r="P9" i="12"/>
  <c r="P10" i="12"/>
  <c r="P11" i="12"/>
  <c r="P12" i="12"/>
  <c r="P13" i="12"/>
  <c r="P14" i="12"/>
  <c r="P15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9" i="12"/>
  <c r="J9" i="12"/>
  <c r="F2" i="13"/>
  <c r="E2" i="13"/>
  <c r="H2" i="13" s="1"/>
  <c r="S376" i="11"/>
  <c r="Z376" i="11" s="1"/>
  <c r="S377" i="11"/>
  <c r="Z377" i="11" s="1"/>
  <c r="S378" i="11"/>
  <c r="Z378" i="11" s="1"/>
  <c r="S379" i="11"/>
  <c r="Z379" i="11" s="1"/>
  <c r="S380" i="11"/>
  <c r="Z380" i="11" s="1"/>
  <c r="S381" i="11"/>
  <c r="Z381" i="11" s="1"/>
  <c r="S382" i="11"/>
  <c r="Z382" i="11" s="1"/>
  <c r="S383" i="11"/>
  <c r="Z383" i="11" s="1"/>
  <c r="S384" i="11"/>
  <c r="Z384" i="11" s="1"/>
  <c r="S385" i="11"/>
  <c r="Z385" i="11" s="1"/>
  <c r="S386" i="11"/>
  <c r="Z386" i="11" s="1"/>
  <c r="S375" i="11"/>
  <c r="Z375" i="11" s="1"/>
  <c r="C43" i="2" l="1"/>
  <c r="C42" i="2"/>
  <c r="C39" i="2"/>
  <c r="C41" i="2"/>
  <c r="C40" i="2"/>
  <c r="G79" i="10" l="1"/>
  <c r="E79" i="10" s="1"/>
  <c r="G80" i="10"/>
  <c r="E80" i="10" s="1"/>
  <c r="G81" i="10"/>
  <c r="E81" i="10" s="1"/>
  <c r="G82" i="10"/>
  <c r="E82" i="10" s="1"/>
  <c r="G83" i="10"/>
  <c r="E83" i="10" s="1"/>
  <c r="G84" i="10"/>
  <c r="E84" i="10" s="1"/>
  <c r="G85" i="10"/>
  <c r="E85" i="10" s="1"/>
  <c r="G86" i="10"/>
  <c r="E86" i="10" s="1"/>
  <c r="G87" i="10"/>
  <c r="E87" i="10" s="1"/>
  <c r="G88" i="10"/>
  <c r="E88" i="10" s="1"/>
  <c r="G89" i="10"/>
  <c r="E89" i="10" s="1"/>
  <c r="G90" i="10"/>
  <c r="E90" i="10" s="1"/>
  <c r="G91" i="10"/>
  <c r="G102" i="10"/>
  <c r="E102" i="10" s="1"/>
  <c r="G103" i="10"/>
  <c r="E103" i="10" s="1"/>
  <c r="G104" i="10"/>
  <c r="E104" i="10" s="1"/>
  <c r="G105" i="10"/>
  <c r="E105" i="10" s="1"/>
  <c r="G106" i="10"/>
  <c r="E106" i="10" s="1"/>
  <c r="G107" i="10"/>
  <c r="E107" i="10" s="1"/>
  <c r="G108" i="10"/>
  <c r="E108" i="10" s="1"/>
  <c r="G109" i="10"/>
  <c r="G116" i="10"/>
  <c r="E116" i="10" s="1"/>
  <c r="G117" i="10"/>
  <c r="E117" i="10" s="1"/>
  <c r="G118" i="10"/>
  <c r="E118" i="10" s="1"/>
  <c r="G119" i="10"/>
  <c r="E119" i="10" s="1"/>
  <c r="G120" i="10"/>
  <c r="E120" i="10" s="1"/>
  <c r="G121" i="10"/>
  <c r="E121" i="10" s="1"/>
  <c r="G122" i="10"/>
  <c r="E122" i="10" s="1"/>
  <c r="G123" i="10"/>
  <c r="G129" i="10"/>
  <c r="E129" i="10" s="1"/>
  <c r="G130" i="10"/>
  <c r="E130" i="10" s="1"/>
  <c r="G131" i="10"/>
  <c r="E131" i="10" s="1"/>
  <c r="G132" i="10"/>
  <c r="E132" i="10" s="1"/>
  <c r="G133" i="10"/>
  <c r="E133" i="10" s="1"/>
  <c r="G134" i="10"/>
  <c r="E134" i="10" s="1"/>
  <c r="G135" i="10"/>
  <c r="G141" i="10"/>
  <c r="E141" i="10" s="1"/>
  <c r="G142" i="10"/>
  <c r="E142" i="10" s="1"/>
  <c r="G143" i="10"/>
  <c r="E143" i="10" s="1"/>
  <c r="G144" i="10"/>
  <c r="E144" i="10" s="1"/>
  <c r="G145" i="10"/>
  <c r="E145" i="10" s="1"/>
  <c r="G146" i="10"/>
  <c r="G152" i="10"/>
  <c r="E152" i="10" s="1"/>
  <c r="G153" i="10"/>
  <c r="E153" i="10" s="1"/>
  <c r="G154" i="10"/>
  <c r="E154" i="10" s="1"/>
  <c r="G155" i="10"/>
  <c r="E155" i="10" s="1"/>
  <c r="G156" i="10"/>
  <c r="E156" i="10" s="1"/>
  <c r="G157" i="10"/>
  <c r="G163" i="10"/>
  <c r="E163" i="10" s="1"/>
  <c r="G164" i="10"/>
  <c r="E164" i="10" s="1"/>
  <c r="G165" i="10"/>
  <c r="E165" i="10" s="1"/>
  <c r="G166" i="10"/>
  <c r="E166" i="10" s="1"/>
  <c r="G167" i="10"/>
  <c r="E167" i="10" s="1"/>
  <c r="G168" i="10"/>
  <c r="E168" i="10" s="1"/>
  <c r="G169" i="10"/>
  <c r="G78" i="10"/>
  <c r="E78" i="10" s="1"/>
  <c r="E69" i="10"/>
  <c r="E55" i="10"/>
  <c r="E38" i="10"/>
  <c r="E23" i="10"/>
  <c r="G25" i="10"/>
  <c r="E25" i="10" s="1"/>
  <c r="G26" i="10"/>
  <c r="E26" i="10" s="1"/>
  <c r="G27" i="10"/>
  <c r="E27" i="10" s="1"/>
  <c r="G28" i="10"/>
  <c r="E28" i="10" s="1"/>
  <c r="G29" i="10"/>
  <c r="E29" i="10" s="1"/>
  <c r="G30" i="10"/>
  <c r="E30" i="10" s="1"/>
  <c r="G31" i="10"/>
  <c r="G39" i="10"/>
  <c r="E39" i="10" s="1"/>
  <c r="G40" i="10"/>
  <c r="E40" i="10" s="1"/>
  <c r="G41" i="10"/>
  <c r="E41" i="10" s="1"/>
  <c r="G42" i="10"/>
  <c r="E42" i="10" s="1"/>
  <c r="G43" i="10"/>
  <c r="E43" i="10" s="1"/>
  <c r="G44" i="10"/>
  <c r="E44" i="10" s="1"/>
  <c r="G45" i="10"/>
  <c r="G56" i="10"/>
  <c r="E56" i="10" s="1"/>
  <c r="G57" i="10"/>
  <c r="E57" i="10" s="1"/>
  <c r="G58" i="10"/>
  <c r="E58" i="10" s="1"/>
  <c r="G59" i="10"/>
  <c r="E59" i="10" s="1"/>
  <c r="G60" i="10"/>
  <c r="E60" i="10" s="1"/>
  <c r="G61" i="10"/>
  <c r="E61" i="10" s="1"/>
  <c r="G62" i="10"/>
  <c r="E62" i="10" s="1"/>
  <c r="G63" i="10"/>
  <c r="E63" i="10" s="1"/>
  <c r="G64" i="10"/>
  <c r="G70" i="10"/>
  <c r="E70" i="10" s="1"/>
  <c r="G71" i="10"/>
  <c r="E71" i="10" s="1"/>
  <c r="G72" i="10"/>
  <c r="G24" i="10"/>
  <c r="E24" i="10" s="1"/>
  <c r="K386" i="11"/>
  <c r="J418" i="11" s="1"/>
  <c r="K385" i="11"/>
  <c r="J417" i="11" s="1"/>
  <c r="K384" i="11"/>
  <c r="J416" i="11" s="1"/>
  <c r="K383" i="11"/>
  <c r="J415" i="11" s="1"/>
  <c r="K382" i="11"/>
  <c r="J414" i="11" s="1"/>
  <c r="K381" i="11"/>
  <c r="J413" i="11" s="1"/>
  <c r="K380" i="11"/>
  <c r="J412" i="11" s="1"/>
  <c r="K379" i="11"/>
  <c r="J411" i="11" s="1"/>
  <c r="K378" i="11"/>
  <c r="J410" i="11" s="1"/>
  <c r="K377" i="11"/>
  <c r="J409" i="11" s="1"/>
  <c r="K376" i="11"/>
  <c r="J408" i="11" s="1"/>
  <c r="K375" i="11"/>
  <c r="J407" i="11" s="1"/>
  <c r="J41" i="2"/>
  <c r="R230" i="11"/>
  <c r="Q230" i="11" s="1"/>
  <c r="AA230" i="11" s="1"/>
  <c r="E135" i="10" l="1"/>
  <c r="E91" i="10"/>
  <c r="E169" i="10"/>
  <c r="E157" i="10"/>
  <c r="E146" i="10"/>
  <c r="E123" i="10"/>
  <c r="E109" i="10"/>
  <c r="E72" i="10"/>
  <c r="E64" i="10"/>
  <c r="E45" i="10"/>
  <c r="E31" i="10"/>
  <c r="B55" i="11"/>
  <c r="S47" i="11"/>
  <c r="Q47" i="11"/>
  <c r="O47" i="11"/>
  <c r="R76" i="11" s="1"/>
  <c r="F47" i="11"/>
  <c r="F76" i="11" s="1"/>
  <c r="C47" i="11"/>
  <c r="AA345" i="3" s="1"/>
  <c r="R361" i="11"/>
  <c r="S361" i="11" s="1"/>
  <c r="Z361" i="11" s="1"/>
  <c r="R362" i="11"/>
  <c r="Q362" i="11" s="1"/>
  <c r="AA362" i="11" s="1"/>
  <c r="R363" i="11"/>
  <c r="S363" i="11" s="1"/>
  <c r="Z363" i="11" s="1"/>
  <c r="R364" i="11"/>
  <c r="Q364" i="11" s="1"/>
  <c r="AA364" i="11" s="1"/>
  <c r="R365" i="11"/>
  <c r="S365" i="11" s="1"/>
  <c r="Z365" i="11" s="1"/>
  <c r="R366" i="11"/>
  <c r="Q366" i="11" s="1"/>
  <c r="AA366" i="11" s="1"/>
  <c r="R367" i="11"/>
  <c r="R368" i="11"/>
  <c r="R369" i="11"/>
  <c r="R370" i="11"/>
  <c r="R371" i="11"/>
  <c r="R372" i="11"/>
  <c r="R373" i="11"/>
  <c r="R374" i="11"/>
  <c r="R360" i="11"/>
  <c r="S360" i="11" s="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60" i="11"/>
  <c r="J362" i="11"/>
  <c r="J363" i="11" s="1"/>
  <c r="P361" i="11"/>
  <c r="N361" i="11"/>
  <c r="M361" i="11"/>
  <c r="L361" i="11"/>
  <c r="K361" i="11"/>
  <c r="J393" i="11" s="1"/>
  <c r="H361" i="11"/>
  <c r="G361" i="11"/>
  <c r="O360" i="11"/>
  <c r="R392" i="11" s="1"/>
  <c r="K360" i="11"/>
  <c r="J392" i="11" s="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53" i="11" s="1"/>
  <c r="Z350" i="3" s="1"/>
  <c r="B313" i="11"/>
  <c r="R314" i="11"/>
  <c r="S314" i="11" s="1"/>
  <c r="Z314" i="11" s="1"/>
  <c r="R315" i="11"/>
  <c r="S315" i="11" s="1"/>
  <c r="Z315" i="11" s="1"/>
  <c r="R316" i="11"/>
  <c r="S316" i="11" s="1"/>
  <c r="Z316" i="11" s="1"/>
  <c r="R317" i="11"/>
  <c r="S317" i="11" s="1"/>
  <c r="Z317" i="11" s="1"/>
  <c r="R318" i="11"/>
  <c r="S318" i="11" s="1"/>
  <c r="Z318" i="11" s="1"/>
  <c r="R319" i="11"/>
  <c r="S319" i="11" s="1"/>
  <c r="Z319" i="11" s="1"/>
  <c r="R320" i="11"/>
  <c r="S320" i="11" s="1"/>
  <c r="Z320" i="11" s="1"/>
  <c r="R321" i="11"/>
  <c r="S321" i="11" s="1"/>
  <c r="Z321" i="11" s="1"/>
  <c r="R322" i="11"/>
  <c r="S322" i="11" s="1"/>
  <c r="Z322" i="11" s="1"/>
  <c r="R323" i="11"/>
  <c r="Q323" i="11" s="1"/>
  <c r="AA323" i="11" s="1"/>
  <c r="R324" i="11"/>
  <c r="S324" i="11" s="1"/>
  <c r="Z324" i="11" s="1"/>
  <c r="R325" i="11"/>
  <c r="S325" i="11" s="1"/>
  <c r="Z325" i="11" s="1"/>
  <c r="R326" i="11"/>
  <c r="S326" i="11" s="1"/>
  <c r="Z326" i="11" s="1"/>
  <c r="R327" i="11"/>
  <c r="S327" i="11" s="1"/>
  <c r="Z327" i="11" s="1"/>
  <c r="R328" i="11"/>
  <c r="S328" i="11" s="1"/>
  <c r="Z328" i="11" s="1"/>
  <c r="R329" i="11"/>
  <c r="S329" i="11" s="1"/>
  <c r="Z329" i="11" s="1"/>
  <c r="R330" i="11"/>
  <c r="S330" i="11" s="1"/>
  <c r="Z330" i="11" s="1"/>
  <c r="R313" i="11"/>
  <c r="S313" i="11" s="1"/>
  <c r="J315" i="11"/>
  <c r="J316" i="11" s="1"/>
  <c r="P314" i="11"/>
  <c r="N314" i="11"/>
  <c r="M314" i="11"/>
  <c r="L314" i="11"/>
  <c r="K314" i="11"/>
  <c r="J337" i="11" s="1"/>
  <c r="H314" i="11"/>
  <c r="G314" i="11"/>
  <c r="O313" i="11"/>
  <c r="R336" i="11" s="1"/>
  <c r="K313" i="11"/>
  <c r="J336" i="11" s="1"/>
  <c r="N265" i="11"/>
  <c r="M265" i="11"/>
  <c r="P265" i="11"/>
  <c r="R265" i="11"/>
  <c r="Q265" i="11" s="1"/>
  <c r="AA265" i="11" s="1"/>
  <c r="R266" i="11"/>
  <c r="Q266" i="11" s="1"/>
  <c r="AA266" i="11" s="1"/>
  <c r="R267" i="11"/>
  <c r="S267" i="11" s="1"/>
  <c r="Z267" i="11" s="1"/>
  <c r="R268" i="11"/>
  <c r="R269" i="11"/>
  <c r="R270" i="11"/>
  <c r="R271" i="11"/>
  <c r="R272" i="11"/>
  <c r="R273" i="11"/>
  <c r="R274" i="11"/>
  <c r="R275" i="11"/>
  <c r="R276" i="11"/>
  <c r="R277" i="11"/>
  <c r="R278" i="11"/>
  <c r="R279" i="11"/>
  <c r="R280" i="11"/>
  <c r="R281" i="11"/>
  <c r="R282" i="11"/>
  <c r="R264" i="11"/>
  <c r="S264" i="11" s="1"/>
  <c r="G265" i="11"/>
  <c r="G289" i="11" s="1"/>
  <c r="H265" i="11"/>
  <c r="L265" i="11"/>
  <c r="K264" i="11"/>
  <c r="J288" i="11" s="1"/>
  <c r="O264" i="11"/>
  <c r="R288" i="11" s="1"/>
  <c r="R211" i="11"/>
  <c r="S211" i="11" s="1"/>
  <c r="Z211" i="11" s="1"/>
  <c r="X211" i="11" s="1"/>
  <c r="R212" i="11"/>
  <c r="S212" i="11" s="1"/>
  <c r="Z212" i="11" s="1"/>
  <c r="R213" i="11"/>
  <c r="S213" i="11" s="1"/>
  <c r="Z213" i="11" s="1"/>
  <c r="R214" i="11"/>
  <c r="S214" i="11" s="1"/>
  <c r="Z214" i="11" s="1"/>
  <c r="R215" i="11"/>
  <c r="Q215" i="11" s="1"/>
  <c r="AA215" i="11" s="1"/>
  <c r="R216" i="11"/>
  <c r="Q216" i="11" s="1"/>
  <c r="AA216" i="11" s="1"/>
  <c r="R217" i="11"/>
  <c r="Q217" i="11" s="1"/>
  <c r="AA217" i="11" s="1"/>
  <c r="R218" i="11"/>
  <c r="S218" i="11" s="1"/>
  <c r="Z218" i="11" s="1"/>
  <c r="R219" i="11"/>
  <c r="Q219" i="11" s="1"/>
  <c r="AA219" i="11" s="1"/>
  <c r="R220" i="11"/>
  <c r="Q220" i="11" s="1"/>
  <c r="AA220" i="11" s="1"/>
  <c r="R221" i="11"/>
  <c r="Q221" i="11" s="1"/>
  <c r="AA221" i="11" s="1"/>
  <c r="R222" i="11"/>
  <c r="Q222" i="11" s="1"/>
  <c r="AA222" i="11" s="1"/>
  <c r="R223" i="11"/>
  <c r="Q223" i="11" s="1"/>
  <c r="AA223" i="11" s="1"/>
  <c r="R224" i="11"/>
  <c r="Q224" i="11" s="1"/>
  <c r="AA224" i="11" s="1"/>
  <c r="R225" i="11"/>
  <c r="Q225" i="11" s="1"/>
  <c r="AA225" i="11" s="1"/>
  <c r="R226" i="11"/>
  <c r="Q226" i="11" s="1"/>
  <c r="AA226" i="11" s="1"/>
  <c r="R227" i="11"/>
  <c r="Q227" i="11" s="1"/>
  <c r="AA227" i="11" s="1"/>
  <c r="R228" i="11"/>
  <c r="Q228" i="11" s="1"/>
  <c r="AA228" i="11" s="1"/>
  <c r="R229" i="11"/>
  <c r="Q229" i="11" s="1"/>
  <c r="AA229" i="11" s="1"/>
  <c r="R210" i="11"/>
  <c r="Q210" i="11" s="1"/>
  <c r="AA210" i="11" s="1"/>
  <c r="K210" i="11"/>
  <c r="J236" i="11" s="1"/>
  <c r="O210" i="11"/>
  <c r="R236" i="11" s="1"/>
  <c r="Q173" i="11"/>
  <c r="Q174" i="11"/>
  <c r="Q172" i="11"/>
  <c r="R153" i="11"/>
  <c r="S153" i="11" s="1"/>
  <c r="R154" i="11"/>
  <c r="Q154" i="11" s="1"/>
  <c r="AA154" i="11" s="1"/>
  <c r="R155" i="11"/>
  <c r="S155" i="11" s="1"/>
  <c r="Z155" i="11" s="1"/>
  <c r="R156" i="11"/>
  <c r="S156" i="11" s="1"/>
  <c r="Z156" i="11" s="1"/>
  <c r="R157" i="11"/>
  <c r="Q157" i="11" s="1"/>
  <c r="AA157" i="11" s="1"/>
  <c r="R158" i="11"/>
  <c r="S158" i="11" s="1"/>
  <c r="Z158" i="11" s="1"/>
  <c r="R159" i="11"/>
  <c r="Q159" i="11" s="1"/>
  <c r="AA159" i="11" s="1"/>
  <c r="R160" i="11"/>
  <c r="S160" i="11" s="1"/>
  <c r="Z160" i="11" s="1"/>
  <c r="R161" i="11"/>
  <c r="S161" i="11" s="1"/>
  <c r="Z161" i="11" s="1"/>
  <c r="R162" i="11"/>
  <c r="Q162" i="11" s="1"/>
  <c r="AA162" i="11" s="1"/>
  <c r="R163" i="11"/>
  <c r="Q163" i="11" s="1"/>
  <c r="AA163" i="11" s="1"/>
  <c r="R164" i="11"/>
  <c r="Q164" i="11" s="1"/>
  <c r="AA164" i="11" s="1"/>
  <c r="R165" i="11"/>
  <c r="Q165" i="11" s="1"/>
  <c r="AA165" i="11" s="1"/>
  <c r="R166" i="11"/>
  <c r="S166" i="11" s="1"/>
  <c r="Z166" i="11" s="1"/>
  <c r="R167" i="11"/>
  <c r="S167" i="11" s="1"/>
  <c r="Z167" i="11" s="1"/>
  <c r="R168" i="11"/>
  <c r="S168" i="11" s="1"/>
  <c r="Z168" i="11" s="1"/>
  <c r="R169" i="11"/>
  <c r="Q169" i="11" s="1"/>
  <c r="AA169" i="11" s="1"/>
  <c r="R170" i="11"/>
  <c r="S170" i="11" s="1"/>
  <c r="Z170" i="11" s="1"/>
  <c r="R171" i="11"/>
  <c r="S171" i="11" s="1"/>
  <c r="Z171" i="11" s="1"/>
  <c r="R152" i="11"/>
  <c r="Q152" i="11" s="1"/>
  <c r="AA152" i="11" s="1"/>
  <c r="O152" i="11"/>
  <c r="R180" i="11" s="1"/>
  <c r="K152" i="11"/>
  <c r="J180" i="11" s="1"/>
  <c r="Q112" i="11"/>
  <c r="Q113" i="11"/>
  <c r="Q114" i="11"/>
  <c r="Q115" i="11"/>
  <c r="Q111" i="11"/>
  <c r="R92" i="11"/>
  <c r="S92" i="11" s="1"/>
  <c r="R93" i="11"/>
  <c r="S93" i="11" s="1"/>
  <c r="Z93" i="11" s="1"/>
  <c r="R94" i="11"/>
  <c r="Q94" i="11" s="1"/>
  <c r="AA94" i="11" s="1"/>
  <c r="R95" i="11"/>
  <c r="Q95" i="11" s="1"/>
  <c r="AA95" i="11" s="1"/>
  <c r="R96" i="11"/>
  <c r="Q96" i="11" s="1"/>
  <c r="AA96" i="11" s="1"/>
  <c r="R97" i="11"/>
  <c r="S97" i="11" s="1"/>
  <c r="Z97" i="11" s="1"/>
  <c r="R98" i="11"/>
  <c r="S98" i="11" s="1"/>
  <c r="Z98" i="11" s="1"/>
  <c r="R99" i="11"/>
  <c r="Q99" i="11" s="1"/>
  <c r="AA99" i="11" s="1"/>
  <c r="R100" i="11"/>
  <c r="Q100" i="11" s="1"/>
  <c r="AA100" i="11" s="1"/>
  <c r="R101" i="11"/>
  <c r="Q101" i="11" s="1"/>
  <c r="AA101" i="11" s="1"/>
  <c r="R102" i="11"/>
  <c r="Q102" i="11" s="1"/>
  <c r="AA102" i="11" s="1"/>
  <c r="R103" i="11"/>
  <c r="S103" i="11" s="1"/>
  <c r="Z103" i="11" s="1"/>
  <c r="R104" i="11"/>
  <c r="Q104" i="11" s="1"/>
  <c r="AA104" i="11" s="1"/>
  <c r="R105" i="11"/>
  <c r="Q105" i="11" s="1"/>
  <c r="AA105" i="11" s="1"/>
  <c r="R106" i="11"/>
  <c r="S106" i="11" s="1"/>
  <c r="Z106" i="11" s="1"/>
  <c r="R107" i="11"/>
  <c r="Q107" i="11" s="1"/>
  <c r="AA107" i="11" s="1"/>
  <c r="R108" i="11"/>
  <c r="Q108" i="11" s="1"/>
  <c r="AA108" i="11" s="1"/>
  <c r="R109" i="11"/>
  <c r="S109" i="11" s="1"/>
  <c r="Z109" i="11" s="1"/>
  <c r="R110" i="11"/>
  <c r="Q110" i="11" s="1"/>
  <c r="AA110" i="11" s="1"/>
  <c r="R91" i="11"/>
  <c r="S91" i="11" s="1"/>
  <c r="K91" i="11"/>
  <c r="J121" i="11" s="1"/>
  <c r="O91" i="11"/>
  <c r="R121" i="11" s="1"/>
  <c r="R34" i="11"/>
  <c r="Q34" i="11" s="1"/>
  <c r="R35" i="11"/>
  <c r="Q35" i="11" s="1"/>
  <c r="AA35" i="11" s="1"/>
  <c r="R36" i="11"/>
  <c r="Q36" i="11" s="1"/>
  <c r="AA36" i="11" s="1"/>
  <c r="R37" i="11"/>
  <c r="Q37" i="11" s="1"/>
  <c r="AA37" i="11" s="1"/>
  <c r="R38" i="11"/>
  <c r="Q38" i="11" s="1"/>
  <c r="R39" i="11"/>
  <c r="Q39" i="11" s="1"/>
  <c r="AA39" i="11" s="1"/>
  <c r="R40" i="11"/>
  <c r="Q40" i="11" s="1"/>
  <c r="R41" i="11"/>
  <c r="S41" i="11" s="1"/>
  <c r="Z41" i="11" s="1"/>
  <c r="R42" i="11"/>
  <c r="Q42" i="11" s="1"/>
  <c r="AA42" i="11" s="1"/>
  <c r="R43" i="11"/>
  <c r="Q43" i="11" s="1"/>
  <c r="AA43" i="11" s="1"/>
  <c r="R44" i="11"/>
  <c r="Q44" i="11" s="1"/>
  <c r="AA44" i="11" s="1"/>
  <c r="R45" i="11"/>
  <c r="Q45" i="11" s="1"/>
  <c r="AA45" i="11" s="1"/>
  <c r="R46" i="11"/>
  <c r="Q46" i="11" s="1"/>
  <c r="AA46" i="11" s="1"/>
  <c r="R48" i="11"/>
  <c r="S48" i="11" s="1"/>
  <c r="Z47" i="11" s="1"/>
  <c r="X47" i="11" s="1"/>
  <c r="R49" i="11"/>
  <c r="Q49" i="11" s="1"/>
  <c r="AA48" i="11" s="1"/>
  <c r="R50" i="11"/>
  <c r="Q50" i="11" s="1"/>
  <c r="AA49" i="11" s="1"/>
  <c r="R51" i="11"/>
  <c r="Q51" i="11" s="1"/>
  <c r="AA50" i="11" s="1"/>
  <c r="R52" i="11"/>
  <c r="Q52" i="11" s="1"/>
  <c r="AA51" i="11" s="1"/>
  <c r="R53" i="11"/>
  <c r="Q53" i="11" s="1"/>
  <c r="AA52" i="11" s="1"/>
  <c r="R54" i="11"/>
  <c r="S54" i="11" s="1"/>
  <c r="Z53" i="11" s="1"/>
  <c r="R55" i="11"/>
  <c r="Q55" i="11" s="1"/>
  <c r="AA54" i="11" s="1"/>
  <c r="R33" i="11"/>
  <c r="S33" i="11" s="1"/>
  <c r="O33" i="11"/>
  <c r="R62" i="11" s="1"/>
  <c r="K33" i="11"/>
  <c r="J62" i="11" s="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306" i="11" s="1"/>
  <c r="Z349" i="3" s="1"/>
  <c r="B264" i="11"/>
  <c r="J266" i="11"/>
  <c r="J267" i="11" s="1"/>
  <c r="K265" i="11"/>
  <c r="J289" i="11" s="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10" i="11"/>
  <c r="B152" i="11"/>
  <c r="P212" i="11"/>
  <c r="S238" i="11" s="1"/>
  <c r="N212" i="11"/>
  <c r="L238" i="11" s="1"/>
  <c r="M212" i="11"/>
  <c r="M238" i="11" s="1"/>
  <c r="L212" i="11"/>
  <c r="J212" i="11"/>
  <c r="K212" i="11" s="1"/>
  <c r="J238" i="11" s="1"/>
  <c r="H212" i="11"/>
  <c r="G212" i="11"/>
  <c r="O211" i="11"/>
  <c r="R237" i="11" s="1"/>
  <c r="K211" i="11"/>
  <c r="J237" i="11" s="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202" i="11" s="1"/>
  <c r="P154" i="11"/>
  <c r="N154" i="11"/>
  <c r="M154" i="11"/>
  <c r="L154" i="11"/>
  <c r="J154" i="11"/>
  <c r="K154" i="11" s="1"/>
  <c r="J182" i="11" s="1"/>
  <c r="H154" i="11"/>
  <c r="G154" i="11"/>
  <c r="O153" i="11"/>
  <c r="R181" i="11" s="1"/>
  <c r="K153" i="11"/>
  <c r="J181" i="11" s="1"/>
  <c r="N93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45" i="11" s="1"/>
  <c r="B91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Z344" i="3" s="1"/>
  <c r="Y345" i="3" s="1"/>
  <c r="B48" i="11"/>
  <c r="B49" i="11"/>
  <c r="B50" i="11"/>
  <c r="B51" i="11"/>
  <c r="B52" i="11"/>
  <c r="B53" i="11"/>
  <c r="B54" i="11"/>
  <c r="B33" i="11"/>
  <c r="P93" i="11"/>
  <c r="M93" i="11"/>
  <c r="L93" i="11"/>
  <c r="J93" i="11"/>
  <c r="K93" i="11" s="1"/>
  <c r="J123" i="11" s="1"/>
  <c r="H93" i="11"/>
  <c r="G93" i="11"/>
  <c r="O92" i="11"/>
  <c r="R122" i="11" s="1"/>
  <c r="K92" i="11"/>
  <c r="J122" i="11" s="1"/>
  <c r="N49" i="11"/>
  <c r="L78" i="11" s="1"/>
  <c r="P78" i="11" s="1"/>
  <c r="M49" i="11"/>
  <c r="M78" i="11" s="1"/>
  <c r="Q78" i="11" s="1"/>
  <c r="N35" i="11"/>
  <c r="M35" i="11"/>
  <c r="J35" i="11"/>
  <c r="K35" i="11" s="1"/>
  <c r="J64" i="11" s="1"/>
  <c r="G50" i="11"/>
  <c r="P35" i="11"/>
  <c r="L35" i="11"/>
  <c r="H35" i="11"/>
  <c r="G35" i="11"/>
  <c r="O34" i="11"/>
  <c r="R63" i="11" s="1"/>
  <c r="K34" i="11"/>
  <c r="J63" i="11" s="1"/>
  <c r="N155" i="11" l="1"/>
  <c r="L182" i="11"/>
  <c r="P182" i="11" s="1"/>
  <c r="G155" i="11"/>
  <c r="G182" i="11"/>
  <c r="W372" i="11"/>
  <c r="B404" i="11"/>
  <c r="L155" i="11"/>
  <c r="K182" i="11"/>
  <c r="W369" i="11"/>
  <c r="B401" i="11"/>
  <c r="P155" i="11"/>
  <c r="P156" i="11" s="1"/>
  <c r="S182" i="11"/>
  <c r="W363" i="11"/>
  <c r="B395" i="11"/>
  <c r="W371" i="11"/>
  <c r="B403" i="11"/>
  <c r="W364" i="11"/>
  <c r="B396" i="11"/>
  <c r="W362" i="11"/>
  <c r="B394" i="11"/>
  <c r="B84" i="11"/>
  <c r="Z345" i="3"/>
  <c r="M155" i="11"/>
  <c r="M182" i="11"/>
  <c r="Q182" i="11" s="1"/>
  <c r="P266" i="11"/>
  <c r="S289" i="11"/>
  <c r="W361" i="11"/>
  <c r="B393" i="11"/>
  <c r="L213" i="11"/>
  <c r="K238" i="11"/>
  <c r="W368" i="11"/>
  <c r="B400" i="11"/>
  <c r="W366" i="11"/>
  <c r="B398" i="11"/>
  <c r="X314" i="11"/>
  <c r="P315" i="11"/>
  <c r="S338" i="11" s="1"/>
  <c r="S337" i="11"/>
  <c r="W370" i="11"/>
  <c r="B402" i="11"/>
  <c r="W367" i="11"/>
  <c r="B399" i="11"/>
  <c r="W365" i="11"/>
  <c r="B397" i="11"/>
  <c r="Z346" i="3"/>
  <c r="Z347" i="3"/>
  <c r="B256" i="11"/>
  <c r="Z348" i="3"/>
  <c r="P362" i="11"/>
  <c r="S394" i="11" s="1"/>
  <c r="S393" i="11"/>
  <c r="W360" i="11"/>
  <c r="B392" i="11"/>
  <c r="W373" i="11"/>
  <c r="B405" i="11"/>
  <c r="Z351" i="3" s="1"/>
  <c r="Y352" i="3" s="1"/>
  <c r="H362" i="11"/>
  <c r="H393" i="11"/>
  <c r="G362" i="11"/>
  <c r="G393" i="11"/>
  <c r="H315" i="11"/>
  <c r="T315" i="11" s="1"/>
  <c r="Y315" i="11" s="1"/>
  <c r="H337" i="11"/>
  <c r="G315" i="11"/>
  <c r="O315" i="11" s="1"/>
  <c r="R338" i="11" s="1"/>
  <c r="G337" i="11"/>
  <c r="H266" i="11"/>
  <c r="H289" i="11"/>
  <c r="N213" i="11"/>
  <c r="L239" i="11" s="1"/>
  <c r="P238" i="11"/>
  <c r="M213" i="11"/>
  <c r="M239" i="11" s="1"/>
  <c r="Q238" i="11"/>
  <c r="H213" i="11"/>
  <c r="H238" i="11"/>
  <c r="G213" i="11"/>
  <c r="G238" i="11"/>
  <c r="H155" i="11"/>
  <c r="H182" i="11"/>
  <c r="L362" i="11"/>
  <c r="K393" i="11"/>
  <c r="M362" i="11"/>
  <c r="M394" i="11" s="1"/>
  <c r="Q394" i="11" s="1"/>
  <c r="M393" i="11"/>
  <c r="Q393" i="11" s="1"/>
  <c r="N362" i="11"/>
  <c r="L394" i="11" s="1"/>
  <c r="P394" i="11" s="1"/>
  <c r="L393" i="11"/>
  <c r="P393" i="11" s="1"/>
  <c r="N315" i="11"/>
  <c r="L337" i="11"/>
  <c r="P337" i="11" s="1"/>
  <c r="M315" i="11"/>
  <c r="M337" i="11"/>
  <c r="Q337" i="11" s="1"/>
  <c r="L315" i="11"/>
  <c r="K337" i="11"/>
  <c r="M266" i="11"/>
  <c r="M289" i="11"/>
  <c r="Q289" i="11" s="1"/>
  <c r="L266" i="11"/>
  <c r="K289" i="11"/>
  <c r="N266" i="11"/>
  <c r="L289" i="11"/>
  <c r="P289" i="11" s="1"/>
  <c r="W329" i="11"/>
  <c r="B352" i="11"/>
  <c r="W317" i="11"/>
  <c r="B340" i="11"/>
  <c r="W328" i="11"/>
  <c r="B351" i="11"/>
  <c r="W316" i="11"/>
  <c r="B339" i="11"/>
  <c r="W327" i="11"/>
  <c r="B350" i="11"/>
  <c r="W315" i="11"/>
  <c r="B338" i="11"/>
  <c r="W326" i="11"/>
  <c r="B349" i="11"/>
  <c r="W314" i="11"/>
  <c r="B337" i="11"/>
  <c r="W325" i="11"/>
  <c r="B348" i="11"/>
  <c r="W324" i="11"/>
  <c r="B347" i="11"/>
  <c r="W323" i="11"/>
  <c r="B346" i="11"/>
  <c r="W322" i="11"/>
  <c r="B345" i="11"/>
  <c r="W321" i="11"/>
  <c r="B344" i="11"/>
  <c r="W320" i="11"/>
  <c r="B343" i="11"/>
  <c r="W313" i="11"/>
  <c r="B336" i="11"/>
  <c r="W319" i="11"/>
  <c r="B342" i="11"/>
  <c r="W318" i="11"/>
  <c r="B341" i="11"/>
  <c r="W265" i="11"/>
  <c r="B289" i="11"/>
  <c r="W275" i="11"/>
  <c r="B299" i="11"/>
  <c r="W274" i="11"/>
  <c r="B298" i="11"/>
  <c r="W273" i="11"/>
  <c r="B297" i="11"/>
  <c r="W276" i="11"/>
  <c r="B300" i="11"/>
  <c r="W272" i="11"/>
  <c r="B296" i="11"/>
  <c r="W264" i="11"/>
  <c r="B288" i="11"/>
  <c r="W271" i="11"/>
  <c r="B295" i="11"/>
  <c r="W270" i="11"/>
  <c r="B294" i="11"/>
  <c r="W281" i="11"/>
  <c r="B305" i="11"/>
  <c r="W269" i="11"/>
  <c r="B293" i="11"/>
  <c r="W277" i="11"/>
  <c r="B301" i="11"/>
  <c r="W268" i="11"/>
  <c r="B292" i="11"/>
  <c r="W280" i="11"/>
  <c r="B304" i="11"/>
  <c r="W279" i="11"/>
  <c r="B303" i="11"/>
  <c r="W267" i="11"/>
  <c r="B291" i="11"/>
  <c r="W278" i="11"/>
  <c r="B302" i="11"/>
  <c r="W266" i="11"/>
  <c r="B290" i="11"/>
  <c r="W214" i="11"/>
  <c r="B240" i="11"/>
  <c r="W225" i="11"/>
  <c r="B251" i="11"/>
  <c r="W213" i="11"/>
  <c r="B239" i="11"/>
  <c r="W224" i="11"/>
  <c r="B250" i="11"/>
  <c r="W212" i="11"/>
  <c r="B238" i="11"/>
  <c r="W223" i="11"/>
  <c r="B249" i="11"/>
  <c r="W211" i="11"/>
  <c r="B237" i="11"/>
  <c r="W226" i="11"/>
  <c r="B252" i="11"/>
  <c r="W222" i="11"/>
  <c r="B248" i="11"/>
  <c r="W221" i="11"/>
  <c r="B247" i="11"/>
  <c r="W220" i="11"/>
  <c r="B246" i="11"/>
  <c r="W210" i="11"/>
  <c r="B236" i="11"/>
  <c r="W219" i="11"/>
  <c r="B245" i="11"/>
  <c r="W218" i="11"/>
  <c r="B244" i="11"/>
  <c r="W229" i="11"/>
  <c r="B255" i="11"/>
  <c r="W217" i="11"/>
  <c r="B243" i="11"/>
  <c r="W228" i="11"/>
  <c r="B254" i="11"/>
  <c r="W216" i="11"/>
  <c r="B242" i="11"/>
  <c r="W227" i="11"/>
  <c r="B253" i="11"/>
  <c r="W215" i="11"/>
  <c r="B241" i="11"/>
  <c r="W156" i="11"/>
  <c r="B184" i="11"/>
  <c r="L94" i="11"/>
  <c r="K123" i="11"/>
  <c r="W173" i="11"/>
  <c r="B201" i="11"/>
  <c r="W161" i="11"/>
  <c r="B189" i="11"/>
  <c r="M94" i="11"/>
  <c r="M123" i="11"/>
  <c r="Q123" i="11" s="1"/>
  <c r="N94" i="11"/>
  <c r="L123" i="11"/>
  <c r="P123" i="11" s="1"/>
  <c r="W172" i="11"/>
  <c r="B200" i="11"/>
  <c r="W160" i="11"/>
  <c r="B188" i="11"/>
  <c r="W169" i="11"/>
  <c r="B197" i="11"/>
  <c r="G94" i="11"/>
  <c r="G123" i="11"/>
  <c r="P94" i="11"/>
  <c r="S124" i="11" s="1"/>
  <c r="S123" i="11"/>
  <c r="W171" i="11"/>
  <c r="B199" i="11"/>
  <c r="W159" i="11"/>
  <c r="B187" i="11"/>
  <c r="W170" i="11"/>
  <c r="B198" i="11"/>
  <c r="W158" i="11"/>
  <c r="B186" i="11"/>
  <c r="W157" i="11"/>
  <c r="B185" i="11"/>
  <c r="W168" i="11"/>
  <c r="B196" i="11"/>
  <c r="W167" i="11"/>
  <c r="B195" i="11"/>
  <c r="W155" i="11"/>
  <c r="B183" i="11"/>
  <c r="W152" i="11"/>
  <c r="B180" i="11"/>
  <c r="W166" i="11"/>
  <c r="B194" i="11"/>
  <c r="W154" i="11"/>
  <c r="B182" i="11"/>
  <c r="W165" i="11"/>
  <c r="B193" i="11"/>
  <c r="W153" i="11"/>
  <c r="B181" i="11"/>
  <c r="W164" i="11"/>
  <c r="B192" i="11"/>
  <c r="H94" i="11"/>
  <c r="H123" i="11"/>
  <c r="W163" i="11"/>
  <c r="B191" i="11"/>
  <c r="W162" i="11"/>
  <c r="B190" i="11"/>
  <c r="G51" i="11"/>
  <c r="G79" i="11"/>
  <c r="W91" i="11"/>
  <c r="B121" i="11"/>
  <c r="W103" i="11"/>
  <c r="B133" i="11"/>
  <c r="W114" i="11"/>
  <c r="B144" i="11"/>
  <c r="W102" i="11"/>
  <c r="B132" i="11"/>
  <c r="W92" i="11"/>
  <c r="B122" i="11"/>
  <c r="M36" i="11"/>
  <c r="M64" i="11"/>
  <c r="Q64" i="11" s="1"/>
  <c r="W113" i="11"/>
  <c r="B143" i="11"/>
  <c r="W101" i="11"/>
  <c r="B131" i="11"/>
  <c r="N36" i="11"/>
  <c r="L64" i="11"/>
  <c r="P64" i="11" s="1"/>
  <c r="W112" i="11"/>
  <c r="B142" i="11"/>
  <c r="W100" i="11"/>
  <c r="B130" i="11"/>
  <c r="W104" i="11"/>
  <c r="B134" i="11"/>
  <c r="W111" i="11"/>
  <c r="B141" i="11"/>
  <c r="W99" i="11"/>
  <c r="B129" i="11"/>
  <c r="W110" i="11"/>
  <c r="B140" i="11"/>
  <c r="W98" i="11"/>
  <c r="B128" i="11"/>
  <c r="E47" i="11"/>
  <c r="E76" i="11" s="1"/>
  <c r="C76" i="11"/>
  <c r="W109" i="11"/>
  <c r="B139" i="11"/>
  <c r="W97" i="11"/>
  <c r="B127" i="11"/>
  <c r="W108" i="11"/>
  <c r="B138" i="11"/>
  <c r="W96" i="11"/>
  <c r="B126" i="11"/>
  <c r="P36" i="11"/>
  <c r="S65" i="11" s="1"/>
  <c r="S64" i="11"/>
  <c r="W107" i="11"/>
  <c r="B137" i="11"/>
  <c r="W95" i="11"/>
  <c r="B125" i="11"/>
  <c r="G36" i="11"/>
  <c r="G64" i="11"/>
  <c r="H36" i="11"/>
  <c r="H65" i="11" s="1"/>
  <c r="H64" i="11"/>
  <c r="W106" i="11"/>
  <c r="B136" i="11"/>
  <c r="W94" i="11"/>
  <c r="B124" i="11"/>
  <c r="L36" i="11"/>
  <c r="K64" i="11"/>
  <c r="W105" i="11"/>
  <c r="B135" i="11"/>
  <c r="W93" i="11"/>
  <c r="B123" i="11"/>
  <c r="W45" i="11"/>
  <c r="B74" i="11"/>
  <c r="W44" i="11"/>
  <c r="B73" i="11"/>
  <c r="W43" i="11"/>
  <c r="B72" i="11"/>
  <c r="W33" i="11"/>
  <c r="B62" i="11"/>
  <c r="W42" i="11"/>
  <c r="B71" i="11"/>
  <c r="W53" i="11"/>
  <c r="B83" i="11"/>
  <c r="W41" i="11"/>
  <c r="B70" i="11"/>
  <c r="W40" i="11"/>
  <c r="B69" i="11"/>
  <c r="W51" i="11"/>
  <c r="B81" i="11"/>
  <c r="W39" i="11"/>
  <c r="B68" i="11"/>
  <c r="W49" i="11"/>
  <c r="B79" i="11"/>
  <c r="W37" i="11"/>
  <c r="B66" i="11"/>
  <c r="W50" i="11"/>
  <c r="B80" i="11"/>
  <c r="W36" i="11"/>
  <c r="B65" i="11"/>
  <c r="W38" i="11"/>
  <c r="B67" i="11"/>
  <c r="W48" i="11"/>
  <c r="B78" i="11"/>
  <c r="W47" i="11"/>
  <c r="B77" i="11"/>
  <c r="W35" i="11"/>
  <c r="B64" i="11"/>
  <c r="W52" i="11"/>
  <c r="B82" i="11"/>
  <c r="W46" i="11"/>
  <c r="B75" i="11"/>
  <c r="W34" i="11"/>
  <c r="B63" i="11"/>
  <c r="W54" i="11"/>
  <c r="E40" i="4"/>
  <c r="B8" i="15" s="1"/>
  <c r="B56" i="11"/>
  <c r="W115" i="11"/>
  <c r="E41" i="4"/>
  <c r="B9" i="15" s="1"/>
  <c r="W282" i="11"/>
  <c r="E44" i="4"/>
  <c r="B12" i="15" s="1"/>
  <c r="W230" i="11"/>
  <c r="E43" i="4"/>
  <c r="B11" i="15" s="1"/>
  <c r="W174" i="11"/>
  <c r="E42" i="4"/>
  <c r="B10" i="15" s="1"/>
  <c r="W330" i="11"/>
  <c r="E45" i="4"/>
  <c r="B13" i="15" s="1"/>
  <c r="X93" i="11"/>
  <c r="X212" i="11"/>
  <c r="S172" i="11"/>
  <c r="Z172" i="11" s="1"/>
  <c r="AA172" i="11"/>
  <c r="T33" i="11"/>
  <c r="Y33" i="11" s="1"/>
  <c r="Z33" i="11"/>
  <c r="X33" i="11" s="1"/>
  <c r="T91" i="11"/>
  <c r="Y91" i="11" s="1"/>
  <c r="Z91" i="11"/>
  <c r="X91" i="11" s="1"/>
  <c r="T360" i="11"/>
  <c r="Y360" i="11" s="1"/>
  <c r="Z360" i="11"/>
  <c r="X360" i="11" s="1"/>
  <c r="S111" i="11"/>
  <c r="Z111" i="11" s="1"/>
  <c r="AA111" i="11"/>
  <c r="X361" i="11"/>
  <c r="X315" i="11"/>
  <c r="Q368" i="11"/>
  <c r="AA368" i="11" s="1"/>
  <c r="AA34" i="11"/>
  <c r="S115" i="11"/>
  <c r="Z115" i="11" s="1"/>
  <c r="AA115" i="11"/>
  <c r="S114" i="11"/>
  <c r="Z114" i="11" s="1"/>
  <c r="AA114" i="11"/>
  <c r="T153" i="11"/>
  <c r="Y153" i="11" s="1"/>
  <c r="Z153" i="11"/>
  <c r="X153" i="11" s="1"/>
  <c r="S113" i="11"/>
  <c r="Z113" i="11" s="1"/>
  <c r="AA113" i="11"/>
  <c r="S112" i="11"/>
  <c r="Z112" i="11" s="1"/>
  <c r="AA112" i="11"/>
  <c r="S174" i="11"/>
  <c r="Z174" i="11" s="1"/>
  <c r="AA174" i="11"/>
  <c r="S173" i="11"/>
  <c r="Z173" i="11" s="1"/>
  <c r="AA173" i="11"/>
  <c r="T313" i="11"/>
  <c r="Y313" i="11" s="1"/>
  <c r="Z313" i="11"/>
  <c r="X313" i="11" s="1"/>
  <c r="Q374" i="11"/>
  <c r="AA374" i="11" s="1"/>
  <c r="AA40" i="11"/>
  <c r="Q372" i="11"/>
  <c r="AA372" i="11" s="1"/>
  <c r="AA38" i="11"/>
  <c r="T264" i="11"/>
  <c r="Y264" i="11" s="1"/>
  <c r="Z264" i="11"/>
  <c r="X264" i="11" s="1"/>
  <c r="T92" i="11"/>
  <c r="Y92" i="11" s="1"/>
  <c r="Z92" i="11"/>
  <c r="X92" i="11" s="1"/>
  <c r="X155" i="11"/>
  <c r="T47" i="11"/>
  <c r="S373" i="11"/>
  <c r="Q361" i="11"/>
  <c r="AA361" i="11" s="1"/>
  <c r="S369" i="11"/>
  <c r="Q158" i="11"/>
  <c r="AA158" i="11" s="1"/>
  <c r="Q171" i="11"/>
  <c r="AA171" i="11" s="1"/>
  <c r="S34" i="11"/>
  <c r="S154" i="11"/>
  <c r="S164" i="11"/>
  <c r="Q218" i="11"/>
  <c r="AA218" i="11" s="1"/>
  <c r="Q170" i="11"/>
  <c r="AA170" i="11" s="1"/>
  <c r="Q370" i="11"/>
  <c r="AA370" i="11" s="1"/>
  <c r="S371" i="11"/>
  <c r="Q212" i="11"/>
  <c r="AA212" i="11" s="1"/>
  <c r="S163" i="11"/>
  <c r="S96" i="11"/>
  <c r="Z96" i="11" s="1"/>
  <c r="Q103" i="11"/>
  <c r="AA103" i="11" s="1"/>
  <c r="O265" i="11"/>
  <c r="R289" i="11" s="1"/>
  <c r="T314" i="11"/>
  <c r="Y314" i="11" s="1"/>
  <c r="Q33" i="11"/>
  <c r="Q313" i="11"/>
  <c r="AA313" i="11" s="1"/>
  <c r="Q319" i="11"/>
  <c r="AA319" i="11" s="1"/>
  <c r="S101" i="11"/>
  <c r="Z101" i="11" s="1"/>
  <c r="T361" i="11"/>
  <c r="Y361" i="11" s="1"/>
  <c r="S216" i="11"/>
  <c r="S102" i="11"/>
  <c r="S323" i="11"/>
  <c r="S51" i="11"/>
  <c r="Z50" i="11" s="1"/>
  <c r="S108" i="11"/>
  <c r="Q360" i="11"/>
  <c r="AA360" i="11" s="1"/>
  <c r="S95" i="11"/>
  <c r="S228" i="11"/>
  <c r="S107" i="11"/>
  <c r="S222" i="11"/>
  <c r="T212" i="11"/>
  <c r="Y212" i="11" s="1"/>
  <c r="S210" i="11"/>
  <c r="Q363" i="11"/>
  <c r="AA363" i="11" s="1"/>
  <c r="K363" i="11"/>
  <c r="J395" i="11" s="1"/>
  <c r="J364" i="11"/>
  <c r="O362" i="11"/>
  <c r="R394" i="11" s="1"/>
  <c r="P363" i="11"/>
  <c r="S362" i="11"/>
  <c r="S364" i="11"/>
  <c r="S366" i="11"/>
  <c r="S368" i="11"/>
  <c r="S370" i="11"/>
  <c r="S372" i="11"/>
  <c r="S374" i="11"/>
  <c r="O361" i="11"/>
  <c r="R393" i="11" s="1"/>
  <c r="Q365" i="11"/>
  <c r="AA365" i="11" s="1"/>
  <c r="Q367" i="11"/>
  <c r="AA367" i="11" s="1"/>
  <c r="Q369" i="11"/>
  <c r="AA369" i="11" s="1"/>
  <c r="Q371" i="11"/>
  <c r="AA371" i="11" s="1"/>
  <c r="Q373" i="11"/>
  <c r="AA373" i="11" s="1"/>
  <c r="K362" i="11"/>
  <c r="J394" i="11" s="1"/>
  <c r="S221" i="11"/>
  <c r="S99" i="11"/>
  <c r="Q91" i="11"/>
  <c r="AA91" i="11" s="1"/>
  <c r="S152" i="11"/>
  <c r="S265" i="11"/>
  <c r="O212" i="11"/>
  <c r="R238" i="11" s="1"/>
  <c r="Q327" i="11"/>
  <c r="AA327" i="11" s="1"/>
  <c r="S169" i="11"/>
  <c r="S266" i="11"/>
  <c r="Q267" i="11"/>
  <c r="AA267" i="11" s="1"/>
  <c r="Q264" i="11"/>
  <c r="AA264" i="11" s="1"/>
  <c r="Q325" i="11"/>
  <c r="AA325" i="11" s="1"/>
  <c r="Q321" i="11"/>
  <c r="AA321" i="11" s="1"/>
  <c r="Q329" i="11"/>
  <c r="AA329" i="11" s="1"/>
  <c r="K316" i="11"/>
  <c r="J339" i="11" s="1"/>
  <c r="J317" i="11"/>
  <c r="P316" i="11"/>
  <c r="O314" i="11"/>
  <c r="R337" i="11" s="1"/>
  <c r="Q314" i="11"/>
  <c r="AA314" i="11" s="1"/>
  <c r="K315" i="11"/>
  <c r="J338" i="11" s="1"/>
  <c r="Q316" i="11"/>
  <c r="AA316" i="11" s="1"/>
  <c r="Q318" i="11"/>
  <c r="AA318" i="11" s="1"/>
  <c r="Q320" i="11"/>
  <c r="AA320" i="11" s="1"/>
  <c r="Q322" i="11"/>
  <c r="AA322" i="11" s="1"/>
  <c r="Q324" i="11"/>
  <c r="AA324" i="11" s="1"/>
  <c r="Q326" i="11"/>
  <c r="AA326" i="11" s="1"/>
  <c r="Q328" i="11"/>
  <c r="AA328" i="11" s="1"/>
  <c r="Q330" i="11"/>
  <c r="AA330" i="11" s="1"/>
  <c r="Q315" i="11"/>
  <c r="AA315" i="11" s="1"/>
  <c r="Q317" i="11"/>
  <c r="AA317" i="11" s="1"/>
  <c r="S268" i="11"/>
  <c r="G266" i="11"/>
  <c r="S270" i="11"/>
  <c r="Q270" i="11"/>
  <c r="AA270" i="11" s="1"/>
  <c r="S269" i="11"/>
  <c r="Q269" i="11"/>
  <c r="AA269" i="11" s="1"/>
  <c r="Q106" i="11"/>
  <c r="AA106" i="11" s="1"/>
  <c r="S94" i="11"/>
  <c r="Q54" i="11"/>
  <c r="AA53" i="11" s="1"/>
  <c r="Q93" i="11"/>
  <c r="AA93" i="11" s="1"/>
  <c r="Q161" i="11"/>
  <c r="AA161" i="11" s="1"/>
  <c r="Q214" i="11"/>
  <c r="AA214" i="11" s="1"/>
  <c r="S35" i="11"/>
  <c r="Q153" i="11"/>
  <c r="AA153" i="11" s="1"/>
  <c r="Q160" i="11"/>
  <c r="AA160" i="11" s="1"/>
  <c r="Q213" i="11"/>
  <c r="AA213" i="11" s="1"/>
  <c r="K266" i="11"/>
  <c r="J290" i="11" s="1"/>
  <c r="Q268" i="11"/>
  <c r="AA268" i="11" s="1"/>
  <c r="Q156" i="11"/>
  <c r="AA156" i="11" s="1"/>
  <c r="S100" i="11"/>
  <c r="Q92" i="11"/>
  <c r="AA92" i="11" s="1"/>
  <c r="Q167" i="11"/>
  <c r="AA167" i="11" s="1"/>
  <c r="Q155" i="11"/>
  <c r="AA155" i="11" s="1"/>
  <c r="Q168" i="11"/>
  <c r="AA168" i="11" s="1"/>
  <c r="S224" i="11"/>
  <c r="S162" i="11"/>
  <c r="J213" i="11"/>
  <c r="K213" i="11" s="1"/>
  <c r="J239" i="11" s="1"/>
  <c r="Q98" i="11"/>
  <c r="AA98" i="11" s="1"/>
  <c r="Q166" i="11"/>
  <c r="AA166" i="11" s="1"/>
  <c r="Q109" i="11"/>
  <c r="AA109" i="11" s="1"/>
  <c r="Q97" i="11"/>
  <c r="AA97" i="11" s="1"/>
  <c r="Q211" i="11"/>
  <c r="AA211" i="11" s="1"/>
  <c r="Q48" i="11"/>
  <c r="AA47" i="11" s="1"/>
  <c r="J268" i="11"/>
  <c r="K267" i="11"/>
  <c r="J291" i="11" s="1"/>
  <c r="T211" i="11"/>
  <c r="Y211" i="11" s="1"/>
  <c r="S159" i="11"/>
  <c r="S223" i="11"/>
  <c r="S165" i="11"/>
  <c r="S215" i="11"/>
  <c r="S44" i="11"/>
  <c r="S105" i="11"/>
  <c r="S157" i="11"/>
  <c r="S219" i="11"/>
  <c r="S38" i="11"/>
  <c r="S220" i="11"/>
  <c r="T213" i="11"/>
  <c r="Y213" i="11" s="1"/>
  <c r="P213" i="11"/>
  <c r="J36" i="11"/>
  <c r="J37" i="11" s="1"/>
  <c r="J38" i="11" s="1"/>
  <c r="O154" i="11"/>
  <c r="R182" i="11" s="1"/>
  <c r="J94" i="11"/>
  <c r="J95" i="11" s="1"/>
  <c r="Q41" i="11"/>
  <c r="AA41" i="11" s="1"/>
  <c r="T155" i="11"/>
  <c r="Y155" i="11" s="1"/>
  <c r="S110" i="11"/>
  <c r="J155" i="11"/>
  <c r="O155" i="11"/>
  <c r="R183" i="11" s="1"/>
  <c r="O93" i="11"/>
  <c r="R123" i="11" s="1"/>
  <c r="S43" i="11"/>
  <c r="S55" i="11"/>
  <c r="Z54" i="11" s="1"/>
  <c r="S42" i="11"/>
  <c r="S53" i="11"/>
  <c r="Z52" i="11" s="1"/>
  <c r="S40" i="11"/>
  <c r="S52" i="11"/>
  <c r="Z51" i="11" s="1"/>
  <c r="S39" i="11"/>
  <c r="S50" i="11"/>
  <c r="Z49" i="11" s="1"/>
  <c r="S37" i="11"/>
  <c r="Z37" i="11" s="1"/>
  <c r="S49" i="11"/>
  <c r="Z48" i="11" s="1"/>
  <c r="S36" i="11"/>
  <c r="S46" i="11"/>
  <c r="Z46" i="11" s="1"/>
  <c r="S45" i="11"/>
  <c r="Z45" i="11" s="1"/>
  <c r="O35" i="11"/>
  <c r="R64" i="11" s="1"/>
  <c r="T93" i="11"/>
  <c r="Y93" i="11" s="1"/>
  <c r="S104" i="11"/>
  <c r="H50" i="11"/>
  <c r="H79" i="11" s="1"/>
  <c r="P37" i="11"/>
  <c r="S66" i="11" s="1"/>
  <c r="W6" i="9"/>
  <c r="W7" i="9" s="1"/>
  <c r="V6" i="9"/>
  <c r="V7" i="9" s="1"/>
  <c r="L38" i="8"/>
  <c r="L85" i="8" s="1"/>
  <c r="AA342" i="3" s="1"/>
  <c r="W18" i="8"/>
  <c r="V18" i="8"/>
  <c r="K9" i="8"/>
  <c r="S9" i="8"/>
  <c r="T9" i="8" s="1"/>
  <c r="S68" i="8" s="1"/>
  <c r="K10" i="8"/>
  <c r="S10" i="8"/>
  <c r="T10" i="8" s="1"/>
  <c r="K11" i="8"/>
  <c r="S11" i="8"/>
  <c r="T11" i="8"/>
  <c r="S69" i="8" s="1"/>
  <c r="K12" i="8"/>
  <c r="S12" i="8"/>
  <c r="T12" i="8" s="1"/>
  <c r="K13" i="8"/>
  <c r="S13" i="8"/>
  <c r="T13" i="8" s="1"/>
  <c r="K14" i="8"/>
  <c r="S14" i="8"/>
  <c r="T14" i="8" s="1"/>
  <c r="S70" i="8" s="1"/>
  <c r="K15" i="8"/>
  <c r="S15" i="8"/>
  <c r="T15" i="8" s="1"/>
  <c r="K16" i="8"/>
  <c r="S16" i="8"/>
  <c r="T16" i="8" s="1"/>
  <c r="S71" i="8" s="1"/>
  <c r="K17" i="8"/>
  <c r="S17" i="8"/>
  <c r="T17" i="8" s="1"/>
  <c r="S72" i="8" s="1"/>
  <c r="K18" i="8"/>
  <c r="S18" i="8"/>
  <c r="T18" i="8" s="1"/>
  <c r="S73" i="8" s="1"/>
  <c r="K19" i="8"/>
  <c r="S19" i="8"/>
  <c r="T19" i="8" s="1"/>
  <c r="K20" i="8"/>
  <c r="S20" i="8"/>
  <c r="T20" i="8" s="1"/>
  <c r="S74" i="8" s="1"/>
  <c r="K21" i="8"/>
  <c r="S21" i="8"/>
  <c r="T21" i="8" s="1"/>
  <c r="K22" i="8"/>
  <c r="S22" i="8"/>
  <c r="T22" i="8" s="1"/>
  <c r="S75" i="8" s="1"/>
  <c r="K23" i="8"/>
  <c r="S23" i="8"/>
  <c r="T23" i="8" s="1"/>
  <c r="K24" i="8"/>
  <c r="S24" i="8"/>
  <c r="T24" i="8" s="1"/>
  <c r="S76" i="8" s="1"/>
  <c r="K25" i="8"/>
  <c r="S25" i="8"/>
  <c r="T25" i="8" s="1"/>
  <c r="K26" i="8"/>
  <c r="S26" i="8"/>
  <c r="T26" i="8" s="1"/>
  <c r="S77" i="8" s="1"/>
  <c r="K27" i="8"/>
  <c r="S27" i="8"/>
  <c r="T27" i="8" s="1"/>
  <c r="K28" i="8"/>
  <c r="S28" i="8"/>
  <c r="T28" i="8" s="1"/>
  <c r="S78" i="8" s="1"/>
  <c r="K29" i="8"/>
  <c r="S29" i="8"/>
  <c r="T29" i="8" s="1"/>
  <c r="K30" i="8"/>
  <c r="S30" i="8"/>
  <c r="T30" i="8" s="1"/>
  <c r="S79" i="8" s="1"/>
  <c r="K31" i="8"/>
  <c r="S31" i="8"/>
  <c r="T31" i="8" s="1"/>
  <c r="S80" i="8" s="1"/>
  <c r="K32" i="8"/>
  <c r="S32" i="8"/>
  <c r="T32" i="8" s="1"/>
  <c r="S81" i="8" s="1"/>
  <c r="K33" i="8"/>
  <c r="S33" i="8"/>
  <c r="T33" i="8" s="1"/>
  <c r="S82" i="8" s="1"/>
  <c r="K34" i="8"/>
  <c r="S34" i="8"/>
  <c r="T34" i="8" s="1"/>
  <c r="S83" i="8" s="1"/>
  <c r="K35" i="8"/>
  <c r="S35" i="8"/>
  <c r="T35" i="8" s="1"/>
  <c r="K36" i="8"/>
  <c r="S36" i="8"/>
  <c r="T36" i="8" s="1"/>
  <c r="S84" i="8" s="1"/>
  <c r="K37" i="8"/>
  <c r="S37" i="8"/>
  <c r="T37" i="8" s="1"/>
  <c r="K38" i="8"/>
  <c r="S38" i="8"/>
  <c r="T38" i="8" s="1"/>
  <c r="S85" i="8" s="1"/>
  <c r="K39" i="8"/>
  <c r="S39" i="8"/>
  <c r="T39" i="8" s="1"/>
  <c r="K40" i="8"/>
  <c r="S40" i="8"/>
  <c r="T40" i="8" s="1"/>
  <c r="S86" i="8" s="1"/>
  <c r="K41" i="8"/>
  <c r="S41" i="8"/>
  <c r="T41" i="8" s="1"/>
  <c r="K42" i="8"/>
  <c r="S42" i="8"/>
  <c r="T42" i="8" s="1"/>
  <c r="S87" i="8" s="1"/>
  <c r="K43" i="8"/>
  <c r="S43" i="8"/>
  <c r="T43" i="8" s="1"/>
  <c r="K44" i="8"/>
  <c r="S44" i="8"/>
  <c r="T44" i="8" s="1"/>
  <c r="S88" i="8" s="1"/>
  <c r="K45" i="8"/>
  <c r="S45" i="8"/>
  <c r="T45" i="8" s="1"/>
  <c r="K46" i="8"/>
  <c r="S46" i="8"/>
  <c r="T46" i="8" s="1"/>
  <c r="S89" i="8" s="1"/>
  <c r="K47" i="8"/>
  <c r="S47" i="8"/>
  <c r="T47" i="8" s="1"/>
  <c r="K48" i="8"/>
  <c r="S48" i="8"/>
  <c r="T48" i="8" s="1"/>
  <c r="S90" i="8" s="1"/>
  <c r="K49" i="8"/>
  <c r="S49" i="8"/>
  <c r="T49" i="8" s="1"/>
  <c r="S91" i="8" s="1"/>
  <c r="K50" i="8"/>
  <c r="S50" i="8"/>
  <c r="T50" i="8" s="1"/>
  <c r="S92" i="8" s="1"/>
  <c r="K51" i="8"/>
  <c r="S51" i="8"/>
  <c r="T51" i="8" s="1"/>
  <c r="K52" i="8"/>
  <c r="S52" i="8"/>
  <c r="T52" i="8" s="1"/>
  <c r="S93" i="8" s="1"/>
  <c r="K53" i="8"/>
  <c r="S53" i="8"/>
  <c r="T53" i="8" s="1"/>
  <c r="K54" i="8"/>
  <c r="S54" i="8"/>
  <c r="T54" i="8" s="1"/>
  <c r="S94" i="8" s="1"/>
  <c r="K55" i="8"/>
  <c r="S55" i="8"/>
  <c r="T55" i="8" s="1"/>
  <c r="K56" i="8"/>
  <c r="S56" i="8"/>
  <c r="T56" i="8" s="1"/>
  <c r="S95" i="8" s="1"/>
  <c r="K57" i="8"/>
  <c r="S57" i="8"/>
  <c r="T57" i="8" s="1"/>
  <c r="K58" i="8"/>
  <c r="S58" i="8"/>
  <c r="T58" i="8" s="1"/>
  <c r="S96" i="8" s="1"/>
  <c r="K59" i="8"/>
  <c r="S59" i="8"/>
  <c r="T59" i="8" s="1"/>
  <c r="K60" i="8"/>
  <c r="K97" i="8" s="1"/>
  <c r="Z342" i="3" s="1"/>
  <c r="S60" i="8"/>
  <c r="T60" i="8" s="1"/>
  <c r="S97" i="8" s="1"/>
  <c r="Y6" i="7"/>
  <c r="Y7" i="7" s="1"/>
  <c r="V6" i="7"/>
  <c r="V7" i="7" s="1"/>
  <c r="W6" i="7"/>
  <c r="W7" i="7" s="1"/>
  <c r="K47" i="7"/>
  <c r="S47" i="7"/>
  <c r="T47" i="7" s="1"/>
  <c r="S83" i="7" s="1"/>
  <c r="K48" i="7"/>
  <c r="S48" i="7"/>
  <c r="T48" i="7" s="1"/>
  <c r="K49" i="7"/>
  <c r="S49" i="7"/>
  <c r="T49" i="7" s="1"/>
  <c r="S84" i="7" s="1"/>
  <c r="K11" i="7"/>
  <c r="S11" i="7"/>
  <c r="T11" i="7" s="1"/>
  <c r="S63" i="7" s="1"/>
  <c r="K12" i="7"/>
  <c r="S12" i="7"/>
  <c r="T12" i="7" s="1"/>
  <c r="K13" i="7"/>
  <c r="Q13" i="7"/>
  <c r="S13" i="7"/>
  <c r="T13" i="7" s="1"/>
  <c r="S64" i="7" s="1"/>
  <c r="K14" i="7"/>
  <c r="S14" i="7"/>
  <c r="T14" i="7" s="1"/>
  <c r="K15" i="7"/>
  <c r="S15" i="7"/>
  <c r="T15" i="7" s="1"/>
  <c r="S65" i="7" s="1"/>
  <c r="K16" i="7"/>
  <c r="S16" i="7"/>
  <c r="T16" i="7" s="1"/>
  <c r="K17" i="7"/>
  <c r="S17" i="7"/>
  <c r="T17" i="7" s="1"/>
  <c r="S66" i="7" s="1"/>
  <c r="K18" i="7"/>
  <c r="S18" i="7"/>
  <c r="T18" i="7" s="1"/>
  <c r="K19" i="7"/>
  <c r="S19" i="7"/>
  <c r="T19" i="7" s="1"/>
  <c r="S67" i="7" s="1"/>
  <c r="K20" i="7"/>
  <c r="S20" i="7"/>
  <c r="T20" i="7" s="1"/>
  <c r="K21" i="7"/>
  <c r="S21" i="7"/>
  <c r="T21" i="7" s="1"/>
  <c r="S68" i="7" s="1"/>
  <c r="K22" i="7"/>
  <c r="S22" i="7"/>
  <c r="T22" i="7" s="1"/>
  <c r="K23" i="7"/>
  <c r="S23" i="7"/>
  <c r="T23" i="7" s="1"/>
  <c r="S69" i="7" s="1"/>
  <c r="K24" i="7"/>
  <c r="S24" i="7"/>
  <c r="T24" i="7" s="1"/>
  <c r="K25" i="7"/>
  <c r="S25" i="7"/>
  <c r="T25" i="7" s="1"/>
  <c r="S70" i="7" s="1"/>
  <c r="K26" i="7"/>
  <c r="S26" i="7"/>
  <c r="T26" i="7" s="1"/>
  <c r="K27" i="7"/>
  <c r="S27" i="7"/>
  <c r="T27" i="7" s="1"/>
  <c r="S71" i="7" s="1"/>
  <c r="K28" i="7"/>
  <c r="S28" i="7"/>
  <c r="T28" i="7" s="1"/>
  <c r="K29" i="7"/>
  <c r="S29" i="7"/>
  <c r="T29" i="7" s="1"/>
  <c r="S72" i="7" s="1"/>
  <c r="K30" i="7"/>
  <c r="S30" i="7"/>
  <c r="T30" i="7" s="1"/>
  <c r="K31" i="7"/>
  <c r="S31" i="7"/>
  <c r="T31" i="7" s="1"/>
  <c r="S73" i="7" s="1"/>
  <c r="K32" i="7"/>
  <c r="S32" i="7"/>
  <c r="T32" i="7" s="1"/>
  <c r="K33" i="7"/>
  <c r="S33" i="7"/>
  <c r="T33" i="7" s="1"/>
  <c r="S74" i="7" s="1"/>
  <c r="K34" i="7"/>
  <c r="S34" i="7"/>
  <c r="T34" i="7" s="1"/>
  <c r="K35" i="7"/>
  <c r="S35" i="7"/>
  <c r="T35" i="7" s="1"/>
  <c r="S75" i="7" s="1"/>
  <c r="K36" i="7"/>
  <c r="S36" i="7"/>
  <c r="T36" i="7" s="1"/>
  <c r="AA36" i="7"/>
  <c r="N127" i="7" s="1"/>
  <c r="K37" i="7"/>
  <c r="S37" i="7"/>
  <c r="T37" i="7" s="1"/>
  <c r="S76" i="7" s="1"/>
  <c r="K38" i="7"/>
  <c r="S38" i="7"/>
  <c r="T38" i="7" s="1"/>
  <c r="S77" i="7" s="1"/>
  <c r="K39" i="7"/>
  <c r="S39" i="7"/>
  <c r="T39" i="7" s="1"/>
  <c r="S78" i="7" s="1"/>
  <c r="K40" i="7"/>
  <c r="S40" i="7"/>
  <c r="T40" i="7" s="1"/>
  <c r="S79" i="7" s="1"/>
  <c r="K41" i="7"/>
  <c r="S41" i="7"/>
  <c r="T41" i="7" s="1"/>
  <c r="S80" i="7" s="1"/>
  <c r="K42" i="7"/>
  <c r="S42" i="7"/>
  <c r="T42" i="7" s="1"/>
  <c r="K43" i="7"/>
  <c r="S43" i="7"/>
  <c r="T43" i="7" s="1"/>
  <c r="S81" i="7" s="1"/>
  <c r="K44" i="7"/>
  <c r="S44" i="7"/>
  <c r="T44" i="7" s="1"/>
  <c r="K45" i="7"/>
  <c r="S45" i="7"/>
  <c r="T45" i="7"/>
  <c r="S82" i="7" s="1"/>
  <c r="K46" i="7"/>
  <c r="S46" i="7"/>
  <c r="T46" i="7" s="1"/>
  <c r="P38" i="6"/>
  <c r="Q38" i="6"/>
  <c r="W24" i="6"/>
  <c r="V24" i="6"/>
  <c r="V6" i="6"/>
  <c r="V7" i="6" s="1"/>
  <c r="W6" i="6"/>
  <c r="W7" i="6" s="1"/>
  <c r="AD5" i="6"/>
  <c r="K66" i="6"/>
  <c r="S66" i="6"/>
  <c r="T66" i="6" s="1"/>
  <c r="K67" i="6"/>
  <c r="S67" i="6"/>
  <c r="T67" i="6" s="1"/>
  <c r="S119" i="6" s="1"/>
  <c r="W36" i="5"/>
  <c r="V36" i="5"/>
  <c r="Q36" i="5"/>
  <c r="P36" i="5"/>
  <c r="W6" i="5"/>
  <c r="W7" i="5" s="1"/>
  <c r="V6" i="5"/>
  <c r="V7" i="5" s="1"/>
  <c r="P6" i="5"/>
  <c r="P7" i="5" s="1"/>
  <c r="Q6" i="5"/>
  <c r="Q7" i="5" s="1"/>
  <c r="S184" i="11" l="1"/>
  <c r="X156" i="11"/>
  <c r="P157" i="11"/>
  <c r="S185" i="11" s="1"/>
  <c r="S183" i="11"/>
  <c r="L214" i="11"/>
  <c r="K239" i="11"/>
  <c r="L156" i="11"/>
  <c r="K183" i="11"/>
  <c r="O94" i="11"/>
  <c r="R124" i="11" s="1"/>
  <c r="P267" i="11"/>
  <c r="S290" i="11"/>
  <c r="G156" i="11"/>
  <c r="G183" i="11"/>
  <c r="N363" i="11"/>
  <c r="N364" i="11" s="1"/>
  <c r="M156" i="11"/>
  <c r="M183" i="11"/>
  <c r="Q183" i="11" s="1"/>
  <c r="N156" i="11"/>
  <c r="L183" i="11"/>
  <c r="P183" i="11" s="1"/>
  <c r="M363" i="11"/>
  <c r="M364" i="11" s="1"/>
  <c r="H363" i="11"/>
  <c r="H394" i="11"/>
  <c r="G363" i="11"/>
  <c r="G394" i="11"/>
  <c r="H316" i="11"/>
  <c r="H338" i="11"/>
  <c r="G316" i="11"/>
  <c r="G338" i="11"/>
  <c r="O266" i="11"/>
  <c r="R290" i="11" s="1"/>
  <c r="G290" i="11"/>
  <c r="H267" i="11"/>
  <c r="H290" i="11"/>
  <c r="N214" i="11"/>
  <c r="L240" i="11" s="1"/>
  <c r="P239" i="11"/>
  <c r="M214" i="11"/>
  <c r="M240" i="11" s="1"/>
  <c r="Q239" i="11"/>
  <c r="H214" i="11"/>
  <c r="H239" i="11"/>
  <c r="G214" i="11"/>
  <c r="G239" i="11"/>
  <c r="H156" i="11"/>
  <c r="H183" i="11"/>
  <c r="L363" i="11"/>
  <c r="K394" i="11"/>
  <c r="X363" i="11"/>
  <c r="S395" i="11"/>
  <c r="L316" i="11"/>
  <c r="K338" i="11"/>
  <c r="M316" i="11"/>
  <c r="M338" i="11"/>
  <c r="Q338" i="11" s="1"/>
  <c r="X316" i="11"/>
  <c r="S339" i="11"/>
  <c r="N316" i="11"/>
  <c r="L338" i="11"/>
  <c r="P338" i="11" s="1"/>
  <c r="N267" i="11"/>
  <c r="L290" i="11"/>
  <c r="P290" i="11" s="1"/>
  <c r="L267" i="11"/>
  <c r="K290" i="11"/>
  <c r="M267" i="11"/>
  <c r="M290" i="11"/>
  <c r="Q290" i="11" s="1"/>
  <c r="X213" i="11"/>
  <c r="S239" i="11"/>
  <c r="P95" i="11"/>
  <c r="S125" i="11" s="1"/>
  <c r="O36" i="11"/>
  <c r="R65" i="11" s="1"/>
  <c r="H37" i="11"/>
  <c r="N95" i="11"/>
  <c r="L124" i="11"/>
  <c r="P124" i="11" s="1"/>
  <c r="M95" i="11"/>
  <c r="M124" i="11"/>
  <c r="Q124" i="11" s="1"/>
  <c r="G95" i="11"/>
  <c r="O95" i="11" s="1"/>
  <c r="R125" i="11" s="1"/>
  <c r="G124" i="11"/>
  <c r="H95" i="11"/>
  <c r="T95" i="11" s="1"/>
  <c r="Y95" i="11" s="1"/>
  <c r="H124" i="11"/>
  <c r="L95" i="11"/>
  <c r="K124" i="11"/>
  <c r="L37" i="11"/>
  <c r="K65" i="11"/>
  <c r="N37" i="11"/>
  <c r="L65" i="11"/>
  <c r="P65" i="11" s="1"/>
  <c r="S217" i="11"/>
  <c r="H38" i="11"/>
  <c r="H66" i="11"/>
  <c r="G37" i="11"/>
  <c r="O37" i="11" s="1"/>
  <c r="R66" i="11" s="1"/>
  <c r="G65" i="11"/>
  <c r="M37" i="11"/>
  <c r="M65" i="11"/>
  <c r="Q65" i="11" s="1"/>
  <c r="G52" i="11"/>
  <c r="G80" i="11"/>
  <c r="V8" i="9"/>
  <c r="V38" i="9"/>
  <c r="Z38" i="9" s="1"/>
  <c r="W8" i="9"/>
  <c r="U38" i="9"/>
  <c r="Y38" i="9" s="1"/>
  <c r="V19" i="8"/>
  <c r="V73" i="8"/>
  <c r="Z73" i="8" s="1"/>
  <c r="W19" i="8"/>
  <c r="U73" i="8"/>
  <c r="Y73" i="8" s="1"/>
  <c r="K104" i="8"/>
  <c r="K68" i="8"/>
  <c r="K159" i="8"/>
  <c r="K95" i="8"/>
  <c r="K152" i="8"/>
  <c r="K92" i="8"/>
  <c r="K145" i="8"/>
  <c r="K88" i="8"/>
  <c r="K138" i="8"/>
  <c r="K85" i="8"/>
  <c r="K131" i="8"/>
  <c r="K81" i="8"/>
  <c r="K124" i="8"/>
  <c r="K77" i="8"/>
  <c r="K117" i="8"/>
  <c r="K74" i="8"/>
  <c r="K110" i="8"/>
  <c r="K70" i="8"/>
  <c r="K158" i="8"/>
  <c r="K151" i="8"/>
  <c r="K91" i="8"/>
  <c r="K144" i="8"/>
  <c r="K137" i="8"/>
  <c r="K130" i="8"/>
  <c r="K80" i="8"/>
  <c r="K123" i="8"/>
  <c r="K116" i="8"/>
  <c r="K109" i="8"/>
  <c r="K156" i="8"/>
  <c r="K94" i="8"/>
  <c r="K149" i="8"/>
  <c r="K90" i="8"/>
  <c r="K142" i="8"/>
  <c r="K87" i="8"/>
  <c r="K135" i="8"/>
  <c r="K84" i="8"/>
  <c r="Z341" i="3" s="1"/>
  <c r="Y342" i="3" s="1"/>
  <c r="K128" i="8"/>
  <c r="K79" i="8"/>
  <c r="K121" i="8"/>
  <c r="K76" i="8"/>
  <c r="K114" i="8"/>
  <c r="K73" i="8"/>
  <c r="K108" i="8"/>
  <c r="K155" i="8"/>
  <c r="K148" i="8"/>
  <c r="K141" i="8"/>
  <c r="K134" i="8"/>
  <c r="K127" i="8"/>
  <c r="K120" i="8"/>
  <c r="K113" i="8"/>
  <c r="K72" i="8"/>
  <c r="K106" i="8"/>
  <c r="K69" i="8"/>
  <c r="K161" i="8"/>
  <c r="K96" i="8"/>
  <c r="K154" i="8"/>
  <c r="K93" i="8"/>
  <c r="K147" i="8"/>
  <c r="K89" i="8"/>
  <c r="K140" i="8"/>
  <c r="K86" i="8"/>
  <c r="K133" i="8"/>
  <c r="K83" i="8"/>
  <c r="K126" i="8"/>
  <c r="K78" i="8"/>
  <c r="K119" i="8"/>
  <c r="K75" i="8"/>
  <c r="K112" i="8"/>
  <c r="K71" i="8"/>
  <c r="K105" i="8"/>
  <c r="K160" i="8"/>
  <c r="K153" i="8"/>
  <c r="K146" i="8"/>
  <c r="K139" i="8"/>
  <c r="K132" i="8"/>
  <c r="K82" i="8"/>
  <c r="K125" i="8"/>
  <c r="K118" i="8"/>
  <c r="K111" i="8"/>
  <c r="K162" i="8"/>
  <c r="E38" i="4"/>
  <c r="W14" i="7"/>
  <c r="W15" i="7" s="1"/>
  <c r="U64" i="7"/>
  <c r="Y64" i="7" s="1"/>
  <c r="W8" i="7"/>
  <c r="W9" i="7" s="1"/>
  <c r="U61" i="7"/>
  <c r="Y61" i="7" s="1"/>
  <c r="V8" i="7"/>
  <c r="V9" i="7" s="1"/>
  <c r="V61" i="7"/>
  <c r="Z61" i="7" s="1"/>
  <c r="Y8" i="7"/>
  <c r="Y9" i="7" s="1"/>
  <c r="AB61" i="7"/>
  <c r="Q14" i="7"/>
  <c r="Q15" i="7" s="1"/>
  <c r="Q64" i="7"/>
  <c r="V14" i="7"/>
  <c r="V15" i="7" s="1"/>
  <c r="V64" i="7"/>
  <c r="Z64" i="7" s="1"/>
  <c r="K99" i="7"/>
  <c r="K120" i="7"/>
  <c r="K138" i="7"/>
  <c r="K125" i="7"/>
  <c r="K75" i="7"/>
  <c r="K118" i="7"/>
  <c r="K72" i="7"/>
  <c r="K111" i="7"/>
  <c r="K69" i="7"/>
  <c r="K104" i="7"/>
  <c r="K66" i="7"/>
  <c r="K131" i="7"/>
  <c r="K79" i="7"/>
  <c r="K97" i="7"/>
  <c r="K63" i="7"/>
  <c r="K124" i="7"/>
  <c r="K117" i="7"/>
  <c r="K110" i="7"/>
  <c r="K103" i="7"/>
  <c r="K132" i="7"/>
  <c r="K80" i="7"/>
  <c r="K137" i="7"/>
  <c r="K82" i="7"/>
  <c r="K130" i="7"/>
  <c r="K78" i="7"/>
  <c r="K142" i="7"/>
  <c r="K84" i="7"/>
  <c r="K123" i="7"/>
  <c r="K74" i="7"/>
  <c r="K116" i="7"/>
  <c r="K71" i="7"/>
  <c r="K109" i="7"/>
  <c r="K68" i="7"/>
  <c r="K102" i="7"/>
  <c r="K65" i="7"/>
  <c r="K127" i="7"/>
  <c r="K106" i="7"/>
  <c r="K141" i="7"/>
  <c r="K122" i="7"/>
  <c r="K115" i="7"/>
  <c r="K108" i="7"/>
  <c r="K101" i="7"/>
  <c r="K136" i="7"/>
  <c r="K129" i="7"/>
  <c r="K77" i="7"/>
  <c r="K135" i="7"/>
  <c r="K81" i="7"/>
  <c r="K128" i="7"/>
  <c r="K76" i="7"/>
  <c r="Z339" i="3" s="1"/>
  <c r="Y340" i="3" s="1"/>
  <c r="K139" i="7"/>
  <c r="K83" i="7"/>
  <c r="K113" i="7"/>
  <c r="K121" i="7"/>
  <c r="K73" i="7"/>
  <c r="K114" i="7"/>
  <c r="K70" i="7"/>
  <c r="K107" i="7"/>
  <c r="K67" i="7"/>
  <c r="K134" i="7"/>
  <c r="K100" i="7"/>
  <c r="K64" i="7"/>
  <c r="W8" i="6"/>
  <c r="W9" i="6" s="1"/>
  <c r="U84" i="6"/>
  <c r="Y84" i="6" s="1"/>
  <c r="V8" i="6"/>
  <c r="V9" i="6" s="1"/>
  <c r="V84" i="6"/>
  <c r="Z84" i="6" s="1"/>
  <c r="V25" i="6"/>
  <c r="P39" i="6"/>
  <c r="W25" i="6"/>
  <c r="Q39" i="6"/>
  <c r="K206" i="6"/>
  <c r="Q8" i="5"/>
  <c r="Q84" i="5"/>
  <c r="P8" i="5"/>
  <c r="P84" i="5"/>
  <c r="V8" i="5"/>
  <c r="V84" i="5"/>
  <c r="Z84" i="5" s="1"/>
  <c r="W8" i="5"/>
  <c r="U84" i="5"/>
  <c r="Y84" i="5" s="1"/>
  <c r="P37" i="5"/>
  <c r="Q37" i="5"/>
  <c r="V37" i="5"/>
  <c r="W37" i="5"/>
  <c r="S367" i="11"/>
  <c r="AA33" i="11"/>
  <c r="T152" i="11"/>
  <c r="Y152" i="11" s="1"/>
  <c r="Z152" i="11"/>
  <c r="X152" i="11" s="1"/>
  <c r="T210" i="11"/>
  <c r="Y210" i="11" s="1"/>
  <c r="Z210" i="11"/>
  <c r="X210" i="11" s="1"/>
  <c r="Z104" i="11"/>
  <c r="Z43" i="11"/>
  <c r="T36" i="11"/>
  <c r="Y36" i="11" s="1"/>
  <c r="Z36" i="11"/>
  <c r="X36" i="11" s="1"/>
  <c r="Z215" i="11"/>
  <c r="X37" i="11"/>
  <c r="Z165" i="11"/>
  <c r="T362" i="11"/>
  <c r="Y362" i="11" s="1"/>
  <c r="Z362" i="11"/>
  <c r="X362" i="11" s="1"/>
  <c r="Z107" i="11"/>
  <c r="Z373" i="11"/>
  <c r="Z223" i="11"/>
  <c r="Z270" i="11"/>
  <c r="Z228" i="11"/>
  <c r="Z371" i="11"/>
  <c r="Z159" i="11"/>
  <c r="Z162" i="11"/>
  <c r="Z95" i="11"/>
  <c r="X95" i="11" s="1"/>
  <c r="Z110" i="11"/>
  <c r="Z224" i="11"/>
  <c r="T35" i="11"/>
  <c r="Y35" i="11" s="1"/>
  <c r="Z35" i="11"/>
  <c r="X35" i="11" s="1"/>
  <c r="Z268" i="11"/>
  <c r="Z108" i="11"/>
  <c r="Z40" i="11"/>
  <c r="Z220" i="11"/>
  <c r="Z164" i="11"/>
  <c r="Z39" i="11"/>
  <c r="T38" i="11"/>
  <c r="Y38" i="11" s="1"/>
  <c r="Z38" i="11"/>
  <c r="T265" i="11"/>
  <c r="Y265" i="11" s="1"/>
  <c r="Z265" i="11"/>
  <c r="X265" i="11" s="1"/>
  <c r="T374" i="11"/>
  <c r="Y374" i="11" s="1"/>
  <c r="Z374" i="11"/>
  <c r="Z323" i="11"/>
  <c r="T154" i="11"/>
  <c r="Y154" i="11" s="1"/>
  <c r="Z154" i="11"/>
  <c r="X154" i="11" s="1"/>
  <c r="Z217" i="11"/>
  <c r="Z42" i="11"/>
  <c r="Z219" i="11"/>
  <c r="Z372" i="11"/>
  <c r="Z102" i="11"/>
  <c r="T34" i="11"/>
  <c r="Y34" i="11" s="1"/>
  <c r="Z34" i="11"/>
  <c r="X34" i="11" s="1"/>
  <c r="Z157" i="11"/>
  <c r="X157" i="11" s="1"/>
  <c r="Z100" i="11"/>
  <c r="T94" i="11"/>
  <c r="Y94" i="11" s="1"/>
  <c r="Z94" i="11"/>
  <c r="X94" i="11" s="1"/>
  <c r="Z370" i="11"/>
  <c r="Z216" i="11"/>
  <c r="Z105" i="11"/>
  <c r="Z99" i="11"/>
  <c r="Z368" i="11"/>
  <c r="Z44" i="11"/>
  <c r="T266" i="11"/>
  <c r="Y266" i="11" s="1"/>
  <c r="Z266" i="11"/>
  <c r="X266" i="11" s="1"/>
  <c r="Z221" i="11"/>
  <c r="Z366" i="11"/>
  <c r="Z369" i="11"/>
  <c r="Z269" i="11"/>
  <c r="Z169" i="11"/>
  <c r="Z364" i="11"/>
  <c r="Z222" i="11"/>
  <c r="Z163" i="11"/>
  <c r="C44" i="2"/>
  <c r="C45" i="2" s="1"/>
  <c r="J214" i="11"/>
  <c r="K214" i="11" s="1"/>
  <c r="J240" i="11" s="1"/>
  <c r="K37" i="11"/>
  <c r="J66" i="11" s="1"/>
  <c r="G267" i="11"/>
  <c r="P364" i="11"/>
  <c r="S396" i="11" s="1"/>
  <c r="O363" i="11"/>
  <c r="R395" i="11" s="1"/>
  <c r="J365" i="11"/>
  <c r="K364" i="11"/>
  <c r="J396" i="11" s="1"/>
  <c r="J318" i="11"/>
  <c r="K317" i="11"/>
  <c r="J340" i="11" s="1"/>
  <c r="P317" i="11"/>
  <c r="O316" i="11"/>
  <c r="R339" i="11" s="1"/>
  <c r="K94" i="11"/>
  <c r="J124" i="11" s="1"/>
  <c r="S272" i="11"/>
  <c r="Q272" i="11"/>
  <c r="AA272" i="11" s="1"/>
  <c r="J269" i="11"/>
  <c r="K268" i="11"/>
  <c r="J292" i="11" s="1"/>
  <c r="H51" i="11"/>
  <c r="K36" i="11"/>
  <c r="J65" i="11" s="1"/>
  <c r="P214" i="11"/>
  <c r="O213" i="11"/>
  <c r="R239" i="11" s="1"/>
  <c r="K95" i="11"/>
  <c r="J125" i="11" s="1"/>
  <c r="J96" i="11"/>
  <c r="T37" i="11"/>
  <c r="Y37" i="11" s="1"/>
  <c r="K155" i="11"/>
  <c r="J183" i="11" s="1"/>
  <c r="J156" i="11"/>
  <c r="P158" i="11"/>
  <c r="P96" i="11"/>
  <c r="K38" i="11"/>
  <c r="J67" i="11" s="1"/>
  <c r="J39" i="11"/>
  <c r="T49" i="11"/>
  <c r="Y48" i="11" s="1"/>
  <c r="P38" i="11"/>
  <c r="S67" i="11" s="1"/>
  <c r="T50" i="11"/>
  <c r="Y49" i="11" s="1"/>
  <c r="P13" i="7"/>
  <c r="P64" i="7" s="1"/>
  <c r="Q52" i="5"/>
  <c r="J3" i="10"/>
  <c r="G7" i="10" s="1"/>
  <c r="L3" i="4"/>
  <c r="M3" i="4" s="1"/>
  <c r="E9" i="10"/>
  <c r="E10" i="10"/>
  <c r="E11" i="10"/>
  <c r="E13" i="10"/>
  <c r="E14" i="10"/>
  <c r="E7" i="10"/>
  <c r="F6" i="10"/>
  <c r="F15" i="10" s="1"/>
  <c r="E6" i="10"/>
  <c r="L395" i="11" l="1"/>
  <c r="P395" i="11" s="1"/>
  <c r="N157" i="11"/>
  <c r="L184" i="11"/>
  <c r="P184" i="11" s="1"/>
  <c r="M157" i="11"/>
  <c r="M184" i="11"/>
  <c r="Q184" i="11" s="1"/>
  <c r="G157" i="11"/>
  <c r="G184" i="11"/>
  <c r="X267" i="11"/>
  <c r="S291" i="11"/>
  <c r="P268" i="11"/>
  <c r="L157" i="11"/>
  <c r="K184" i="11"/>
  <c r="L215" i="11"/>
  <c r="K240" i="11"/>
  <c r="H11" i="10"/>
  <c r="O156" i="11"/>
  <c r="R184" i="11" s="1"/>
  <c r="M395" i="11"/>
  <c r="Q395" i="11" s="1"/>
  <c r="H364" i="11"/>
  <c r="H395" i="11"/>
  <c r="T363" i="11"/>
  <c r="Y363" i="11" s="1"/>
  <c r="G364" i="11"/>
  <c r="G395" i="11"/>
  <c r="H317" i="11"/>
  <c r="H339" i="11"/>
  <c r="T316" i="11"/>
  <c r="Y316" i="11" s="1"/>
  <c r="G317" i="11"/>
  <c r="G339" i="11"/>
  <c r="O267" i="11"/>
  <c r="R291" i="11" s="1"/>
  <c r="G291" i="11"/>
  <c r="H268" i="11"/>
  <c r="H291" i="11"/>
  <c r="T267" i="11"/>
  <c r="Y267" i="11" s="1"/>
  <c r="N215" i="11"/>
  <c r="L241" i="11" s="1"/>
  <c r="P240" i="11"/>
  <c r="M215" i="11"/>
  <c r="M241" i="11" s="1"/>
  <c r="Q240" i="11"/>
  <c r="H215" i="11"/>
  <c r="H240" i="11"/>
  <c r="T214" i="11"/>
  <c r="Y214" i="11" s="1"/>
  <c r="G215" i="11"/>
  <c r="G240" i="11"/>
  <c r="H157" i="11"/>
  <c r="H184" i="11"/>
  <c r="T156" i="11"/>
  <c r="Y156" i="11" s="1"/>
  <c r="N3" i="4"/>
  <c r="F35" i="4"/>
  <c r="M4" i="5"/>
  <c r="M5" i="5" s="1"/>
  <c r="L364" i="11"/>
  <c r="K395" i="11"/>
  <c r="M365" i="11"/>
  <c r="M396" i="11"/>
  <c r="Q396" i="11" s="1"/>
  <c r="N365" i="11"/>
  <c r="L396" i="11"/>
  <c r="P396" i="11" s="1"/>
  <c r="N317" i="11"/>
  <c r="L339" i="11"/>
  <c r="P339" i="11" s="1"/>
  <c r="X317" i="11"/>
  <c r="S340" i="11"/>
  <c r="M317" i="11"/>
  <c r="M339" i="11"/>
  <c r="Q339" i="11" s="1"/>
  <c r="L317" i="11"/>
  <c r="K339" i="11"/>
  <c r="M268" i="11"/>
  <c r="M291" i="11"/>
  <c r="Q291" i="11" s="1"/>
  <c r="L268" i="11"/>
  <c r="K291" i="11"/>
  <c r="N268" i="11"/>
  <c r="L291" i="11"/>
  <c r="P291" i="11" s="1"/>
  <c r="X214" i="11"/>
  <c r="S240" i="11"/>
  <c r="X158" i="11"/>
  <c r="S186" i="11"/>
  <c r="L96" i="11"/>
  <c r="K125" i="11"/>
  <c r="X96" i="11"/>
  <c r="S126" i="11"/>
  <c r="H96" i="11"/>
  <c r="H125" i="11"/>
  <c r="G96" i="11"/>
  <c r="O96" i="11" s="1"/>
  <c r="R126" i="11" s="1"/>
  <c r="G125" i="11"/>
  <c r="M96" i="11"/>
  <c r="M125" i="11"/>
  <c r="Q125" i="11" s="1"/>
  <c r="N96" i="11"/>
  <c r="L125" i="11"/>
  <c r="P125" i="11" s="1"/>
  <c r="M38" i="11"/>
  <c r="M66" i="11"/>
  <c r="Q66" i="11" s="1"/>
  <c r="G38" i="11"/>
  <c r="O38" i="11" s="1"/>
  <c r="R67" i="11" s="1"/>
  <c r="G66" i="11"/>
  <c r="H39" i="11"/>
  <c r="H67" i="11"/>
  <c r="G53" i="11"/>
  <c r="G81" i="11"/>
  <c r="T51" i="11"/>
  <c r="Y50" i="11" s="1"/>
  <c r="H80" i="11"/>
  <c r="N38" i="11"/>
  <c r="L66" i="11"/>
  <c r="P66" i="11" s="1"/>
  <c r="L38" i="11"/>
  <c r="K66" i="11"/>
  <c r="Z367" i="11"/>
  <c r="W10" i="9"/>
  <c r="U39" i="9"/>
  <c r="Y39" i="9" s="1"/>
  <c r="V9" i="9"/>
  <c r="V39" i="9"/>
  <c r="Z39" i="9" s="1"/>
  <c r="U68" i="8"/>
  <c r="Y68" i="8" s="1"/>
  <c r="V68" i="8"/>
  <c r="Z68" i="8" s="1"/>
  <c r="W20" i="8"/>
  <c r="V20" i="8"/>
  <c r="B6" i="15"/>
  <c r="Q16" i="7"/>
  <c r="Q17" i="7" s="1"/>
  <c r="Q66" i="7" s="1"/>
  <c r="Q65" i="7"/>
  <c r="V16" i="7"/>
  <c r="V17" i="7" s="1"/>
  <c r="V65" i="7"/>
  <c r="Z65" i="7" s="1"/>
  <c r="Y10" i="7"/>
  <c r="Y11" i="7" s="1"/>
  <c r="AB62" i="7"/>
  <c r="V10" i="7"/>
  <c r="V11" i="7" s="1"/>
  <c r="V63" i="7" s="1"/>
  <c r="Z63" i="7" s="1"/>
  <c r="V62" i="7"/>
  <c r="Z62" i="7" s="1"/>
  <c r="W10" i="7"/>
  <c r="W11" i="7" s="1"/>
  <c r="U63" i="7" s="1"/>
  <c r="Y63" i="7" s="1"/>
  <c r="U62" i="7"/>
  <c r="Y62" i="7" s="1"/>
  <c r="W16" i="7"/>
  <c r="W17" i="7" s="1"/>
  <c r="U65" i="7"/>
  <c r="Y65" i="7" s="1"/>
  <c r="Q40" i="6"/>
  <c r="Q102" i="6"/>
  <c r="W26" i="6"/>
  <c r="U94" i="6"/>
  <c r="Y94" i="6" s="1"/>
  <c r="P40" i="6"/>
  <c r="P102" i="6"/>
  <c r="V26" i="6"/>
  <c r="V94" i="6"/>
  <c r="Z94" i="6" s="1"/>
  <c r="V10" i="6"/>
  <c r="V11" i="6" s="1"/>
  <c r="V85" i="6"/>
  <c r="Z85" i="6" s="1"/>
  <c r="W10" i="6"/>
  <c r="W11" i="6" s="1"/>
  <c r="U85" i="6"/>
  <c r="Y85" i="6" s="1"/>
  <c r="P38" i="5"/>
  <c r="P99" i="5"/>
  <c r="W9" i="5"/>
  <c r="W38" i="5"/>
  <c r="U99" i="5"/>
  <c r="Y99" i="5" s="1"/>
  <c r="V9" i="5"/>
  <c r="Q53" i="5"/>
  <c r="V38" i="5"/>
  <c r="V99" i="5"/>
  <c r="Z99" i="5" s="1"/>
  <c r="P9" i="5"/>
  <c r="Q38" i="5"/>
  <c r="Q99" i="5"/>
  <c r="Q9" i="5"/>
  <c r="X364" i="11"/>
  <c r="J215" i="11"/>
  <c r="K215" i="11" s="1"/>
  <c r="J241" i="11" s="1"/>
  <c r="X38" i="11"/>
  <c r="Z272" i="11"/>
  <c r="H10" i="10"/>
  <c r="H9" i="10"/>
  <c r="G9" i="10"/>
  <c r="G10" i="10" s="1"/>
  <c r="G11" i="10" s="1"/>
  <c r="G12" i="10" s="1"/>
  <c r="G13" i="10" s="1"/>
  <c r="G14" i="10" s="1"/>
  <c r="G15" i="10" s="1"/>
  <c r="H107" i="10"/>
  <c r="H130" i="10"/>
  <c r="H164" i="10"/>
  <c r="H154" i="10"/>
  <c r="H29" i="10"/>
  <c r="H117" i="10"/>
  <c r="H28" i="10"/>
  <c r="H134" i="10"/>
  <c r="H141" i="10"/>
  <c r="H132" i="10"/>
  <c r="H42" i="10"/>
  <c r="H30" i="10"/>
  <c r="H119" i="10"/>
  <c r="H89" i="10"/>
  <c r="H56" i="10"/>
  <c r="H87" i="10"/>
  <c r="H153" i="10"/>
  <c r="H39" i="10"/>
  <c r="H79" i="10"/>
  <c r="H168" i="10"/>
  <c r="H27" i="10"/>
  <c r="H83" i="10"/>
  <c r="H41" i="10"/>
  <c r="H165" i="10"/>
  <c r="H145" i="10"/>
  <c r="H58" i="10"/>
  <c r="H61" i="10"/>
  <c r="H131" i="10"/>
  <c r="H40" i="10"/>
  <c r="H143" i="10"/>
  <c r="H57" i="10"/>
  <c r="H24" i="10"/>
  <c r="H60" i="10"/>
  <c r="H85" i="10"/>
  <c r="H106" i="10"/>
  <c r="H121" i="10"/>
  <c r="H62" i="10"/>
  <c r="H116" i="10"/>
  <c r="H71" i="10"/>
  <c r="H108" i="10"/>
  <c r="H26" i="10"/>
  <c r="H103" i="10"/>
  <c r="H118" i="10"/>
  <c r="H88" i="10"/>
  <c r="H44" i="10"/>
  <c r="H43" i="10"/>
  <c r="H25" i="10"/>
  <c r="H129" i="10"/>
  <c r="H90" i="10"/>
  <c r="H86" i="10"/>
  <c r="H59" i="10"/>
  <c r="H84" i="10"/>
  <c r="H166" i="10"/>
  <c r="H142" i="10"/>
  <c r="H78" i="10"/>
  <c r="H167" i="10"/>
  <c r="H155" i="10"/>
  <c r="H63" i="10"/>
  <c r="H122" i="10"/>
  <c r="H120" i="10"/>
  <c r="H152" i="10"/>
  <c r="H133" i="10"/>
  <c r="H105" i="10"/>
  <c r="H104" i="10"/>
  <c r="H102" i="10"/>
  <c r="H163" i="10"/>
  <c r="H70" i="10"/>
  <c r="H144" i="10"/>
  <c r="H82" i="10"/>
  <c r="H80" i="10"/>
  <c r="H156" i="10"/>
  <c r="H81" i="10"/>
  <c r="H91" i="10"/>
  <c r="H135" i="10"/>
  <c r="H31" i="10"/>
  <c r="H45" i="10"/>
  <c r="H64" i="10"/>
  <c r="H72" i="10"/>
  <c r="H109" i="10"/>
  <c r="H123" i="10"/>
  <c r="H146" i="10"/>
  <c r="H157" i="10"/>
  <c r="H169" i="10"/>
  <c r="H14" i="10"/>
  <c r="H13" i="10"/>
  <c r="H7" i="10"/>
  <c r="H12" i="10"/>
  <c r="G268" i="11"/>
  <c r="K365" i="11"/>
  <c r="J397" i="11" s="1"/>
  <c r="J366" i="11"/>
  <c r="O364" i="11"/>
  <c r="R396" i="11" s="1"/>
  <c r="P365" i="11"/>
  <c r="H52" i="11"/>
  <c r="O317" i="11"/>
  <c r="R340" i="11" s="1"/>
  <c r="P318" i="11"/>
  <c r="K318" i="11"/>
  <c r="J341" i="11" s="1"/>
  <c r="J319" i="11"/>
  <c r="Q271" i="11"/>
  <c r="AA271" i="11" s="1"/>
  <c r="S271" i="11"/>
  <c r="S273" i="11"/>
  <c r="Q273" i="11"/>
  <c r="AA273" i="11" s="1"/>
  <c r="J270" i="11"/>
  <c r="K269" i="11"/>
  <c r="J293" i="11" s="1"/>
  <c r="S225" i="11"/>
  <c r="S229" i="11"/>
  <c r="O214" i="11"/>
  <c r="R240" i="11" s="1"/>
  <c r="P215" i="11"/>
  <c r="J97" i="11"/>
  <c r="K96" i="11"/>
  <c r="J126" i="11" s="1"/>
  <c r="P159" i="11"/>
  <c r="J157" i="11"/>
  <c r="K156" i="11"/>
  <c r="J184" i="11" s="1"/>
  <c r="P97" i="11"/>
  <c r="J40" i="11"/>
  <c r="K39" i="11"/>
  <c r="J68" i="11" s="1"/>
  <c r="P39" i="11"/>
  <c r="Q18" i="7"/>
  <c r="P14" i="7"/>
  <c r="E21" i="10"/>
  <c r="H15" i="10" s="1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208" i="3"/>
  <c r="Y6" i="5"/>
  <c r="U6" i="5"/>
  <c r="U7" i="5" s="1"/>
  <c r="V57" i="9"/>
  <c r="U6" i="8"/>
  <c r="S8" i="8"/>
  <c r="T8" i="8" s="1"/>
  <c r="K8" i="8"/>
  <c r="S7" i="8"/>
  <c r="T7" i="8" s="1"/>
  <c r="S67" i="8" s="1"/>
  <c r="K7" i="8"/>
  <c r="S6" i="8"/>
  <c r="T6" i="8" s="1"/>
  <c r="K6" i="8"/>
  <c r="AA5" i="8"/>
  <c r="Z5" i="8"/>
  <c r="S5" i="8"/>
  <c r="T5" i="8" s="1"/>
  <c r="S66" i="8" s="1"/>
  <c r="Q5" i="8"/>
  <c r="P5" i="8"/>
  <c r="K5" i="8"/>
  <c r="K4" i="8"/>
  <c r="U6" i="7"/>
  <c r="U7" i="7" s="1"/>
  <c r="S10" i="7"/>
  <c r="T10" i="7" s="1"/>
  <c r="K10" i="7"/>
  <c r="S9" i="7"/>
  <c r="T9" i="7" s="1"/>
  <c r="S62" i="7" s="1"/>
  <c r="K9" i="7"/>
  <c r="S8" i="7"/>
  <c r="T8" i="7" s="1"/>
  <c r="K8" i="7"/>
  <c r="S7" i="7"/>
  <c r="T7" i="7" s="1"/>
  <c r="S61" i="7" s="1"/>
  <c r="K7" i="7"/>
  <c r="S6" i="7"/>
  <c r="T6" i="7" s="1"/>
  <c r="K6" i="7"/>
  <c r="Z5" i="7"/>
  <c r="S5" i="7"/>
  <c r="T5" i="7" s="1"/>
  <c r="S60" i="7" s="1"/>
  <c r="Q6" i="7"/>
  <c r="Q7" i="7" s="1"/>
  <c r="Q61" i="7" s="1"/>
  <c r="X5" i="7"/>
  <c r="AA60" i="7" s="1"/>
  <c r="K5" i="7"/>
  <c r="K4" i="7"/>
  <c r="G5" i="8"/>
  <c r="E54" i="8"/>
  <c r="O156" i="8" s="1"/>
  <c r="E55" i="8"/>
  <c r="O158" i="8" s="1"/>
  <c r="E56" i="8"/>
  <c r="O159" i="8" s="1"/>
  <c r="E57" i="8"/>
  <c r="O160" i="8" s="1"/>
  <c r="E58" i="8"/>
  <c r="O161" i="8" s="1"/>
  <c r="E59" i="8"/>
  <c r="E60" i="8"/>
  <c r="O162" i="8" s="1"/>
  <c r="F37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S44" i="6"/>
  <c r="T44" i="6" s="1"/>
  <c r="S45" i="6"/>
  <c r="T45" i="6" s="1"/>
  <c r="S106" i="6" s="1"/>
  <c r="S46" i="6"/>
  <c r="S47" i="6"/>
  <c r="T47" i="6" s="1"/>
  <c r="S107" i="6" s="1"/>
  <c r="S48" i="6"/>
  <c r="T48" i="6" s="1"/>
  <c r="S49" i="6"/>
  <c r="S50" i="6"/>
  <c r="T50" i="6" s="1"/>
  <c r="S51" i="6"/>
  <c r="T51" i="6" s="1"/>
  <c r="S109" i="6" s="1"/>
  <c r="S52" i="6"/>
  <c r="T52" i="6" s="1"/>
  <c r="S53" i="6"/>
  <c r="T53" i="6" s="1"/>
  <c r="S110" i="6" s="1"/>
  <c r="S54" i="6"/>
  <c r="T54" i="6" s="1"/>
  <c r="S111" i="6" s="1"/>
  <c r="S55" i="6"/>
  <c r="T55" i="6" s="1"/>
  <c r="S112" i="6" s="1"/>
  <c r="S56" i="6"/>
  <c r="T56" i="6" s="1"/>
  <c r="S57" i="6"/>
  <c r="T57" i="6" s="1"/>
  <c r="S113" i="6" s="1"/>
  <c r="S58" i="6"/>
  <c r="S59" i="6"/>
  <c r="T59" i="6" s="1"/>
  <c r="S114" i="6" s="1"/>
  <c r="S60" i="6"/>
  <c r="T60" i="6" s="1"/>
  <c r="S61" i="6"/>
  <c r="T61" i="6" s="1"/>
  <c r="S115" i="6" s="1"/>
  <c r="S62" i="6"/>
  <c r="T62" i="6" s="1"/>
  <c r="S63" i="6"/>
  <c r="T63" i="6" s="1"/>
  <c r="S116" i="6" s="1"/>
  <c r="S64" i="6"/>
  <c r="T64" i="6" s="1"/>
  <c r="S117" i="6" s="1"/>
  <c r="S65" i="6"/>
  <c r="T65" i="6" s="1"/>
  <c r="S118" i="6" s="1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167" i="6"/>
  <c r="E168" i="6"/>
  <c r="E169" i="6"/>
  <c r="E138" i="6"/>
  <c r="Y6" i="9"/>
  <c r="Y7" i="9" s="1"/>
  <c r="U6" i="9"/>
  <c r="U7" i="9" s="1"/>
  <c r="N21" i="4"/>
  <c r="K12" i="9"/>
  <c r="S12" i="9"/>
  <c r="T12" i="9" s="1"/>
  <c r="S42" i="9" s="1"/>
  <c r="K13" i="9"/>
  <c r="S13" i="9"/>
  <c r="T13" i="9" s="1"/>
  <c r="S43" i="9" s="1"/>
  <c r="K14" i="9"/>
  <c r="S14" i="9"/>
  <c r="T14" i="9" s="1"/>
  <c r="K15" i="9"/>
  <c r="S15" i="9"/>
  <c r="T15" i="9" s="1"/>
  <c r="S44" i="9" s="1"/>
  <c r="K16" i="9"/>
  <c r="S16" i="9"/>
  <c r="T16" i="9" s="1"/>
  <c r="K17" i="9"/>
  <c r="S17" i="9"/>
  <c r="T17" i="9" s="1"/>
  <c r="S45" i="9" s="1"/>
  <c r="K18" i="9"/>
  <c r="S18" i="9"/>
  <c r="T18" i="9" s="1"/>
  <c r="K19" i="9"/>
  <c r="S19" i="9"/>
  <c r="T19" i="9" s="1"/>
  <c r="S46" i="9" s="1"/>
  <c r="K20" i="9"/>
  <c r="S20" i="9"/>
  <c r="T20" i="9" s="1"/>
  <c r="K21" i="9"/>
  <c r="S21" i="9"/>
  <c r="T21" i="9" s="1"/>
  <c r="S47" i="9" s="1"/>
  <c r="K22" i="9"/>
  <c r="S22" i="9"/>
  <c r="T22" i="9" s="1"/>
  <c r="K23" i="9"/>
  <c r="S23" i="9"/>
  <c r="T23" i="9" s="1"/>
  <c r="S48" i="9" s="1"/>
  <c r="K24" i="9"/>
  <c r="S24" i="9"/>
  <c r="T24" i="9" s="1"/>
  <c r="K25" i="9"/>
  <c r="S25" i="9"/>
  <c r="T25" i="9" s="1"/>
  <c r="S49" i="9" s="1"/>
  <c r="K26" i="9"/>
  <c r="S26" i="9"/>
  <c r="T26" i="9" s="1"/>
  <c r="K27" i="9"/>
  <c r="S27" i="9"/>
  <c r="T27" i="9" s="1"/>
  <c r="S50" i="9" s="1"/>
  <c r="K28" i="9"/>
  <c r="S28" i="9"/>
  <c r="T28" i="9" s="1"/>
  <c r="K29" i="9"/>
  <c r="S29" i="9"/>
  <c r="T29" i="9" s="1"/>
  <c r="S51" i="9" s="1"/>
  <c r="K30" i="9"/>
  <c r="S30" i="9"/>
  <c r="T30" i="9" s="1"/>
  <c r="K31" i="9"/>
  <c r="K52" i="9" s="1"/>
  <c r="Z343" i="3" s="1"/>
  <c r="S31" i="9"/>
  <c r="T31" i="9" s="1"/>
  <c r="S52" i="9" s="1"/>
  <c r="S11" i="9"/>
  <c r="T11" i="9" s="1"/>
  <c r="S41" i="9" s="1"/>
  <c r="K11" i="9"/>
  <c r="S10" i="9"/>
  <c r="T10" i="9" s="1"/>
  <c r="K10" i="9"/>
  <c r="S9" i="9"/>
  <c r="T9" i="9" s="1"/>
  <c r="S40" i="9" s="1"/>
  <c r="K9" i="9"/>
  <c r="S8" i="9"/>
  <c r="T8" i="9" s="1"/>
  <c r="S39" i="9" s="1"/>
  <c r="K8" i="9"/>
  <c r="S7" i="9"/>
  <c r="T7" i="9" s="1"/>
  <c r="S38" i="9" s="1"/>
  <c r="K7" i="9"/>
  <c r="S6" i="9"/>
  <c r="T6" i="9" s="1"/>
  <c r="K6" i="9"/>
  <c r="Z5" i="9"/>
  <c r="S5" i="9"/>
  <c r="T5" i="9" s="1"/>
  <c r="S37" i="9" s="1"/>
  <c r="Q6" i="9"/>
  <c r="Q7" i="9" s="1"/>
  <c r="X5" i="9"/>
  <c r="AA37" i="9" s="1"/>
  <c r="K5" i="9"/>
  <c r="K4" i="9"/>
  <c r="F5" i="9"/>
  <c r="F6" i="9" s="1"/>
  <c r="AA6" i="9" s="1"/>
  <c r="N57" i="9" s="1"/>
  <c r="E6" i="9"/>
  <c r="E7" i="9"/>
  <c r="E8" i="9"/>
  <c r="E9" i="9"/>
  <c r="E10" i="9"/>
  <c r="E11" i="9"/>
  <c r="O62" i="9" s="1"/>
  <c r="E12" i="9"/>
  <c r="E13" i="9"/>
  <c r="E14" i="9"/>
  <c r="E15" i="9"/>
  <c r="E16" i="9"/>
  <c r="O68" i="9" s="1"/>
  <c r="E17" i="9"/>
  <c r="E18" i="9"/>
  <c r="E19" i="9"/>
  <c r="E20" i="9"/>
  <c r="E21" i="9"/>
  <c r="E22" i="9"/>
  <c r="E23" i="9"/>
  <c r="O76" i="9" s="1"/>
  <c r="E24" i="9"/>
  <c r="E25" i="9"/>
  <c r="O79" i="9" s="1"/>
  <c r="E26" i="9"/>
  <c r="E27" i="9"/>
  <c r="E28" i="9"/>
  <c r="O82" i="9" s="1"/>
  <c r="E29" i="9"/>
  <c r="E30" i="9"/>
  <c r="E31" i="9"/>
  <c r="E4" i="9"/>
  <c r="E8" i="8"/>
  <c r="E9" i="8"/>
  <c r="E10" i="8"/>
  <c r="E11" i="8"/>
  <c r="E12" i="8"/>
  <c r="E14" i="8"/>
  <c r="E15" i="8"/>
  <c r="E16" i="8"/>
  <c r="E17" i="8"/>
  <c r="E18" i="8"/>
  <c r="E19" i="8"/>
  <c r="O116" i="8" s="1"/>
  <c r="E20" i="8"/>
  <c r="O117" i="8" s="1"/>
  <c r="E21" i="8"/>
  <c r="O118" i="8" s="1"/>
  <c r="E22" i="8"/>
  <c r="O119" i="8" s="1"/>
  <c r="E23" i="8"/>
  <c r="O120" i="8" s="1"/>
  <c r="E24" i="8"/>
  <c r="O121" i="8" s="1"/>
  <c r="E25" i="8"/>
  <c r="O123" i="8" s="1"/>
  <c r="E26" i="8"/>
  <c r="O124" i="8" s="1"/>
  <c r="E27" i="8"/>
  <c r="O125" i="8" s="1"/>
  <c r="E28" i="8"/>
  <c r="O126" i="8" s="1"/>
  <c r="E29" i="8"/>
  <c r="O127" i="8" s="1"/>
  <c r="E30" i="8"/>
  <c r="O128" i="8" s="1"/>
  <c r="E31" i="8"/>
  <c r="O130" i="8" s="1"/>
  <c r="E32" i="8"/>
  <c r="O131" i="8" s="1"/>
  <c r="E33" i="8"/>
  <c r="O132" i="8" s="1"/>
  <c r="E34" i="8"/>
  <c r="O133" i="8" s="1"/>
  <c r="E35" i="8"/>
  <c r="O134" i="8" s="1"/>
  <c r="E36" i="8"/>
  <c r="O135" i="8" s="1"/>
  <c r="E37" i="8"/>
  <c r="O137" i="8" s="1"/>
  <c r="E38" i="8"/>
  <c r="O138" i="8" s="1"/>
  <c r="E39" i="8"/>
  <c r="O139" i="8" s="1"/>
  <c r="E40" i="8"/>
  <c r="O140" i="8" s="1"/>
  <c r="E41" i="8"/>
  <c r="O141" i="8" s="1"/>
  <c r="E42" i="8"/>
  <c r="O142" i="8" s="1"/>
  <c r="E43" i="8"/>
  <c r="O144" i="8" s="1"/>
  <c r="E44" i="8"/>
  <c r="O145" i="8" s="1"/>
  <c r="E45" i="8"/>
  <c r="O146" i="8" s="1"/>
  <c r="E46" i="8"/>
  <c r="O147" i="8" s="1"/>
  <c r="E47" i="8"/>
  <c r="O148" i="8" s="1"/>
  <c r="E48" i="8"/>
  <c r="O149" i="8" s="1"/>
  <c r="E49" i="8"/>
  <c r="O151" i="8" s="1"/>
  <c r="E50" i="8"/>
  <c r="O152" i="8" s="1"/>
  <c r="E51" i="8"/>
  <c r="O153" i="8" s="1"/>
  <c r="E52" i="8"/>
  <c r="O154" i="8" s="1"/>
  <c r="E53" i="8"/>
  <c r="O155" i="8" s="1"/>
  <c r="E7" i="8"/>
  <c r="E6" i="8"/>
  <c r="E4" i="8"/>
  <c r="E7" i="7"/>
  <c r="O93" i="7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6" i="7"/>
  <c r="E4" i="7"/>
  <c r="Q24" i="6"/>
  <c r="P6" i="6"/>
  <c r="X6" i="6" s="1"/>
  <c r="Q5" i="6"/>
  <c r="Q83" i="6" s="1"/>
  <c r="K23" i="6"/>
  <c r="S23" i="6"/>
  <c r="T23" i="6" s="1"/>
  <c r="S93" i="6" s="1"/>
  <c r="K24" i="6"/>
  <c r="S24" i="6"/>
  <c r="T24" i="6" s="1"/>
  <c r="K25" i="6"/>
  <c r="S25" i="6"/>
  <c r="T25" i="6" s="1"/>
  <c r="S94" i="6" s="1"/>
  <c r="K26" i="6"/>
  <c r="S26" i="6"/>
  <c r="T26" i="6" s="1"/>
  <c r="K27" i="6"/>
  <c r="S27" i="6"/>
  <c r="T27" i="6" s="1"/>
  <c r="S95" i="6" s="1"/>
  <c r="K28" i="6"/>
  <c r="S28" i="6"/>
  <c r="T28" i="6" s="1"/>
  <c r="K29" i="6"/>
  <c r="S29" i="6"/>
  <c r="T29" i="6" s="1"/>
  <c r="S96" i="6" s="1"/>
  <c r="K30" i="6"/>
  <c r="S30" i="6"/>
  <c r="T30" i="6" s="1"/>
  <c r="K31" i="6"/>
  <c r="S31" i="6"/>
  <c r="T31" i="6" s="1"/>
  <c r="S97" i="6" s="1"/>
  <c r="K32" i="6"/>
  <c r="S32" i="6"/>
  <c r="T32" i="6" s="1"/>
  <c r="K33" i="6"/>
  <c r="S33" i="6"/>
  <c r="T33" i="6" s="1"/>
  <c r="S98" i="6" s="1"/>
  <c r="K34" i="6"/>
  <c r="S34" i="6"/>
  <c r="T34" i="6" s="1"/>
  <c r="K35" i="6"/>
  <c r="S35" i="6"/>
  <c r="T35" i="6" s="1"/>
  <c r="S99" i="6" s="1"/>
  <c r="K36" i="6"/>
  <c r="S36" i="6"/>
  <c r="T36" i="6" s="1"/>
  <c r="S100" i="6" s="1"/>
  <c r="K37" i="6"/>
  <c r="S37" i="6"/>
  <c r="T37" i="6" s="1"/>
  <c r="S101" i="6" s="1"/>
  <c r="X37" i="6"/>
  <c r="AA101" i="6" s="1"/>
  <c r="K38" i="6"/>
  <c r="S38" i="6"/>
  <c r="T38" i="6" s="1"/>
  <c r="X38" i="6"/>
  <c r="K39" i="6"/>
  <c r="S39" i="6"/>
  <c r="T39" i="6" s="1"/>
  <c r="S102" i="6" s="1"/>
  <c r="X39" i="6"/>
  <c r="AA102" i="6" s="1"/>
  <c r="K40" i="6"/>
  <c r="S40" i="6"/>
  <c r="T40" i="6" s="1"/>
  <c r="X40" i="6"/>
  <c r="K41" i="6"/>
  <c r="S41" i="6"/>
  <c r="T41" i="6" s="1"/>
  <c r="S103" i="6" s="1"/>
  <c r="K42" i="6"/>
  <c r="S42" i="6"/>
  <c r="T42" i="6" s="1"/>
  <c r="S104" i="6" s="1"/>
  <c r="X42" i="6"/>
  <c r="AA104" i="6" s="1"/>
  <c r="K43" i="6"/>
  <c r="S43" i="6"/>
  <c r="T43" i="6" s="1"/>
  <c r="S105" i="6" s="1"/>
  <c r="T46" i="6"/>
  <c r="T49" i="6"/>
  <c r="S108" i="6" s="1"/>
  <c r="X55" i="6"/>
  <c r="AA112" i="6" s="1"/>
  <c r="T58" i="6"/>
  <c r="AA117" i="6"/>
  <c r="S22" i="6"/>
  <c r="T22" i="6" s="1"/>
  <c r="S92" i="6" s="1"/>
  <c r="K22" i="6"/>
  <c r="S21" i="6"/>
  <c r="T21" i="6" s="1"/>
  <c r="S91" i="6" s="1"/>
  <c r="K21" i="6"/>
  <c r="S20" i="6"/>
  <c r="T20" i="6" s="1"/>
  <c r="K20" i="6"/>
  <c r="S19" i="6"/>
  <c r="T19" i="6" s="1"/>
  <c r="S90" i="6" s="1"/>
  <c r="K19" i="6"/>
  <c r="S18" i="6"/>
  <c r="T18" i="6" s="1"/>
  <c r="K18" i="6"/>
  <c r="S17" i="6"/>
  <c r="T17" i="6" s="1"/>
  <c r="S89" i="6" s="1"/>
  <c r="K17" i="6"/>
  <c r="S16" i="6"/>
  <c r="T16" i="6" s="1"/>
  <c r="K16" i="6"/>
  <c r="S15" i="6"/>
  <c r="T15" i="6" s="1"/>
  <c r="S88" i="6" s="1"/>
  <c r="K15" i="6"/>
  <c r="S14" i="6"/>
  <c r="T14" i="6" s="1"/>
  <c r="K14" i="6"/>
  <c r="S13" i="6"/>
  <c r="T13" i="6" s="1"/>
  <c r="S87" i="6" s="1"/>
  <c r="K13" i="6"/>
  <c r="S12" i="6"/>
  <c r="T12" i="6" s="1"/>
  <c r="K12" i="6"/>
  <c r="S11" i="6"/>
  <c r="T11" i="6" s="1"/>
  <c r="S86" i="6" s="1"/>
  <c r="K11" i="6"/>
  <c r="S10" i="6"/>
  <c r="T10" i="6" s="1"/>
  <c r="K10" i="6"/>
  <c r="S9" i="6"/>
  <c r="T9" i="6" s="1"/>
  <c r="S85" i="6" s="1"/>
  <c r="K9" i="6"/>
  <c r="S8" i="6"/>
  <c r="T8" i="6" s="1"/>
  <c r="K8" i="6"/>
  <c r="S7" i="6"/>
  <c r="T7" i="6" s="1"/>
  <c r="S84" i="6" s="1"/>
  <c r="K7" i="6"/>
  <c r="S6" i="6"/>
  <c r="T6" i="6" s="1"/>
  <c r="K6" i="6"/>
  <c r="X5" i="6"/>
  <c r="AA83" i="6" s="1"/>
  <c r="S5" i="6"/>
  <c r="T5" i="6" s="1"/>
  <c r="S83" i="6" s="1"/>
  <c r="K5" i="6"/>
  <c r="K83" i="6" s="1"/>
  <c r="K4" i="6"/>
  <c r="L57" i="9" l="1"/>
  <c r="L216" i="11"/>
  <c r="K241" i="11"/>
  <c r="L158" i="11"/>
  <c r="K185" i="11"/>
  <c r="S292" i="11"/>
  <c r="P269" i="11"/>
  <c r="G158" i="11"/>
  <c r="G185" i="11"/>
  <c r="O157" i="11"/>
  <c r="R185" i="11" s="1"/>
  <c r="M158" i="11"/>
  <c r="M185" i="11"/>
  <c r="Q185" i="11" s="1"/>
  <c r="N158" i="11"/>
  <c r="L185" i="11"/>
  <c r="P185" i="11" s="1"/>
  <c r="X268" i="11"/>
  <c r="H365" i="11"/>
  <c r="H396" i="11"/>
  <c r="T364" i="11"/>
  <c r="Y364" i="11" s="1"/>
  <c r="G365" i="11"/>
  <c r="O365" i="11" s="1"/>
  <c r="R397" i="11" s="1"/>
  <c r="G396" i="11"/>
  <c r="H318" i="11"/>
  <c r="H340" i="11"/>
  <c r="T317" i="11"/>
  <c r="Y317" i="11" s="1"/>
  <c r="G318" i="11"/>
  <c r="G340" i="11"/>
  <c r="G269" i="11"/>
  <c r="G293" i="11" s="1"/>
  <c r="G292" i="11"/>
  <c r="H269" i="11"/>
  <c r="H292" i="11"/>
  <c r="T268" i="11"/>
  <c r="Y268" i="11" s="1"/>
  <c r="N216" i="11"/>
  <c r="L242" i="11" s="1"/>
  <c r="P241" i="11"/>
  <c r="M216" i="11"/>
  <c r="M242" i="11" s="1"/>
  <c r="Q241" i="11"/>
  <c r="H216" i="11"/>
  <c r="H241" i="11"/>
  <c r="T215" i="11"/>
  <c r="Y215" i="11" s="1"/>
  <c r="G216" i="11"/>
  <c r="G241" i="11"/>
  <c r="H158" i="11"/>
  <c r="H185" i="11"/>
  <c r="T157" i="11"/>
  <c r="Y157" i="11" s="1"/>
  <c r="M83" i="5"/>
  <c r="AB335" i="3" s="1"/>
  <c r="L5" i="5"/>
  <c r="L83" i="5" s="1"/>
  <c r="AA335" i="3" s="1"/>
  <c r="M6" i="5"/>
  <c r="M7" i="5" s="1"/>
  <c r="X365" i="11"/>
  <c r="S397" i="11"/>
  <c r="N366" i="11"/>
  <c r="L397" i="11"/>
  <c r="P397" i="11" s="1"/>
  <c r="M366" i="11"/>
  <c r="M397" i="11"/>
  <c r="Q397" i="11" s="1"/>
  <c r="L365" i="11"/>
  <c r="K396" i="11"/>
  <c r="X318" i="11"/>
  <c r="S341" i="11"/>
  <c r="L318" i="11"/>
  <c r="K340" i="11"/>
  <c r="M318" i="11"/>
  <c r="M340" i="11"/>
  <c r="Q340" i="11" s="1"/>
  <c r="N318" i="11"/>
  <c r="L340" i="11"/>
  <c r="P340" i="11" s="1"/>
  <c r="N269" i="11"/>
  <c r="L292" i="11"/>
  <c r="P292" i="11" s="1"/>
  <c r="L269" i="11"/>
  <c r="K292" i="11"/>
  <c r="M269" i="11"/>
  <c r="M292" i="11"/>
  <c r="Q292" i="11" s="1"/>
  <c r="X215" i="11"/>
  <c r="S241" i="11"/>
  <c r="X159" i="11"/>
  <c r="S187" i="11"/>
  <c r="N97" i="11"/>
  <c r="L126" i="11"/>
  <c r="P126" i="11" s="1"/>
  <c r="X97" i="11"/>
  <c r="S127" i="11"/>
  <c r="M97" i="11"/>
  <c r="M126" i="11"/>
  <c r="Q126" i="11" s="1"/>
  <c r="G97" i="11"/>
  <c r="G126" i="11"/>
  <c r="H97" i="11"/>
  <c r="H126" i="11"/>
  <c r="T96" i="11"/>
  <c r="Y96" i="11" s="1"/>
  <c r="L97" i="11"/>
  <c r="K126" i="11"/>
  <c r="S230" i="11"/>
  <c r="H81" i="11"/>
  <c r="N39" i="11"/>
  <c r="L67" i="11"/>
  <c r="P67" i="11" s="1"/>
  <c r="G54" i="11"/>
  <c r="G82" i="11"/>
  <c r="H40" i="11"/>
  <c r="H68" i="11"/>
  <c r="T39" i="11"/>
  <c r="Y39" i="11" s="1"/>
  <c r="G39" i="11"/>
  <c r="G67" i="11"/>
  <c r="X39" i="11"/>
  <c r="S68" i="11"/>
  <c r="L39" i="11"/>
  <c r="K67" i="11"/>
  <c r="M39" i="11"/>
  <c r="M67" i="11"/>
  <c r="Q67" i="11" s="1"/>
  <c r="Q8" i="9"/>
  <c r="Q39" i="9" s="1"/>
  <c r="Q38" i="9"/>
  <c r="V10" i="9"/>
  <c r="V40" i="9"/>
  <c r="Z40" i="9" s="1"/>
  <c r="U8" i="9"/>
  <c r="T38" i="9"/>
  <c r="Y8" i="9"/>
  <c r="AB38" i="9"/>
  <c r="W11" i="9"/>
  <c r="K56" i="9"/>
  <c r="K37" i="9"/>
  <c r="K83" i="9"/>
  <c r="K51" i="9"/>
  <c r="K78" i="9"/>
  <c r="K71" i="9"/>
  <c r="K64" i="9"/>
  <c r="K42" i="9"/>
  <c r="K60" i="9"/>
  <c r="K40" i="9"/>
  <c r="K76" i="9"/>
  <c r="K48" i="9"/>
  <c r="K69" i="9"/>
  <c r="K45" i="9"/>
  <c r="K61" i="9"/>
  <c r="K82" i="9"/>
  <c r="K75" i="9"/>
  <c r="K68" i="9"/>
  <c r="K62" i="9"/>
  <c r="K41" i="9"/>
  <c r="K81" i="9"/>
  <c r="K50" i="9"/>
  <c r="AA5" i="9"/>
  <c r="AB5" i="9" s="1"/>
  <c r="M56" i="9" s="1"/>
  <c r="K74" i="9"/>
  <c r="K47" i="9"/>
  <c r="K67" i="9"/>
  <c r="K44" i="9"/>
  <c r="K57" i="9"/>
  <c r="K80" i="9"/>
  <c r="K73" i="9"/>
  <c r="K66" i="9"/>
  <c r="K58" i="9"/>
  <c r="K38" i="9"/>
  <c r="K79" i="9"/>
  <c r="K49" i="9"/>
  <c r="K72" i="9"/>
  <c r="K46" i="9"/>
  <c r="K65" i="9"/>
  <c r="K43" i="9"/>
  <c r="K59" i="9"/>
  <c r="K39" i="9"/>
  <c r="K84" i="9"/>
  <c r="E39" i="4"/>
  <c r="U7" i="8"/>
  <c r="P6" i="8"/>
  <c r="P7" i="8" s="1"/>
  <c r="P66" i="8"/>
  <c r="V21" i="8"/>
  <c r="V74" i="8"/>
  <c r="Z74" i="8" s="1"/>
  <c r="Q6" i="8"/>
  <c r="Q7" i="8" s="1"/>
  <c r="Q66" i="8"/>
  <c r="W21" i="8"/>
  <c r="U74" i="8"/>
  <c r="Y74" i="8" s="1"/>
  <c r="K100" i="8"/>
  <c r="K66" i="8"/>
  <c r="K101" i="8"/>
  <c r="K102" i="8"/>
  <c r="K67" i="8"/>
  <c r="K103" i="8"/>
  <c r="W18" i="7"/>
  <c r="W19" i="7" s="1"/>
  <c r="U66" i="7"/>
  <c r="Y66" i="7" s="1"/>
  <c r="Y12" i="7"/>
  <c r="AB63" i="7"/>
  <c r="V18" i="7"/>
  <c r="V19" i="7" s="1"/>
  <c r="V66" i="7"/>
  <c r="Z66" i="7" s="1"/>
  <c r="U8" i="7"/>
  <c r="U9" i="7" s="1"/>
  <c r="T61" i="7"/>
  <c r="K91" i="7"/>
  <c r="K60" i="7"/>
  <c r="K92" i="7"/>
  <c r="K93" i="7"/>
  <c r="K61" i="7"/>
  <c r="K94" i="7"/>
  <c r="K95" i="7"/>
  <c r="K62" i="7"/>
  <c r="K96" i="7"/>
  <c r="W12" i="6"/>
  <c r="W13" i="6" s="1"/>
  <c r="U86" i="6"/>
  <c r="Y86" i="6" s="1"/>
  <c r="V12" i="6"/>
  <c r="V13" i="6" s="1"/>
  <c r="V86" i="6"/>
  <c r="Z86" i="6" s="1"/>
  <c r="AA93" i="6"/>
  <c r="P93" i="6"/>
  <c r="Q25" i="6"/>
  <c r="V27" i="6"/>
  <c r="P41" i="6"/>
  <c r="W27" i="6"/>
  <c r="Q41" i="6"/>
  <c r="K199" i="6"/>
  <c r="K185" i="6"/>
  <c r="K197" i="6"/>
  <c r="K114" i="6"/>
  <c r="K183" i="6"/>
  <c r="K107" i="6"/>
  <c r="K196" i="6"/>
  <c r="K182" i="6"/>
  <c r="K195" i="6"/>
  <c r="K113" i="6"/>
  <c r="K181" i="6"/>
  <c r="K106" i="6"/>
  <c r="K194" i="6"/>
  <c r="K180" i="6"/>
  <c r="K193" i="6"/>
  <c r="K112" i="6"/>
  <c r="K192" i="6"/>
  <c r="K111" i="6"/>
  <c r="K204" i="6"/>
  <c r="K118" i="6"/>
  <c r="K190" i="6"/>
  <c r="K110" i="6"/>
  <c r="K203" i="6"/>
  <c r="K117" i="6"/>
  <c r="K189" i="6"/>
  <c r="K202" i="6"/>
  <c r="K116" i="6"/>
  <c r="K188" i="6"/>
  <c r="K109" i="6"/>
  <c r="K201" i="6"/>
  <c r="K187" i="6"/>
  <c r="K200" i="6"/>
  <c r="K115" i="6"/>
  <c r="K186" i="6"/>
  <c r="K108" i="6"/>
  <c r="K178" i="6"/>
  <c r="K104" i="6"/>
  <c r="K173" i="6"/>
  <c r="K140" i="6"/>
  <c r="K147" i="6"/>
  <c r="K154" i="6"/>
  <c r="K92" i="6"/>
  <c r="K166" i="6"/>
  <c r="K159" i="6"/>
  <c r="K141" i="6"/>
  <c r="K86" i="6"/>
  <c r="K148" i="6"/>
  <c r="K89" i="6"/>
  <c r="K176" i="6"/>
  <c r="K103" i="6"/>
  <c r="Z337" i="3" s="1"/>
  <c r="Y338" i="3" s="1"/>
  <c r="K172" i="6"/>
  <c r="K101" i="6"/>
  <c r="K165" i="6"/>
  <c r="K97" i="6"/>
  <c r="K158" i="6"/>
  <c r="K94" i="6"/>
  <c r="K171" i="6"/>
  <c r="K100" i="6"/>
  <c r="K164" i="6"/>
  <c r="K157" i="6"/>
  <c r="K150" i="6"/>
  <c r="K175" i="6"/>
  <c r="K137" i="6"/>
  <c r="K84" i="6"/>
  <c r="K144" i="6"/>
  <c r="K87" i="6"/>
  <c r="K151" i="6"/>
  <c r="K90" i="6"/>
  <c r="K169" i="6"/>
  <c r="K99" i="6"/>
  <c r="K162" i="6"/>
  <c r="K96" i="6"/>
  <c r="K155" i="6"/>
  <c r="K93" i="6"/>
  <c r="K136" i="6"/>
  <c r="K143" i="6"/>
  <c r="K138" i="6"/>
  <c r="K145" i="6"/>
  <c r="K152" i="6"/>
  <c r="K179" i="6"/>
  <c r="K105" i="6"/>
  <c r="K174" i="6"/>
  <c r="K102" i="6"/>
  <c r="K168" i="6"/>
  <c r="K161" i="6"/>
  <c r="K139" i="6"/>
  <c r="K85" i="6"/>
  <c r="K146" i="6"/>
  <c r="K88" i="6"/>
  <c r="K153" i="6"/>
  <c r="K91" i="6"/>
  <c r="K167" i="6"/>
  <c r="K98" i="6"/>
  <c r="K160" i="6"/>
  <c r="K95" i="6"/>
  <c r="Q54" i="5"/>
  <c r="Q108" i="5"/>
  <c r="Q10" i="5"/>
  <c r="Q85" i="5"/>
  <c r="V10" i="5"/>
  <c r="V85" i="5"/>
  <c r="Z85" i="5" s="1"/>
  <c r="U8" i="5"/>
  <c r="T84" i="5"/>
  <c r="Q39" i="5"/>
  <c r="W39" i="5"/>
  <c r="W10" i="5"/>
  <c r="U85" i="5"/>
  <c r="Y85" i="5" s="1"/>
  <c r="P10" i="5"/>
  <c r="P85" i="5"/>
  <c r="P39" i="5"/>
  <c r="V39" i="5"/>
  <c r="J216" i="11"/>
  <c r="J217" i="11" s="1"/>
  <c r="O268" i="11"/>
  <c r="R292" i="11" s="1"/>
  <c r="Z273" i="11"/>
  <c r="Z271" i="11"/>
  <c r="Z229" i="11"/>
  <c r="Z230" i="11"/>
  <c r="Z225" i="11"/>
  <c r="Z20" i="9"/>
  <c r="O73" i="9"/>
  <c r="Z8" i="9"/>
  <c r="O59" i="9"/>
  <c r="Z11" i="9"/>
  <c r="Z9" i="9"/>
  <c r="O60" i="9"/>
  <c r="Z31" i="9"/>
  <c r="O84" i="9"/>
  <c r="Z19" i="9"/>
  <c r="O72" i="9"/>
  <c r="Z7" i="9"/>
  <c r="O58" i="9"/>
  <c r="Z30" i="9"/>
  <c r="Z18" i="9"/>
  <c r="O71" i="9"/>
  <c r="Z6" i="9"/>
  <c r="O57" i="9"/>
  <c r="Z29" i="9"/>
  <c r="O83" i="9"/>
  <c r="Z17" i="9"/>
  <c r="O69" i="9"/>
  <c r="Z25" i="9"/>
  <c r="Z27" i="9"/>
  <c r="O81" i="9"/>
  <c r="Z15" i="9"/>
  <c r="O67" i="9"/>
  <c r="Z16" i="9"/>
  <c r="Z13" i="9"/>
  <c r="O65" i="9"/>
  <c r="Z28" i="9"/>
  <c r="Z21" i="9"/>
  <c r="O74" i="9"/>
  <c r="Z24" i="9"/>
  <c r="O78" i="9"/>
  <c r="Z12" i="9"/>
  <c r="O64" i="9"/>
  <c r="Z14" i="9"/>
  <c r="O66" i="9"/>
  <c r="Z26" i="9"/>
  <c r="O80" i="9"/>
  <c r="Z22" i="9"/>
  <c r="O75" i="9"/>
  <c r="Z10" i="9"/>
  <c r="O61" i="9"/>
  <c r="Z23" i="9"/>
  <c r="O101" i="8"/>
  <c r="O102" i="8"/>
  <c r="O114" i="8"/>
  <c r="O113" i="8"/>
  <c r="O112" i="8"/>
  <c r="O111" i="8"/>
  <c r="O110" i="8"/>
  <c r="O108" i="8"/>
  <c r="O106" i="8"/>
  <c r="O105" i="8"/>
  <c r="O104" i="8"/>
  <c r="O103" i="8"/>
  <c r="AB5" i="8"/>
  <c r="M100" i="8" s="1"/>
  <c r="Z42" i="8"/>
  <c r="Z44" i="8"/>
  <c r="Z32" i="8"/>
  <c r="Z20" i="8"/>
  <c r="Z59" i="8"/>
  <c r="Z7" i="8"/>
  <c r="Z6" i="8"/>
  <c r="Z43" i="8"/>
  <c r="Z31" i="8"/>
  <c r="Z19" i="8"/>
  <c r="Z58" i="8"/>
  <c r="Z53" i="8"/>
  <c r="Z41" i="8"/>
  <c r="Z29" i="8"/>
  <c r="Z17" i="8"/>
  <c r="Z56" i="8"/>
  <c r="Z52" i="8"/>
  <c r="Z40" i="8"/>
  <c r="Z28" i="8"/>
  <c r="Z16" i="8"/>
  <c r="Z55" i="8"/>
  <c r="Z57" i="8"/>
  <c r="Z51" i="8"/>
  <c r="Z39" i="8"/>
  <c r="Z27" i="8"/>
  <c r="Z15" i="8"/>
  <c r="Z54" i="8"/>
  <c r="Z50" i="8"/>
  <c r="Z38" i="8"/>
  <c r="Z26" i="8"/>
  <c r="Z14" i="8"/>
  <c r="Z30" i="8"/>
  <c r="Z49" i="8"/>
  <c r="Z37" i="8"/>
  <c r="Z25" i="8"/>
  <c r="Z18" i="8"/>
  <c r="Z48" i="8"/>
  <c r="Z36" i="8"/>
  <c r="Z24" i="8"/>
  <c r="Z11" i="8"/>
  <c r="Z47" i="8"/>
  <c r="Z35" i="8"/>
  <c r="Z23" i="8"/>
  <c r="Z10" i="8"/>
  <c r="Z46" i="8"/>
  <c r="Z34" i="8"/>
  <c r="Z22" i="8"/>
  <c r="Z9" i="8"/>
  <c r="Z45" i="8"/>
  <c r="Z33" i="8"/>
  <c r="Z21" i="8"/>
  <c r="Z8" i="8"/>
  <c r="Z60" i="8"/>
  <c r="Z28" i="7"/>
  <c r="O117" i="7"/>
  <c r="Z16" i="7"/>
  <c r="O103" i="7"/>
  <c r="Z43" i="7"/>
  <c r="O135" i="7"/>
  <c r="Z27" i="7"/>
  <c r="O116" i="7"/>
  <c r="Z15" i="7"/>
  <c r="O102" i="7"/>
  <c r="Z42" i="7"/>
  <c r="O134" i="7"/>
  <c r="Z26" i="7"/>
  <c r="O115" i="7"/>
  <c r="Z14" i="7"/>
  <c r="O101" i="7"/>
  <c r="Z41" i="7"/>
  <c r="O132" i="7"/>
  <c r="Z45" i="7"/>
  <c r="O137" i="7"/>
  <c r="Z25" i="7"/>
  <c r="O114" i="7"/>
  <c r="Z13" i="7"/>
  <c r="O100" i="7"/>
  <c r="Z40" i="7"/>
  <c r="O131" i="7"/>
  <c r="Z7" i="7"/>
  <c r="Z6" i="7"/>
  <c r="O92" i="7"/>
  <c r="Z24" i="7"/>
  <c r="O113" i="7"/>
  <c r="Z12" i="7"/>
  <c r="O99" i="7"/>
  <c r="Z39" i="7"/>
  <c r="O130" i="7"/>
  <c r="Z35" i="7"/>
  <c r="O125" i="7"/>
  <c r="Z23" i="7"/>
  <c r="O111" i="7"/>
  <c r="Z11" i="7"/>
  <c r="O97" i="7"/>
  <c r="Z38" i="7"/>
  <c r="O129" i="7"/>
  <c r="Z34" i="7"/>
  <c r="O124" i="7"/>
  <c r="Z22" i="7"/>
  <c r="O110" i="7"/>
  <c r="Z10" i="7"/>
  <c r="O96" i="7"/>
  <c r="Z49" i="7"/>
  <c r="O142" i="7"/>
  <c r="Z37" i="7"/>
  <c r="G37" i="7"/>
  <c r="O128" i="7"/>
  <c r="Z18" i="7"/>
  <c r="O106" i="7"/>
  <c r="Z33" i="7"/>
  <c r="O123" i="7"/>
  <c r="Z21" i="7"/>
  <c r="O109" i="7"/>
  <c r="Z9" i="7"/>
  <c r="O95" i="7"/>
  <c r="Z48" i="7"/>
  <c r="O141" i="7"/>
  <c r="Z36" i="7"/>
  <c r="G36" i="7"/>
  <c r="O127" i="7"/>
  <c r="Z30" i="7"/>
  <c r="O120" i="7"/>
  <c r="Z32" i="7"/>
  <c r="O122" i="7"/>
  <c r="Z20" i="7"/>
  <c r="O108" i="7"/>
  <c r="Z8" i="7"/>
  <c r="O94" i="7"/>
  <c r="Z47" i="7"/>
  <c r="O139" i="7"/>
  <c r="Z31" i="7"/>
  <c r="O121" i="7"/>
  <c r="Z19" i="7"/>
  <c r="O107" i="7"/>
  <c r="Z46" i="7"/>
  <c r="O138" i="7"/>
  <c r="Z29" i="7"/>
  <c r="O118" i="7"/>
  <c r="Z17" i="7"/>
  <c r="O104" i="7"/>
  <c r="Z44" i="7"/>
  <c r="O136" i="7"/>
  <c r="Z65" i="6"/>
  <c r="O204" i="6"/>
  <c r="Z53" i="6"/>
  <c r="O190" i="6"/>
  <c r="Z64" i="6"/>
  <c r="O203" i="6"/>
  <c r="Z52" i="6"/>
  <c r="O189" i="6"/>
  <c r="Z63" i="6"/>
  <c r="O202" i="6"/>
  <c r="Z51" i="6"/>
  <c r="O188" i="6"/>
  <c r="Z62" i="6"/>
  <c r="O201" i="6"/>
  <c r="Z50" i="6"/>
  <c r="O187" i="6"/>
  <c r="Z61" i="6"/>
  <c r="O200" i="6"/>
  <c r="Z49" i="6"/>
  <c r="O186" i="6"/>
  <c r="Z60" i="6"/>
  <c r="O199" i="6"/>
  <c r="Z48" i="6"/>
  <c r="O185" i="6"/>
  <c r="Z59" i="6"/>
  <c r="O197" i="6"/>
  <c r="Z47" i="6"/>
  <c r="O183" i="6"/>
  <c r="Z58" i="6"/>
  <c r="O196" i="6"/>
  <c r="Z46" i="6"/>
  <c r="O182" i="6"/>
  <c r="Z57" i="6"/>
  <c r="O195" i="6"/>
  <c r="Z45" i="6"/>
  <c r="O181" i="6"/>
  <c r="Z56" i="6"/>
  <c r="O194" i="6"/>
  <c r="Z44" i="6"/>
  <c r="O180" i="6"/>
  <c r="Q6" i="6"/>
  <c r="Q7" i="6" s="1"/>
  <c r="Z67" i="6"/>
  <c r="O207" i="6"/>
  <c r="Z55" i="6"/>
  <c r="O193" i="6"/>
  <c r="Z66" i="6"/>
  <c r="O206" i="6"/>
  <c r="Z54" i="6"/>
  <c r="O192" i="6"/>
  <c r="Y7" i="5"/>
  <c r="AB84" i="5" s="1"/>
  <c r="X6" i="5"/>
  <c r="H53" i="11"/>
  <c r="T52" i="11"/>
  <c r="Y51" i="11" s="1"/>
  <c r="P366" i="11"/>
  <c r="J367" i="11"/>
  <c r="K366" i="11"/>
  <c r="J398" i="11" s="1"/>
  <c r="J320" i="11"/>
  <c r="K319" i="11"/>
  <c r="J342" i="11" s="1"/>
  <c r="P319" i="11"/>
  <c r="O318" i="11"/>
  <c r="R341" i="11" s="1"/>
  <c r="S274" i="11"/>
  <c r="Q274" i="11"/>
  <c r="AA274" i="11" s="1"/>
  <c r="G270" i="11"/>
  <c r="G294" i="11" s="1"/>
  <c r="O269" i="11"/>
  <c r="R293" i="11" s="1"/>
  <c r="J271" i="11"/>
  <c r="K270" i="11"/>
  <c r="J294" i="11" s="1"/>
  <c r="S226" i="11"/>
  <c r="T48" i="11"/>
  <c r="Y47" i="11" s="1"/>
  <c r="P216" i="11"/>
  <c r="O215" i="11"/>
  <c r="R241" i="11" s="1"/>
  <c r="J98" i="11"/>
  <c r="K97" i="11"/>
  <c r="J127" i="11" s="1"/>
  <c r="K157" i="11"/>
  <c r="J185" i="11" s="1"/>
  <c r="J158" i="11"/>
  <c r="P160" i="11"/>
  <c r="P98" i="11"/>
  <c r="O97" i="11"/>
  <c r="R127" i="11" s="1"/>
  <c r="K40" i="11"/>
  <c r="J69" i="11" s="1"/>
  <c r="J41" i="11"/>
  <c r="P40" i="11"/>
  <c r="O39" i="11"/>
  <c r="R68" i="11" s="1"/>
  <c r="AA37" i="7"/>
  <c r="N128" i="7" s="1"/>
  <c r="E13" i="8"/>
  <c r="Z12" i="8"/>
  <c r="Q18" i="8"/>
  <c r="Q73" i="8" s="1"/>
  <c r="P15" i="7"/>
  <c r="P65" i="7" s="1"/>
  <c r="Q19" i="7"/>
  <c r="Q67" i="7" s="1"/>
  <c r="P24" i="6"/>
  <c r="P7" i="6"/>
  <c r="P84" i="6" s="1"/>
  <c r="X5" i="8"/>
  <c r="AA66" i="8" s="1"/>
  <c r="Q8" i="7"/>
  <c r="P6" i="7"/>
  <c r="F6" i="8"/>
  <c r="F38" i="7"/>
  <c r="AA38" i="7" s="1"/>
  <c r="N129" i="7" s="1"/>
  <c r="L129" i="7" s="1"/>
  <c r="AB6" i="9"/>
  <c r="M57" i="9" s="1"/>
  <c r="Q10" i="9"/>
  <c r="P6" i="9"/>
  <c r="G5" i="9"/>
  <c r="G6" i="9"/>
  <c r="F7" i="9"/>
  <c r="E5" i="6"/>
  <c r="Z5" i="6" s="1"/>
  <c r="E6" i="6"/>
  <c r="E7" i="6"/>
  <c r="E8" i="6"/>
  <c r="E9" i="6"/>
  <c r="E10" i="6"/>
  <c r="O140" i="6" s="1"/>
  <c r="E11" i="6"/>
  <c r="O141" i="6" s="1"/>
  <c r="E12" i="6"/>
  <c r="O143" i="6" s="1"/>
  <c r="E13" i="6"/>
  <c r="O144" i="6" s="1"/>
  <c r="E14" i="6"/>
  <c r="O145" i="6" s="1"/>
  <c r="E15" i="6"/>
  <c r="O146" i="6" s="1"/>
  <c r="E16" i="6"/>
  <c r="O147" i="6" s="1"/>
  <c r="E17" i="6"/>
  <c r="O148" i="6" s="1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" i="6"/>
  <c r="O135" i="6" s="1"/>
  <c r="F4" i="6"/>
  <c r="Z17" i="5"/>
  <c r="S6" i="5"/>
  <c r="T6" i="5" s="1"/>
  <c r="S7" i="5"/>
  <c r="T7" i="5" s="1"/>
  <c r="S84" i="5" s="1"/>
  <c r="S8" i="5"/>
  <c r="T8" i="5" s="1"/>
  <c r="S9" i="5"/>
  <c r="T9" i="5" s="1"/>
  <c r="S85" i="5" s="1"/>
  <c r="S10" i="5"/>
  <c r="T10" i="5" s="1"/>
  <c r="S11" i="5"/>
  <c r="T11" i="5" s="1"/>
  <c r="S86" i="5" s="1"/>
  <c r="S12" i="5"/>
  <c r="T12" i="5" s="1"/>
  <c r="S13" i="5"/>
  <c r="T13" i="5" s="1"/>
  <c r="S87" i="5" s="1"/>
  <c r="S14" i="5"/>
  <c r="T14" i="5" s="1"/>
  <c r="S15" i="5"/>
  <c r="T15" i="5" s="1"/>
  <c r="S88" i="5" s="1"/>
  <c r="S16" i="5"/>
  <c r="T16" i="5" s="1"/>
  <c r="S17" i="5"/>
  <c r="T17" i="5" s="1"/>
  <c r="S18" i="5"/>
  <c r="T18" i="5" s="1"/>
  <c r="S19" i="5"/>
  <c r="T19" i="5" s="1"/>
  <c r="S89" i="5" s="1"/>
  <c r="S20" i="5"/>
  <c r="T20" i="5" s="1"/>
  <c r="S21" i="5"/>
  <c r="T21" i="5" s="1"/>
  <c r="S90" i="5" s="1"/>
  <c r="S22" i="5"/>
  <c r="T22" i="5" s="1"/>
  <c r="S23" i="5"/>
  <c r="T23" i="5" s="1"/>
  <c r="S91" i="5" s="1"/>
  <c r="S24" i="5"/>
  <c r="T24" i="5" s="1"/>
  <c r="S25" i="5"/>
  <c r="T25" i="5" s="1"/>
  <c r="S92" i="5" s="1"/>
  <c r="S26" i="5"/>
  <c r="T26" i="5" s="1"/>
  <c r="S27" i="5"/>
  <c r="T27" i="5" s="1"/>
  <c r="S93" i="5" s="1"/>
  <c r="S28" i="5"/>
  <c r="T28" i="5" s="1"/>
  <c r="S29" i="5"/>
  <c r="T29" i="5" s="1"/>
  <c r="S94" i="5" s="1"/>
  <c r="S30" i="5"/>
  <c r="T30" i="5" s="1"/>
  <c r="S31" i="5"/>
  <c r="T31" i="5" s="1"/>
  <c r="S95" i="5" s="1"/>
  <c r="S32" i="5"/>
  <c r="T32" i="5" s="1"/>
  <c r="S33" i="5"/>
  <c r="T33" i="5" s="1"/>
  <c r="S96" i="5" s="1"/>
  <c r="S34" i="5"/>
  <c r="T34" i="5" s="1"/>
  <c r="S97" i="5" s="1"/>
  <c r="S35" i="5"/>
  <c r="T35" i="5" s="1"/>
  <c r="S98" i="5" s="1"/>
  <c r="S36" i="5"/>
  <c r="T36" i="5" s="1"/>
  <c r="S37" i="5"/>
  <c r="T37" i="5" s="1"/>
  <c r="S99" i="5" s="1"/>
  <c r="S38" i="5"/>
  <c r="T38" i="5" s="1"/>
  <c r="S39" i="5"/>
  <c r="T39" i="5" s="1"/>
  <c r="S100" i="5" s="1"/>
  <c r="S40" i="5"/>
  <c r="T40" i="5" s="1"/>
  <c r="S41" i="5"/>
  <c r="T41" i="5" s="1"/>
  <c r="S101" i="5" s="1"/>
  <c r="S42" i="5"/>
  <c r="T42" i="5" s="1"/>
  <c r="S43" i="5"/>
  <c r="T43" i="5" s="1"/>
  <c r="S102" i="5" s="1"/>
  <c r="S44" i="5"/>
  <c r="T44" i="5" s="1"/>
  <c r="S45" i="5"/>
  <c r="T45" i="5" s="1"/>
  <c r="S103" i="5" s="1"/>
  <c r="S46" i="5"/>
  <c r="T46" i="5" s="1"/>
  <c r="S47" i="5"/>
  <c r="T47" i="5" s="1"/>
  <c r="S104" i="5" s="1"/>
  <c r="S48" i="5"/>
  <c r="T48" i="5" s="1"/>
  <c r="S49" i="5"/>
  <c r="T49" i="5" s="1"/>
  <c r="S105" i="5" s="1"/>
  <c r="S50" i="5"/>
  <c r="T50" i="5" s="1"/>
  <c r="S106" i="5" s="1"/>
  <c r="S51" i="5"/>
  <c r="T51" i="5" s="1"/>
  <c r="S107" i="5" s="1"/>
  <c r="S52" i="5"/>
  <c r="T52" i="5" s="1"/>
  <c r="S53" i="5"/>
  <c r="T53" i="5" s="1"/>
  <c r="S108" i="5" s="1"/>
  <c r="S54" i="5"/>
  <c r="T54" i="5" s="1"/>
  <c r="S55" i="5"/>
  <c r="T55" i="5" s="1"/>
  <c r="S109" i="5" s="1"/>
  <c r="S56" i="5"/>
  <c r="T56" i="5" s="1"/>
  <c r="S57" i="5"/>
  <c r="T57" i="5" s="1"/>
  <c r="S110" i="5" s="1"/>
  <c r="S58" i="5"/>
  <c r="T58" i="5" s="1"/>
  <c r="S59" i="5"/>
  <c r="T59" i="5" s="1"/>
  <c r="S111" i="5" s="1"/>
  <c r="S60" i="5"/>
  <c r="T60" i="5" s="1"/>
  <c r="S61" i="5"/>
  <c r="T61" i="5" s="1"/>
  <c r="S112" i="5" s="1"/>
  <c r="S62" i="5"/>
  <c r="T62" i="5" s="1"/>
  <c r="S63" i="5"/>
  <c r="T63" i="5" s="1"/>
  <c r="S113" i="5" s="1"/>
  <c r="S64" i="5"/>
  <c r="T64" i="5" s="1"/>
  <c r="S65" i="5"/>
  <c r="T65" i="5" s="1"/>
  <c r="S114" i="5" s="1"/>
  <c r="S66" i="5"/>
  <c r="T66" i="5" s="1"/>
  <c r="S5" i="5"/>
  <c r="T5" i="5" s="1"/>
  <c r="S83" i="5" s="1"/>
  <c r="E18" i="5"/>
  <c r="K18" i="5"/>
  <c r="K5" i="5"/>
  <c r="K83" i="5" s="1"/>
  <c r="K6" i="5"/>
  <c r="K133" i="5" s="1"/>
  <c r="K7" i="5"/>
  <c r="K8" i="5"/>
  <c r="K9" i="5"/>
  <c r="K10" i="5"/>
  <c r="K11" i="5"/>
  <c r="K12" i="5"/>
  <c r="K13" i="5"/>
  <c r="K14" i="5"/>
  <c r="K15" i="5"/>
  <c r="K16" i="5"/>
  <c r="K17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106" i="5" s="1"/>
  <c r="Z335" i="3" s="1"/>
  <c r="Y336" i="3" s="1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4" i="5"/>
  <c r="X5" i="5"/>
  <c r="AA83" i="5" s="1"/>
  <c r="N56" i="9" l="1"/>
  <c r="L56" i="9" s="1"/>
  <c r="N159" i="11"/>
  <c r="L186" i="11"/>
  <c r="P186" i="11" s="1"/>
  <c r="M159" i="11"/>
  <c r="M186" i="11"/>
  <c r="Q186" i="11" s="1"/>
  <c r="X6" i="8"/>
  <c r="G159" i="11"/>
  <c r="G186" i="11"/>
  <c r="O158" i="11"/>
  <c r="R186" i="11" s="1"/>
  <c r="S293" i="11"/>
  <c r="P270" i="11"/>
  <c r="X269" i="11"/>
  <c r="L159" i="11"/>
  <c r="K186" i="11"/>
  <c r="L217" i="11"/>
  <c r="K242" i="11"/>
  <c r="H366" i="11"/>
  <c r="H397" i="11"/>
  <c r="T365" i="11"/>
  <c r="Y365" i="11" s="1"/>
  <c r="G366" i="11"/>
  <c r="G397" i="11"/>
  <c r="H319" i="11"/>
  <c r="H341" i="11"/>
  <c r="T318" i="11"/>
  <c r="Y318" i="11" s="1"/>
  <c r="G319" i="11"/>
  <c r="G341" i="11"/>
  <c r="H270" i="11"/>
  <c r="H293" i="11"/>
  <c r="T269" i="11"/>
  <c r="Y269" i="11" s="1"/>
  <c r="N217" i="11"/>
  <c r="L243" i="11" s="1"/>
  <c r="P242" i="11"/>
  <c r="M217" i="11"/>
  <c r="M243" i="11" s="1"/>
  <c r="Q242" i="11"/>
  <c r="H217" i="11"/>
  <c r="H242" i="11"/>
  <c r="T216" i="11"/>
  <c r="Y216" i="11" s="1"/>
  <c r="G217" i="11"/>
  <c r="G242" i="11"/>
  <c r="H159" i="11"/>
  <c r="H186" i="11"/>
  <c r="T158" i="11"/>
  <c r="Y158" i="11" s="1"/>
  <c r="M8" i="5"/>
  <c r="M9" i="5" s="1"/>
  <c r="M10" i="5" s="1"/>
  <c r="M84" i="5"/>
  <c r="X366" i="11"/>
  <c r="S398" i="11"/>
  <c r="L366" i="11"/>
  <c r="K397" i="11"/>
  <c r="M367" i="11"/>
  <c r="M398" i="11"/>
  <c r="Q398" i="11" s="1"/>
  <c r="N367" i="11"/>
  <c r="L398" i="11"/>
  <c r="P398" i="11" s="1"/>
  <c r="X319" i="11"/>
  <c r="S342" i="11"/>
  <c r="N319" i="11"/>
  <c r="L341" i="11"/>
  <c r="P341" i="11" s="1"/>
  <c r="M319" i="11"/>
  <c r="M341" i="11"/>
  <c r="Q341" i="11" s="1"/>
  <c r="L319" i="11"/>
  <c r="K341" i="11"/>
  <c r="M270" i="11"/>
  <c r="M293" i="11"/>
  <c r="Q293" i="11" s="1"/>
  <c r="L270" i="11"/>
  <c r="K293" i="11"/>
  <c r="N270" i="11"/>
  <c r="L293" i="11"/>
  <c r="P293" i="11" s="1"/>
  <c r="X216" i="11"/>
  <c r="S242" i="11"/>
  <c r="X160" i="11"/>
  <c r="S188" i="11"/>
  <c r="H98" i="11"/>
  <c r="H127" i="11"/>
  <c r="T97" i="11"/>
  <c r="Y97" i="11" s="1"/>
  <c r="G98" i="11"/>
  <c r="O98" i="11" s="1"/>
  <c r="R128" i="11" s="1"/>
  <c r="G127" i="11"/>
  <c r="M98" i="11"/>
  <c r="M127" i="11"/>
  <c r="Q127" i="11" s="1"/>
  <c r="X98" i="11"/>
  <c r="S128" i="11"/>
  <c r="L98" i="11"/>
  <c r="K127" i="11"/>
  <c r="N98" i="11"/>
  <c r="L127" i="11"/>
  <c r="P127" i="11" s="1"/>
  <c r="G40" i="11"/>
  <c r="G68" i="11"/>
  <c r="T53" i="11"/>
  <c r="Y52" i="11" s="1"/>
  <c r="H82" i="11"/>
  <c r="H41" i="11"/>
  <c r="H69" i="11"/>
  <c r="T40" i="11"/>
  <c r="Y40" i="11" s="1"/>
  <c r="G55" i="11"/>
  <c r="G84" i="11" s="1"/>
  <c r="G83" i="11"/>
  <c r="M40" i="11"/>
  <c r="M68" i="11"/>
  <c r="Q68" i="11" s="1"/>
  <c r="X40" i="11"/>
  <c r="S69" i="11"/>
  <c r="N40" i="11"/>
  <c r="L68" i="11"/>
  <c r="P68" i="11" s="1"/>
  <c r="L40" i="11"/>
  <c r="K68" i="11"/>
  <c r="K216" i="11"/>
  <c r="J242" i="11" s="1"/>
  <c r="W12" i="9"/>
  <c r="U41" i="9"/>
  <c r="Y41" i="9" s="1"/>
  <c r="Y9" i="9"/>
  <c r="AB39" i="9"/>
  <c r="Q11" i="9"/>
  <c r="U9" i="9"/>
  <c r="T39" i="9"/>
  <c r="V11" i="9"/>
  <c r="B7" i="15"/>
  <c r="E47" i="4"/>
  <c r="Q8" i="8"/>
  <c r="Q9" i="8" s="1"/>
  <c r="Q10" i="8" s="1"/>
  <c r="Q11" i="8" s="1"/>
  <c r="Q12" i="8" s="1"/>
  <c r="Q13" i="8" s="1"/>
  <c r="Q14" i="8" s="1"/>
  <c r="Q15" i="8" s="1"/>
  <c r="Q16" i="8" s="1"/>
  <c r="Q67" i="8"/>
  <c r="P8" i="8"/>
  <c r="P9" i="8" s="1"/>
  <c r="P10" i="8" s="1"/>
  <c r="P11" i="8" s="1"/>
  <c r="P12" i="8" s="1"/>
  <c r="P13" i="8" s="1"/>
  <c r="P14" i="8" s="1"/>
  <c r="P15" i="8" s="1"/>
  <c r="P16" i="8" s="1"/>
  <c r="P67" i="8"/>
  <c r="V69" i="8"/>
  <c r="Z69" i="8" s="1"/>
  <c r="W22" i="8"/>
  <c r="V22" i="8"/>
  <c r="U69" i="8"/>
  <c r="Y69" i="8" s="1"/>
  <c r="U8" i="8"/>
  <c r="T67" i="8"/>
  <c r="U10" i="7"/>
  <c r="U11" i="7" s="1"/>
  <c r="T62" i="7"/>
  <c r="V20" i="7"/>
  <c r="V21" i="7" s="1"/>
  <c r="V67" i="7"/>
  <c r="Z67" i="7" s="1"/>
  <c r="Y13" i="7"/>
  <c r="X12" i="7"/>
  <c r="W20" i="7"/>
  <c r="W21" i="7" s="1"/>
  <c r="U67" i="7"/>
  <c r="Y67" i="7" s="1"/>
  <c r="Q8" i="6"/>
  <c r="Q9" i="6" s="1"/>
  <c r="Q84" i="6"/>
  <c r="P43" i="6"/>
  <c r="P103" i="6"/>
  <c r="X41" i="6"/>
  <c r="AA103" i="6" s="1"/>
  <c r="V28" i="6"/>
  <c r="V95" i="6"/>
  <c r="Z95" i="6" s="1"/>
  <c r="Q26" i="6"/>
  <c r="Q94" i="6"/>
  <c r="Q43" i="6"/>
  <c r="Q103" i="6"/>
  <c r="V14" i="6"/>
  <c r="V15" i="6" s="1"/>
  <c r="V87" i="6"/>
  <c r="Z87" i="6" s="1"/>
  <c r="W28" i="6"/>
  <c r="U95" i="6"/>
  <c r="Y95" i="6" s="1"/>
  <c r="W14" i="6"/>
  <c r="W15" i="6" s="1"/>
  <c r="U87" i="6"/>
  <c r="Y87" i="6" s="1"/>
  <c r="W40" i="5"/>
  <c r="U100" i="5"/>
  <c r="Y100" i="5" s="1"/>
  <c r="K196" i="5"/>
  <c r="K112" i="5"/>
  <c r="K168" i="5"/>
  <c r="K99" i="5"/>
  <c r="K140" i="5"/>
  <c r="K195" i="5"/>
  <c r="K153" i="5"/>
  <c r="K194" i="5"/>
  <c r="K111" i="5"/>
  <c r="K166" i="5"/>
  <c r="K98" i="5"/>
  <c r="K137" i="5"/>
  <c r="K193" i="5"/>
  <c r="K179" i="5"/>
  <c r="K165" i="5"/>
  <c r="K97" i="5"/>
  <c r="K151" i="5"/>
  <c r="K136" i="5"/>
  <c r="K85" i="5"/>
  <c r="M166" i="5"/>
  <c r="V40" i="5"/>
  <c r="V100" i="5"/>
  <c r="Z100" i="5" s="1"/>
  <c r="Q40" i="5"/>
  <c r="Q100" i="5"/>
  <c r="K182" i="5"/>
  <c r="K105" i="5"/>
  <c r="K154" i="5"/>
  <c r="K92" i="5"/>
  <c r="P100" i="5"/>
  <c r="P40" i="5"/>
  <c r="K191" i="5"/>
  <c r="K177" i="5"/>
  <c r="K163" i="5"/>
  <c r="K149" i="5"/>
  <c r="K134" i="5"/>
  <c r="K84" i="5"/>
  <c r="U9" i="5"/>
  <c r="K180" i="5"/>
  <c r="K104" i="5"/>
  <c r="K178" i="5"/>
  <c r="K103" i="5"/>
  <c r="K150" i="5"/>
  <c r="K90" i="5"/>
  <c r="K189" i="5"/>
  <c r="K109" i="5"/>
  <c r="K175" i="5"/>
  <c r="K102" i="5"/>
  <c r="K161" i="5"/>
  <c r="K95" i="5"/>
  <c r="K147" i="5"/>
  <c r="K89" i="5"/>
  <c r="K138" i="5"/>
  <c r="K86" i="5"/>
  <c r="P11" i="5"/>
  <c r="V11" i="5"/>
  <c r="K188" i="5"/>
  <c r="K174" i="5"/>
  <c r="K145" i="5"/>
  <c r="K181" i="5"/>
  <c r="K167" i="5"/>
  <c r="K152" i="5"/>
  <c r="K91" i="5"/>
  <c r="K192" i="5"/>
  <c r="K110" i="5"/>
  <c r="K164" i="5"/>
  <c r="K96" i="5"/>
  <c r="K135" i="5"/>
  <c r="K200" i="5"/>
  <c r="K186" i="5"/>
  <c r="K172" i="5"/>
  <c r="K158" i="5"/>
  <c r="K143" i="5"/>
  <c r="K88" i="5"/>
  <c r="W11" i="5"/>
  <c r="Q11" i="5"/>
  <c r="K160" i="5"/>
  <c r="K185" i="5"/>
  <c r="K107" i="5"/>
  <c r="K201" i="5"/>
  <c r="K114" i="5"/>
  <c r="K187" i="5"/>
  <c r="K108" i="5"/>
  <c r="K173" i="5"/>
  <c r="K101" i="5"/>
  <c r="K159" i="5"/>
  <c r="K94" i="5"/>
  <c r="K144" i="5"/>
  <c r="K146" i="5"/>
  <c r="K199" i="5"/>
  <c r="K113" i="5"/>
  <c r="K171" i="5"/>
  <c r="K100" i="5"/>
  <c r="K157" i="5"/>
  <c r="K93" i="5"/>
  <c r="K142" i="5"/>
  <c r="K198" i="5"/>
  <c r="K184" i="5"/>
  <c r="K170" i="5"/>
  <c r="K156" i="5"/>
  <c r="K141" i="5"/>
  <c r="K87" i="5"/>
  <c r="Q55" i="5"/>
  <c r="Z226" i="11"/>
  <c r="Z274" i="11"/>
  <c r="O109" i="8"/>
  <c r="Z13" i="8"/>
  <c r="G38" i="7"/>
  <c r="Z40" i="6"/>
  <c r="O175" i="6"/>
  <c r="Z34" i="6"/>
  <c r="O168" i="6"/>
  <c r="Z33" i="6"/>
  <c r="O167" i="6"/>
  <c r="Z21" i="6"/>
  <c r="O153" i="6"/>
  <c r="Z32" i="6"/>
  <c r="O166" i="6"/>
  <c r="Z43" i="6"/>
  <c r="O179" i="6"/>
  <c r="Z31" i="6"/>
  <c r="O165" i="6"/>
  <c r="Z19" i="6"/>
  <c r="O151" i="6"/>
  <c r="Z42" i="6"/>
  <c r="O178" i="6"/>
  <c r="Z30" i="6"/>
  <c r="O164" i="6"/>
  <c r="Z18" i="6"/>
  <c r="O150" i="6"/>
  <c r="Z41" i="6"/>
  <c r="O176" i="6"/>
  <c r="Z29" i="6"/>
  <c r="O162" i="6"/>
  <c r="Z28" i="6"/>
  <c r="O161" i="6"/>
  <c r="Z38" i="6"/>
  <c r="O173" i="6"/>
  <c r="Z25" i="6"/>
  <c r="O158" i="6"/>
  <c r="Z39" i="6"/>
  <c r="O174" i="6"/>
  <c r="Z27" i="6"/>
  <c r="O160" i="6"/>
  <c r="Z26" i="6"/>
  <c r="O159" i="6"/>
  <c r="Z37" i="6"/>
  <c r="O172" i="6"/>
  <c r="Z36" i="6"/>
  <c r="O171" i="6"/>
  <c r="Z24" i="6"/>
  <c r="O157" i="6"/>
  <c r="Z35" i="6"/>
  <c r="O169" i="6"/>
  <c r="Z23" i="6"/>
  <c r="O155" i="6"/>
  <c r="Z9" i="6"/>
  <c r="O139" i="6"/>
  <c r="Z20" i="6"/>
  <c r="O152" i="6"/>
  <c r="Z8" i="6"/>
  <c r="O138" i="6"/>
  <c r="Z7" i="6"/>
  <c r="O137" i="6"/>
  <c r="Z22" i="6"/>
  <c r="O154" i="6"/>
  <c r="Z6" i="6"/>
  <c r="O136" i="6"/>
  <c r="Z11" i="6"/>
  <c r="Z17" i="6"/>
  <c r="Z16" i="6"/>
  <c r="Z15" i="6"/>
  <c r="Z14" i="6"/>
  <c r="Z13" i="6"/>
  <c r="Z12" i="6"/>
  <c r="Z10" i="6"/>
  <c r="Z18" i="5"/>
  <c r="Q146" i="5"/>
  <c r="Y8" i="5"/>
  <c r="X7" i="5"/>
  <c r="AA84" i="5" s="1"/>
  <c r="H54" i="11"/>
  <c r="K367" i="11"/>
  <c r="J399" i="11" s="1"/>
  <c r="J368" i="11"/>
  <c r="P367" i="11"/>
  <c r="O366" i="11"/>
  <c r="R398" i="11" s="1"/>
  <c r="O319" i="11"/>
  <c r="R342" i="11" s="1"/>
  <c r="P320" i="11"/>
  <c r="K320" i="11"/>
  <c r="J343" i="11" s="1"/>
  <c r="J321" i="11"/>
  <c r="Q275" i="11"/>
  <c r="AA275" i="11" s="1"/>
  <c r="S275" i="11"/>
  <c r="J272" i="11"/>
  <c r="K271" i="11"/>
  <c r="J295" i="11" s="1"/>
  <c r="G271" i="11"/>
  <c r="G295" i="11" s="1"/>
  <c r="O270" i="11"/>
  <c r="R294" i="11" s="1"/>
  <c r="S227" i="11"/>
  <c r="O216" i="11"/>
  <c r="R242" i="11" s="1"/>
  <c r="P217" i="11"/>
  <c r="K217" i="11"/>
  <c r="J243" i="11" s="1"/>
  <c r="J218" i="11"/>
  <c r="K98" i="11"/>
  <c r="J128" i="11" s="1"/>
  <c r="J99" i="11"/>
  <c r="P161" i="11"/>
  <c r="J159" i="11"/>
  <c r="K158" i="11"/>
  <c r="J186" i="11" s="1"/>
  <c r="P99" i="11"/>
  <c r="K41" i="11"/>
  <c r="J70" i="11" s="1"/>
  <c r="J42" i="11"/>
  <c r="O40" i="11"/>
  <c r="R69" i="11" s="1"/>
  <c r="P41" i="11"/>
  <c r="F8" i="9"/>
  <c r="AA8" i="9" s="1"/>
  <c r="AA7" i="9"/>
  <c r="Q19" i="8"/>
  <c r="Q20" i="7"/>
  <c r="P16" i="7"/>
  <c r="X24" i="6"/>
  <c r="P25" i="6"/>
  <c r="P94" i="6" s="1"/>
  <c r="P8" i="6"/>
  <c r="X7" i="6"/>
  <c r="AA84" i="6" s="1"/>
  <c r="F7" i="8"/>
  <c r="G7" i="8" s="1"/>
  <c r="AA6" i="8"/>
  <c r="X7" i="8"/>
  <c r="AA67" i="8" s="1"/>
  <c r="X6" i="7"/>
  <c r="P7" i="7"/>
  <c r="P61" i="7" s="1"/>
  <c r="Q9" i="7"/>
  <c r="Q62" i="7" s="1"/>
  <c r="G6" i="8"/>
  <c r="F39" i="7"/>
  <c r="F5" i="6"/>
  <c r="AA5" i="6" s="1"/>
  <c r="X6" i="9"/>
  <c r="P7" i="9"/>
  <c r="P38" i="9" s="1"/>
  <c r="G7" i="9"/>
  <c r="N29" i="4"/>
  <c r="N31" i="4" s="1"/>
  <c r="N26" i="4"/>
  <c r="O31" i="4"/>
  <c r="H29" i="4"/>
  <c r="E5" i="5"/>
  <c r="E6" i="5"/>
  <c r="E7" i="5"/>
  <c r="E8" i="5"/>
  <c r="E9" i="5"/>
  <c r="E10" i="5"/>
  <c r="E11" i="5"/>
  <c r="E12" i="5"/>
  <c r="E13" i="5"/>
  <c r="E14" i="5"/>
  <c r="E15" i="5"/>
  <c r="E16" i="5"/>
  <c r="E19" i="5"/>
  <c r="E20" i="5"/>
  <c r="E21" i="5"/>
  <c r="Q150" i="5" s="1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4" i="5"/>
  <c r="L4" i="4"/>
  <c r="M4" i="4" s="1"/>
  <c r="H5" i="2"/>
  <c r="L160" i="11" l="1"/>
  <c r="K187" i="11"/>
  <c r="S294" i="11"/>
  <c r="P271" i="11"/>
  <c r="X270" i="11"/>
  <c r="B15" i="15"/>
  <c r="L218" i="11"/>
  <c r="K243" i="11"/>
  <c r="G160" i="11"/>
  <c r="G187" i="11"/>
  <c r="O159" i="11"/>
  <c r="R187" i="11" s="1"/>
  <c r="M85" i="5"/>
  <c r="F36" i="4"/>
  <c r="M4" i="6"/>
  <c r="L4" i="6" s="1"/>
  <c r="N4" i="4"/>
  <c r="M160" i="11"/>
  <c r="M187" i="11"/>
  <c r="Q187" i="11" s="1"/>
  <c r="N160" i="11"/>
  <c r="L187" i="11"/>
  <c r="P187" i="11" s="1"/>
  <c r="H367" i="11"/>
  <c r="H398" i="11"/>
  <c r="T366" i="11"/>
  <c r="Y366" i="11" s="1"/>
  <c r="G367" i="11"/>
  <c r="G398" i="11"/>
  <c r="H320" i="11"/>
  <c r="H342" i="11"/>
  <c r="T319" i="11"/>
  <c r="Y319" i="11" s="1"/>
  <c r="G320" i="11"/>
  <c r="G342" i="11"/>
  <c r="H271" i="11"/>
  <c r="H294" i="11"/>
  <c r="T270" i="11"/>
  <c r="Y270" i="11" s="1"/>
  <c r="N218" i="11"/>
  <c r="L244" i="11" s="1"/>
  <c r="P243" i="11"/>
  <c r="M218" i="11"/>
  <c r="M244" i="11" s="1"/>
  <c r="Q243" i="11"/>
  <c r="H218" i="11"/>
  <c r="H243" i="11"/>
  <c r="T217" i="11"/>
  <c r="Y217" i="11" s="1"/>
  <c r="G218" i="11"/>
  <c r="G243" i="11"/>
  <c r="H160" i="11"/>
  <c r="H187" i="11"/>
  <c r="T159" i="11"/>
  <c r="Y159" i="11" s="1"/>
  <c r="X367" i="11"/>
  <c r="S399" i="11"/>
  <c r="N368" i="11"/>
  <c r="L399" i="11"/>
  <c r="P399" i="11" s="1"/>
  <c r="M368" i="11"/>
  <c r="M399" i="11"/>
  <c r="Q399" i="11" s="1"/>
  <c r="L367" i="11"/>
  <c r="K398" i="11"/>
  <c r="L320" i="11"/>
  <c r="K342" i="11"/>
  <c r="M320" i="11"/>
  <c r="M342" i="11"/>
  <c r="Q342" i="11" s="1"/>
  <c r="N320" i="11"/>
  <c r="L342" i="11"/>
  <c r="P342" i="11" s="1"/>
  <c r="X320" i="11"/>
  <c r="S343" i="11"/>
  <c r="N271" i="11"/>
  <c r="L294" i="11"/>
  <c r="P294" i="11" s="1"/>
  <c r="L271" i="11"/>
  <c r="K294" i="11"/>
  <c r="M271" i="11"/>
  <c r="M294" i="11"/>
  <c r="Q294" i="11" s="1"/>
  <c r="X217" i="11"/>
  <c r="S243" i="11"/>
  <c r="X161" i="11"/>
  <c r="S189" i="11"/>
  <c r="X99" i="11"/>
  <c r="S129" i="11"/>
  <c r="L99" i="11"/>
  <c r="K128" i="11"/>
  <c r="M99" i="11"/>
  <c r="M128" i="11"/>
  <c r="Q128" i="11" s="1"/>
  <c r="G99" i="11"/>
  <c r="G128" i="11"/>
  <c r="N99" i="11"/>
  <c r="L128" i="11"/>
  <c r="P128" i="11" s="1"/>
  <c r="H99" i="11"/>
  <c r="H128" i="11"/>
  <c r="T98" i="11"/>
  <c r="Y98" i="11" s="1"/>
  <c r="M41" i="11"/>
  <c r="M69" i="11"/>
  <c r="Q69" i="11" s="1"/>
  <c r="T54" i="11"/>
  <c r="Y53" i="11" s="1"/>
  <c r="H83" i="11"/>
  <c r="X41" i="11"/>
  <c r="S70" i="11"/>
  <c r="L41" i="11"/>
  <c r="K69" i="11"/>
  <c r="H42" i="11"/>
  <c r="H70" i="11"/>
  <c r="T41" i="11"/>
  <c r="Y41" i="11" s="1"/>
  <c r="N41" i="11"/>
  <c r="L69" i="11"/>
  <c r="P69" i="11" s="1"/>
  <c r="G41" i="11"/>
  <c r="O41" i="11" s="1"/>
  <c r="R70" i="11" s="1"/>
  <c r="G69" i="11"/>
  <c r="V12" i="9"/>
  <c r="V41" i="9"/>
  <c r="Z41" i="9" s="1"/>
  <c r="U10" i="9"/>
  <c r="T40" i="9"/>
  <c r="Q12" i="9"/>
  <c r="Q41" i="9"/>
  <c r="Y10" i="9"/>
  <c r="AB40" i="9"/>
  <c r="G8" i="9"/>
  <c r="W14" i="9"/>
  <c r="U42" i="9"/>
  <c r="Y42" i="9" s="1"/>
  <c r="F9" i="9"/>
  <c r="AA9" i="9" s="1"/>
  <c r="AB9" i="9" s="1"/>
  <c r="M60" i="9" s="1"/>
  <c r="U9" i="8"/>
  <c r="V23" i="8"/>
  <c r="V75" i="8"/>
  <c r="Z75" i="8" s="1"/>
  <c r="W23" i="8"/>
  <c r="U75" i="8"/>
  <c r="Y75" i="8" s="1"/>
  <c r="W22" i="7"/>
  <c r="U68" i="7"/>
  <c r="Y68" i="7" s="1"/>
  <c r="Y14" i="7"/>
  <c r="AB64" i="7"/>
  <c r="X13" i="7"/>
  <c r="AA64" i="7" s="1"/>
  <c r="V22" i="7"/>
  <c r="V68" i="7"/>
  <c r="Z68" i="7" s="1"/>
  <c r="U12" i="7"/>
  <c r="U13" i="7" s="1"/>
  <c r="T63" i="7"/>
  <c r="V16" i="6"/>
  <c r="V17" i="6" s="1"/>
  <c r="V88" i="6"/>
  <c r="Z88" i="6" s="1"/>
  <c r="Q44" i="6"/>
  <c r="Q105" i="6"/>
  <c r="Q27" i="6"/>
  <c r="V29" i="6"/>
  <c r="P44" i="6"/>
  <c r="P105" i="6"/>
  <c r="X43" i="6"/>
  <c r="AA105" i="6" s="1"/>
  <c r="W29" i="6"/>
  <c r="W16" i="6"/>
  <c r="W17" i="6" s="1"/>
  <c r="U88" i="6"/>
  <c r="Y88" i="6" s="1"/>
  <c r="Q10" i="6"/>
  <c r="Q11" i="6" s="1"/>
  <c r="Q85" i="6"/>
  <c r="AB5" i="6"/>
  <c r="N135" i="6"/>
  <c r="Q56" i="5"/>
  <c r="Q109" i="5"/>
  <c r="P12" i="5"/>
  <c r="P86" i="5"/>
  <c r="Q41" i="5"/>
  <c r="M11" i="5"/>
  <c r="Q12" i="5"/>
  <c r="Q86" i="5"/>
  <c r="V41" i="5"/>
  <c r="F5" i="5"/>
  <c r="G5" i="5" s="1"/>
  <c r="Q132" i="5"/>
  <c r="W12" i="5"/>
  <c r="U86" i="5"/>
  <c r="Y86" i="5" s="1"/>
  <c r="P41" i="5"/>
  <c r="U10" i="5"/>
  <c r="T85" i="5"/>
  <c r="W41" i="5"/>
  <c r="V12" i="5"/>
  <c r="V86" i="5"/>
  <c r="Z86" i="5" s="1"/>
  <c r="Z227" i="11"/>
  <c r="Z275" i="11"/>
  <c r="AB7" i="9"/>
  <c r="M58" i="9" s="1"/>
  <c r="N58" i="9"/>
  <c r="L58" i="9" s="1"/>
  <c r="AB8" i="9"/>
  <c r="M59" i="9" s="1"/>
  <c r="N59" i="9"/>
  <c r="L59" i="9" s="1"/>
  <c r="AB6" i="8"/>
  <c r="M101" i="8" s="1"/>
  <c r="N101" i="8"/>
  <c r="L101" i="8" s="1"/>
  <c r="AA39" i="7"/>
  <c r="N130" i="7" s="1"/>
  <c r="G39" i="7"/>
  <c r="Z47" i="5"/>
  <c r="Q180" i="5"/>
  <c r="Z9" i="5"/>
  <c r="Q136" i="5"/>
  <c r="Z58" i="5"/>
  <c r="Q193" i="5"/>
  <c r="Z46" i="5"/>
  <c r="Q179" i="5"/>
  <c r="Z34" i="5"/>
  <c r="Q165" i="5"/>
  <c r="Z22" i="5"/>
  <c r="Q151" i="5"/>
  <c r="Z8" i="5"/>
  <c r="Q135" i="5"/>
  <c r="Z45" i="5"/>
  <c r="Q178" i="5"/>
  <c r="Z20" i="5"/>
  <c r="Q149" i="5"/>
  <c r="Z55" i="5"/>
  <c r="Q189" i="5"/>
  <c r="Z43" i="5"/>
  <c r="Q175" i="5"/>
  <c r="Z31" i="5"/>
  <c r="Q161" i="5"/>
  <c r="Z19" i="5"/>
  <c r="Q147" i="5"/>
  <c r="Z23" i="5"/>
  <c r="Q152" i="5"/>
  <c r="Z56" i="5"/>
  <c r="Q191" i="5"/>
  <c r="Z66" i="5"/>
  <c r="Z54" i="5"/>
  <c r="Q188" i="5"/>
  <c r="Z42" i="5"/>
  <c r="Q174" i="5"/>
  <c r="Z30" i="5"/>
  <c r="Q160" i="5"/>
  <c r="Z16" i="5"/>
  <c r="Q144" i="5"/>
  <c r="Z53" i="5"/>
  <c r="Q187" i="5"/>
  <c r="Z15" i="5"/>
  <c r="Q143" i="5"/>
  <c r="Z35" i="5"/>
  <c r="Q166" i="5"/>
  <c r="Z40" i="5"/>
  <c r="Q172" i="5"/>
  <c r="Z28" i="5"/>
  <c r="Q158" i="5"/>
  <c r="Z14" i="5"/>
  <c r="Q142" i="5"/>
  <c r="Z29" i="5"/>
  <c r="Q159" i="5"/>
  <c r="Z51" i="5"/>
  <c r="Q185" i="5"/>
  <c r="Z39" i="5"/>
  <c r="Q171" i="5"/>
  <c r="Z27" i="5"/>
  <c r="Q157" i="5"/>
  <c r="Z13" i="5"/>
  <c r="Q141" i="5"/>
  <c r="Z7" i="5"/>
  <c r="Q134" i="5"/>
  <c r="Z32" i="5"/>
  <c r="Q163" i="5"/>
  <c r="Z64" i="5"/>
  <c r="Q200" i="5"/>
  <c r="Z50" i="5"/>
  <c r="Q184" i="5"/>
  <c r="Z38" i="5"/>
  <c r="Q170" i="5"/>
  <c r="Z26" i="5"/>
  <c r="Q156" i="5"/>
  <c r="Z12" i="5"/>
  <c r="Q140" i="5"/>
  <c r="Z57" i="5"/>
  <c r="Q192" i="5"/>
  <c r="Z44" i="5"/>
  <c r="Q177" i="5"/>
  <c r="Z65" i="5"/>
  <c r="Q201" i="5"/>
  <c r="Z52" i="5"/>
  <c r="Q186" i="5"/>
  <c r="Z37" i="5"/>
  <c r="Q168" i="5"/>
  <c r="Z11" i="5"/>
  <c r="Q138" i="5"/>
  <c r="Z59" i="5"/>
  <c r="Q194" i="5"/>
  <c r="Z33" i="5"/>
  <c r="Q164" i="5"/>
  <c r="Z6" i="5"/>
  <c r="Q133" i="5"/>
  <c r="Z41" i="5"/>
  <c r="Q173" i="5"/>
  <c r="Z63" i="5"/>
  <c r="Q199" i="5"/>
  <c r="Z62" i="5"/>
  <c r="Q198" i="5"/>
  <c r="Z61" i="5"/>
  <c r="Q196" i="5"/>
  <c r="Z49" i="5"/>
  <c r="Q182" i="5"/>
  <c r="Z25" i="5"/>
  <c r="Q154" i="5"/>
  <c r="Z60" i="5"/>
  <c r="Q195" i="5"/>
  <c r="Z48" i="5"/>
  <c r="Q181" i="5"/>
  <c r="Z36" i="5"/>
  <c r="Q167" i="5"/>
  <c r="Z24" i="5"/>
  <c r="Q153" i="5"/>
  <c r="Z10" i="5"/>
  <c r="Q137" i="5"/>
  <c r="F6" i="6"/>
  <c r="F7" i="6" s="1"/>
  <c r="Y9" i="5"/>
  <c r="AB85" i="5" s="1"/>
  <c r="X8" i="5"/>
  <c r="H55" i="11"/>
  <c r="P368" i="11"/>
  <c r="O367" i="11"/>
  <c r="R399" i="11" s="1"/>
  <c r="J369" i="11"/>
  <c r="K368" i="11"/>
  <c r="J400" i="11" s="1"/>
  <c r="J322" i="11"/>
  <c r="K321" i="11"/>
  <c r="J344" i="11" s="1"/>
  <c r="P321" i="11"/>
  <c r="O320" i="11"/>
  <c r="R343" i="11" s="1"/>
  <c r="S276" i="11"/>
  <c r="Q276" i="11"/>
  <c r="AA276" i="11" s="1"/>
  <c r="G272" i="11"/>
  <c r="G296" i="11" s="1"/>
  <c r="O271" i="11"/>
  <c r="R295" i="11" s="1"/>
  <c r="J273" i="11"/>
  <c r="K272" i="11"/>
  <c r="J296" i="11" s="1"/>
  <c r="J219" i="11"/>
  <c r="K218" i="11"/>
  <c r="J244" i="11" s="1"/>
  <c r="P218" i="11"/>
  <c r="O217" i="11"/>
  <c r="R243" i="11" s="1"/>
  <c r="K99" i="11"/>
  <c r="J129" i="11" s="1"/>
  <c r="J100" i="11"/>
  <c r="K159" i="11"/>
  <c r="J187" i="11" s="1"/>
  <c r="J160" i="11"/>
  <c r="P162" i="11"/>
  <c r="O99" i="11"/>
  <c r="R129" i="11" s="1"/>
  <c r="P100" i="11"/>
  <c r="J43" i="11"/>
  <c r="K42" i="11"/>
  <c r="J71" i="11" s="1"/>
  <c r="P42" i="11"/>
  <c r="X8" i="8"/>
  <c r="P68" i="8"/>
  <c r="Q20" i="8"/>
  <c r="Q74" i="8" s="1"/>
  <c r="P17" i="7"/>
  <c r="P66" i="7" s="1"/>
  <c r="Q21" i="7"/>
  <c r="Q68" i="7" s="1"/>
  <c r="X25" i="6"/>
  <c r="AA94" i="6" s="1"/>
  <c r="P26" i="6"/>
  <c r="X8" i="6"/>
  <c r="P9" i="6"/>
  <c r="P85" i="6" s="1"/>
  <c r="Z21" i="5"/>
  <c r="Z5" i="5"/>
  <c r="F8" i="8"/>
  <c r="AA7" i="8"/>
  <c r="X7" i="7"/>
  <c r="AA61" i="7" s="1"/>
  <c r="P8" i="7"/>
  <c r="Q10" i="7"/>
  <c r="F40" i="7"/>
  <c r="G5" i="6"/>
  <c r="L5" i="4"/>
  <c r="M5" i="4" s="1"/>
  <c r="X7" i="9"/>
  <c r="AA38" i="9" s="1"/>
  <c r="P8" i="9"/>
  <c r="P39" i="9" s="1"/>
  <c r="M29" i="4"/>
  <c r="W5" i="3"/>
  <c r="F413" i="3" s="1"/>
  <c r="N161" i="11" l="1"/>
  <c r="L188" i="11"/>
  <c r="P188" i="11" s="1"/>
  <c r="G161" i="11"/>
  <c r="G188" i="11"/>
  <c r="O160" i="11"/>
  <c r="R188" i="11" s="1"/>
  <c r="L219" i="11"/>
  <c r="K244" i="11"/>
  <c r="S295" i="11"/>
  <c r="P272" i="11"/>
  <c r="X271" i="11"/>
  <c r="M161" i="11"/>
  <c r="M188" i="11"/>
  <c r="Q188" i="11" s="1"/>
  <c r="N5" i="4"/>
  <c r="F37" i="4"/>
  <c r="M4" i="7"/>
  <c r="L4" i="7" s="1"/>
  <c r="L161" i="11"/>
  <c r="K188" i="11"/>
  <c r="H368" i="11"/>
  <c r="H399" i="11"/>
  <c r="T367" i="11"/>
  <c r="Y367" i="11" s="1"/>
  <c r="G368" i="11"/>
  <c r="O368" i="11" s="1"/>
  <c r="R400" i="11" s="1"/>
  <c r="G399" i="11"/>
  <c r="H321" i="11"/>
  <c r="H343" i="11"/>
  <c r="T320" i="11"/>
  <c r="Y320" i="11" s="1"/>
  <c r="G321" i="11"/>
  <c r="G343" i="11"/>
  <c r="H272" i="11"/>
  <c r="H295" i="11"/>
  <c r="T271" i="11"/>
  <c r="Y271" i="11" s="1"/>
  <c r="N219" i="11"/>
  <c r="L245" i="11" s="1"/>
  <c r="P244" i="11"/>
  <c r="M219" i="11"/>
  <c r="M245" i="11" s="1"/>
  <c r="Q244" i="11"/>
  <c r="H219" i="11"/>
  <c r="H244" i="11"/>
  <c r="T218" i="11"/>
  <c r="Y218" i="11" s="1"/>
  <c r="G219" i="11"/>
  <c r="G244" i="11"/>
  <c r="H161" i="11"/>
  <c r="H188" i="11"/>
  <c r="T160" i="11"/>
  <c r="Y160" i="11" s="1"/>
  <c r="X368" i="11"/>
  <c r="S400" i="11"/>
  <c r="L368" i="11"/>
  <c r="K399" i="11"/>
  <c r="M369" i="11"/>
  <c r="M400" i="11"/>
  <c r="Q400" i="11" s="1"/>
  <c r="N369" i="11"/>
  <c r="L400" i="11"/>
  <c r="P400" i="11" s="1"/>
  <c r="X321" i="11"/>
  <c r="S344" i="11"/>
  <c r="N321" i="11"/>
  <c r="L343" i="11"/>
  <c r="P343" i="11" s="1"/>
  <c r="M321" i="11"/>
  <c r="M343" i="11"/>
  <c r="Q343" i="11" s="1"/>
  <c r="L321" i="11"/>
  <c r="K343" i="11"/>
  <c r="M272" i="11"/>
  <c r="M295" i="11"/>
  <c r="Q295" i="11" s="1"/>
  <c r="L272" i="11"/>
  <c r="K295" i="11"/>
  <c r="N272" i="11"/>
  <c r="L295" i="11"/>
  <c r="P295" i="11" s="1"/>
  <c r="X218" i="11"/>
  <c r="S244" i="11"/>
  <c r="X162" i="11"/>
  <c r="S190" i="11"/>
  <c r="N100" i="11"/>
  <c r="L129" i="11"/>
  <c r="P129" i="11" s="1"/>
  <c r="X100" i="11"/>
  <c r="S130" i="11"/>
  <c r="G100" i="11"/>
  <c r="O100" i="11" s="1"/>
  <c r="R130" i="11" s="1"/>
  <c r="G129" i="11"/>
  <c r="M100" i="11"/>
  <c r="M129" i="11"/>
  <c r="Q129" i="11" s="1"/>
  <c r="L100" i="11"/>
  <c r="K129" i="11"/>
  <c r="H100" i="11"/>
  <c r="H129" i="11"/>
  <c r="T99" i="11"/>
  <c r="Y99" i="11" s="1"/>
  <c r="H71" i="11"/>
  <c r="H43" i="11"/>
  <c r="T42" i="11"/>
  <c r="Y42" i="11" s="1"/>
  <c r="L42" i="11"/>
  <c r="K70" i="11"/>
  <c r="X42" i="11"/>
  <c r="S71" i="11"/>
  <c r="T55" i="11"/>
  <c r="Y54" i="11" s="1"/>
  <c r="H84" i="11"/>
  <c r="G42" i="11"/>
  <c r="G70" i="11"/>
  <c r="N42" i="11"/>
  <c r="L70" i="11"/>
  <c r="P70" i="11" s="1"/>
  <c r="M42" i="11"/>
  <c r="M70" i="11"/>
  <c r="Q70" i="11" s="1"/>
  <c r="F10" i="9"/>
  <c r="AA10" i="9" s="1"/>
  <c r="AB10" i="9" s="1"/>
  <c r="M61" i="9" s="1"/>
  <c r="G9" i="9"/>
  <c r="N60" i="9"/>
  <c r="L60" i="9" s="1"/>
  <c r="W15" i="9"/>
  <c r="Y11" i="9"/>
  <c r="Q14" i="9"/>
  <c r="Q42" i="9"/>
  <c r="U11" i="9"/>
  <c r="V14" i="9"/>
  <c r="V42" i="9"/>
  <c r="Z42" i="9" s="1"/>
  <c r="W24" i="8"/>
  <c r="Q68" i="8"/>
  <c r="V24" i="8"/>
  <c r="U10" i="8"/>
  <c r="T68" i="8"/>
  <c r="U14" i="7"/>
  <c r="U15" i="7" s="1"/>
  <c r="T64" i="7"/>
  <c r="V23" i="7"/>
  <c r="Y15" i="7"/>
  <c r="X14" i="7"/>
  <c r="W23" i="7"/>
  <c r="W30" i="6"/>
  <c r="U96" i="6"/>
  <c r="Y96" i="6" s="1"/>
  <c r="P45" i="6"/>
  <c r="X44" i="6"/>
  <c r="V30" i="6"/>
  <c r="V96" i="6"/>
  <c r="Z96" i="6" s="1"/>
  <c r="Q95" i="6"/>
  <c r="Q28" i="6"/>
  <c r="Q12" i="6"/>
  <c r="Q13" i="6" s="1"/>
  <c r="Q86" i="6"/>
  <c r="Q45" i="6"/>
  <c r="W18" i="6"/>
  <c r="W19" i="6" s="1"/>
  <c r="U89" i="6"/>
  <c r="Y89" i="6" s="1"/>
  <c r="V18" i="6"/>
  <c r="V19" i="6" s="1"/>
  <c r="V89" i="6"/>
  <c r="Z89" i="6" s="1"/>
  <c r="V13" i="5"/>
  <c r="V42" i="5"/>
  <c r="V101" i="5"/>
  <c r="Z101" i="5" s="1"/>
  <c r="Q13" i="5"/>
  <c r="U11" i="5"/>
  <c r="M12" i="5"/>
  <c r="M86" i="5"/>
  <c r="W42" i="5"/>
  <c r="U101" i="5"/>
  <c r="Y101" i="5" s="1"/>
  <c r="P101" i="5"/>
  <c r="P42" i="5"/>
  <c r="Q42" i="5"/>
  <c r="Q101" i="5"/>
  <c r="W13" i="5"/>
  <c r="P13" i="5"/>
  <c r="Q57" i="5"/>
  <c r="Z276" i="11"/>
  <c r="AB7" i="8"/>
  <c r="M102" i="8" s="1"/>
  <c r="N102" i="8"/>
  <c r="L102" i="8" s="1"/>
  <c r="AA40" i="7"/>
  <c r="N131" i="7" s="1"/>
  <c r="G40" i="7"/>
  <c r="AA6" i="6"/>
  <c r="L136" i="6" s="1"/>
  <c r="G6" i="6"/>
  <c r="D413" i="3"/>
  <c r="Y10" i="5"/>
  <c r="X9" i="5"/>
  <c r="AA85" i="5" s="1"/>
  <c r="K369" i="11"/>
  <c r="J401" i="11" s="1"/>
  <c r="J370" i="11"/>
  <c r="P369" i="11"/>
  <c r="O321" i="11"/>
  <c r="R344" i="11" s="1"/>
  <c r="P322" i="11"/>
  <c r="K322" i="11"/>
  <c r="J345" i="11" s="1"/>
  <c r="J323" i="11"/>
  <c r="S277" i="11"/>
  <c r="Q277" i="11"/>
  <c r="AA277" i="11" s="1"/>
  <c r="J274" i="11"/>
  <c r="K273" i="11"/>
  <c r="J297" i="11" s="1"/>
  <c r="G273" i="11"/>
  <c r="G297" i="11" s="1"/>
  <c r="O272" i="11"/>
  <c r="R296" i="11" s="1"/>
  <c r="O218" i="11"/>
  <c r="R244" i="11" s="1"/>
  <c r="P219" i="11"/>
  <c r="J220" i="11"/>
  <c r="K219" i="11"/>
  <c r="J245" i="11" s="1"/>
  <c r="K100" i="11"/>
  <c r="J130" i="11" s="1"/>
  <c r="J101" i="11"/>
  <c r="P163" i="11"/>
  <c r="J161" i="11"/>
  <c r="K160" i="11"/>
  <c r="J188" i="11" s="1"/>
  <c r="P101" i="11"/>
  <c r="K43" i="11"/>
  <c r="J72" i="11" s="1"/>
  <c r="J44" i="11"/>
  <c r="P43" i="11"/>
  <c r="X9" i="8"/>
  <c r="AA68" i="8" s="1"/>
  <c r="Q21" i="8"/>
  <c r="Q11" i="7"/>
  <c r="Q63" i="7" s="1"/>
  <c r="Q22" i="7"/>
  <c r="P18" i="7"/>
  <c r="X26" i="6"/>
  <c r="P27" i="6"/>
  <c r="P95" i="6" s="1"/>
  <c r="X9" i="6"/>
  <c r="AA85" i="6" s="1"/>
  <c r="P10" i="6"/>
  <c r="F6" i="5"/>
  <c r="AA5" i="5"/>
  <c r="M5" i="7"/>
  <c r="F9" i="8"/>
  <c r="AA9" i="8" s="1"/>
  <c r="AA8" i="8"/>
  <c r="G8" i="8"/>
  <c r="X8" i="7"/>
  <c r="P9" i="7"/>
  <c r="P62" i="7" s="1"/>
  <c r="F41" i="7"/>
  <c r="F8" i="6"/>
  <c r="AA8" i="6" s="1"/>
  <c r="AA7" i="6"/>
  <c r="M5" i="6"/>
  <c r="L6" i="4"/>
  <c r="M6" i="4" s="1"/>
  <c r="X8" i="9"/>
  <c r="AA39" i="9" s="1"/>
  <c r="F11" i="9"/>
  <c r="AA11" i="9" s="1"/>
  <c r="G10" i="9"/>
  <c r="G7" i="6"/>
  <c r="W162" i="3"/>
  <c r="W161" i="3"/>
  <c r="X5" i="3"/>
  <c r="V206" i="3"/>
  <c r="V205" i="3"/>
  <c r="V162" i="3"/>
  <c r="V161" i="3"/>
  <c r="V50" i="3"/>
  <c r="V34" i="3"/>
  <c r="E7" i="1"/>
  <c r="J7" i="1" s="1"/>
  <c r="F7" i="1"/>
  <c r="G7" i="1"/>
  <c r="I7" i="1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90" i="3"/>
  <c r="R90" i="3" s="1"/>
  <c r="Q91" i="3"/>
  <c r="R91" i="3" s="1"/>
  <c r="Q92" i="3"/>
  <c r="R92" i="3" s="1"/>
  <c r="Q93" i="3"/>
  <c r="R93" i="3" s="1"/>
  <c r="Q94" i="3"/>
  <c r="R94" i="3" s="1"/>
  <c r="Q95" i="3"/>
  <c r="R95" i="3" s="1"/>
  <c r="Q96" i="3"/>
  <c r="R96" i="3" s="1"/>
  <c r="Q97" i="3"/>
  <c r="R97" i="3" s="1"/>
  <c r="Q98" i="3"/>
  <c r="R98" i="3" s="1"/>
  <c r="Q99" i="3"/>
  <c r="R99" i="3" s="1"/>
  <c r="Q100" i="3"/>
  <c r="R100" i="3" s="1"/>
  <c r="Q101" i="3"/>
  <c r="R101" i="3" s="1"/>
  <c r="Q102" i="3"/>
  <c r="R102" i="3" s="1"/>
  <c r="Q103" i="3"/>
  <c r="R103" i="3" s="1"/>
  <c r="Q104" i="3"/>
  <c r="R104" i="3" s="1"/>
  <c r="Q105" i="3"/>
  <c r="R105" i="3" s="1"/>
  <c r="Q106" i="3"/>
  <c r="R106" i="3" s="1"/>
  <c r="Q107" i="3"/>
  <c r="R107" i="3" s="1"/>
  <c r="Q108" i="3"/>
  <c r="R108" i="3" s="1"/>
  <c r="Q109" i="3"/>
  <c r="R109" i="3" s="1"/>
  <c r="Q110" i="3"/>
  <c r="R110" i="3" s="1"/>
  <c r="Q111" i="3"/>
  <c r="R111" i="3" s="1"/>
  <c r="Q112" i="3"/>
  <c r="R112" i="3" s="1"/>
  <c r="Q113" i="3"/>
  <c r="R113" i="3" s="1"/>
  <c r="Q114" i="3"/>
  <c r="R114" i="3" s="1"/>
  <c r="Q115" i="3"/>
  <c r="R115" i="3" s="1"/>
  <c r="Q116" i="3"/>
  <c r="R116" i="3" s="1"/>
  <c r="Q117" i="3"/>
  <c r="R117" i="3" s="1"/>
  <c r="Q118" i="3"/>
  <c r="R118" i="3" s="1"/>
  <c r="Q119" i="3"/>
  <c r="R119" i="3" s="1"/>
  <c r="Q120" i="3"/>
  <c r="R120" i="3" s="1"/>
  <c r="Q121" i="3"/>
  <c r="R121" i="3" s="1"/>
  <c r="Q122" i="3"/>
  <c r="R122" i="3" s="1"/>
  <c r="Q123" i="3"/>
  <c r="R123" i="3" s="1"/>
  <c r="Q124" i="3"/>
  <c r="R124" i="3" s="1"/>
  <c r="Q125" i="3"/>
  <c r="R125" i="3" s="1"/>
  <c r="Q126" i="3"/>
  <c r="R126" i="3" s="1"/>
  <c r="Q127" i="3"/>
  <c r="R127" i="3" s="1"/>
  <c r="Q128" i="3"/>
  <c r="R128" i="3" s="1"/>
  <c r="Q129" i="3"/>
  <c r="R129" i="3" s="1"/>
  <c r="Q130" i="3"/>
  <c r="R130" i="3" s="1"/>
  <c r="Q131" i="3"/>
  <c r="R131" i="3" s="1"/>
  <c r="Q132" i="3"/>
  <c r="R132" i="3" s="1"/>
  <c r="Q133" i="3"/>
  <c r="R133" i="3" s="1"/>
  <c r="Q134" i="3"/>
  <c r="R134" i="3" s="1"/>
  <c r="Q135" i="3"/>
  <c r="R135" i="3" s="1"/>
  <c r="Q136" i="3"/>
  <c r="R136" i="3" s="1"/>
  <c r="Q137" i="3"/>
  <c r="R137" i="3" s="1"/>
  <c r="Q138" i="3"/>
  <c r="R138" i="3" s="1"/>
  <c r="Q139" i="3"/>
  <c r="R139" i="3" s="1"/>
  <c r="Q140" i="3"/>
  <c r="R140" i="3" s="1"/>
  <c r="Q141" i="3"/>
  <c r="R141" i="3" s="1"/>
  <c r="Q142" i="3"/>
  <c r="R142" i="3" s="1"/>
  <c r="Q143" i="3"/>
  <c r="R143" i="3" s="1"/>
  <c r="Q144" i="3"/>
  <c r="R144" i="3" s="1"/>
  <c r="Q145" i="3"/>
  <c r="R145" i="3" s="1"/>
  <c r="Q146" i="3"/>
  <c r="R146" i="3" s="1"/>
  <c r="Q147" i="3"/>
  <c r="R147" i="3" s="1"/>
  <c r="Q148" i="3"/>
  <c r="R148" i="3" s="1"/>
  <c r="Q149" i="3"/>
  <c r="R149" i="3" s="1"/>
  <c r="Q150" i="3"/>
  <c r="R150" i="3" s="1"/>
  <c r="Q151" i="3"/>
  <c r="R151" i="3" s="1"/>
  <c r="Q152" i="3"/>
  <c r="R152" i="3" s="1"/>
  <c r="Q153" i="3"/>
  <c r="R153" i="3" s="1"/>
  <c r="Q154" i="3"/>
  <c r="R154" i="3" s="1"/>
  <c r="Q155" i="3"/>
  <c r="R155" i="3" s="1"/>
  <c r="Q156" i="3"/>
  <c r="R156" i="3" s="1"/>
  <c r="Q157" i="3"/>
  <c r="R157" i="3" s="1"/>
  <c r="Q158" i="3"/>
  <c r="R158" i="3" s="1"/>
  <c r="Q159" i="3"/>
  <c r="R159" i="3" s="1"/>
  <c r="Q160" i="3"/>
  <c r="R160" i="3" s="1"/>
  <c r="Q161" i="3"/>
  <c r="R161" i="3" s="1"/>
  <c r="Q162" i="3"/>
  <c r="R162" i="3" s="1"/>
  <c r="Q163" i="3"/>
  <c r="R163" i="3" s="1"/>
  <c r="Q164" i="3"/>
  <c r="R164" i="3" s="1"/>
  <c r="Q165" i="3"/>
  <c r="R165" i="3" s="1"/>
  <c r="Q166" i="3"/>
  <c r="R166" i="3" s="1"/>
  <c r="Q167" i="3"/>
  <c r="R167" i="3" s="1"/>
  <c r="Q168" i="3"/>
  <c r="R168" i="3" s="1"/>
  <c r="Q169" i="3"/>
  <c r="R169" i="3" s="1"/>
  <c r="Q170" i="3"/>
  <c r="R170" i="3" s="1"/>
  <c r="Q171" i="3"/>
  <c r="R171" i="3" s="1"/>
  <c r="Q172" i="3"/>
  <c r="R172" i="3" s="1"/>
  <c r="Q173" i="3"/>
  <c r="R173" i="3" s="1"/>
  <c r="Q174" i="3"/>
  <c r="R174" i="3" s="1"/>
  <c r="Q175" i="3"/>
  <c r="R175" i="3" s="1"/>
  <c r="Q176" i="3"/>
  <c r="R176" i="3" s="1"/>
  <c r="Q177" i="3"/>
  <c r="R177" i="3" s="1"/>
  <c r="Q178" i="3"/>
  <c r="R178" i="3" s="1"/>
  <c r="Q179" i="3"/>
  <c r="R179" i="3" s="1"/>
  <c r="Q180" i="3"/>
  <c r="R180" i="3" s="1"/>
  <c r="Q181" i="3"/>
  <c r="R181" i="3" s="1"/>
  <c r="Q182" i="3"/>
  <c r="R182" i="3" s="1"/>
  <c r="Q183" i="3"/>
  <c r="R183" i="3" s="1"/>
  <c r="Q184" i="3"/>
  <c r="R184" i="3" s="1"/>
  <c r="Q185" i="3"/>
  <c r="R185" i="3" s="1"/>
  <c r="Q186" i="3"/>
  <c r="R186" i="3" s="1"/>
  <c r="Q187" i="3"/>
  <c r="R187" i="3" s="1"/>
  <c r="Q188" i="3"/>
  <c r="R188" i="3" s="1"/>
  <c r="Q189" i="3"/>
  <c r="R189" i="3" s="1"/>
  <c r="Q190" i="3"/>
  <c r="R190" i="3" s="1"/>
  <c r="Q191" i="3"/>
  <c r="R191" i="3" s="1"/>
  <c r="Q192" i="3"/>
  <c r="R192" i="3" s="1"/>
  <c r="Q193" i="3"/>
  <c r="R193" i="3" s="1"/>
  <c r="Q194" i="3"/>
  <c r="R194" i="3" s="1"/>
  <c r="Q195" i="3"/>
  <c r="R195" i="3" s="1"/>
  <c r="Q196" i="3"/>
  <c r="R196" i="3" s="1"/>
  <c r="Q197" i="3"/>
  <c r="R197" i="3" s="1"/>
  <c r="Q198" i="3"/>
  <c r="R198" i="3" s="1"/>
  <c r="Q199" i="3"/>
  <c r="R199" i="3" s="1"/>
  <c r="Q200" i="3"/>
  <c r="R200" i="3" s="1"/>
  <c r="Q201" i="3"/>
  <c r="R201" i="3" s="1"/>
  <c r="Q202" i="3"/>
  <c r="R202" i="3" s="1"/>
  <c r="Q203" i="3"/>
  <c r="R203" i="3" s="1"/>
  <c r="Q204" i="3"/>
  <c r="R204" i="3" s="1"/>
  <c r="Q205" i="3"/>
  <c r="R205" i="3" s="1"/>
  <c r="Q206" i="3"/>
  <c r="R206" i="3" s="1"/>
  <c r="Q207" i="3"/>
  <c r="R207" i="3" s="1"/>
  <c r="Q208" i="3"/>
  <c r="R208" i="3" s="1"/>
  <c r="Q209" i="3"/>
  <c r="R209" i="3" s="1"/>
  <c r="Q210" i="3"/>
  <c r="R210" i="3" s="1"/>
  <c r="Q211" i="3"/>
  <c r="R211" i="3" s="1"/>
  <c r="Q212" i="3"/>
  <c r="R212" i="3" s="1"/>
  <c r="Q213" i="3"/>
  <c r="R213" i="3" s="1"/>
  <c r="Q214" i="3"/>
  <c r="R214" i="3" s="1"/>
  <c r="Q215" i="3"/>
  <c r="R215" i="3" s="1"/>
  <c r="Q216" i="3"/>
  <c r="R216" i="3" s="1"/>
  <c r="Q217" i="3"/>
  <c r="R217" i="3" s="1"/>
  <c r="Q218" i="3"/>
  <c r="R218" i="3" s="1"/>
  <c r="Q219" i="3"/>
  <c r="R219" i="3" s="1"/>
  <c r="Q220" i="3"/>
  <c r="R220" i="3" s="1"/>
  <c r="Q221" i="3"/>
  <c r="R221" i="3" s="1"/>
  <c r="Q222" i="3"/>
  <c r="R222" i="3" s="1"/>
  <c r="Q223" i="3"/>
  <c r="R223" i="3" s="1"/>
  <c r="Q224" i="3"/>
  <c r="R224" i="3" s="1"/>
  <c r="Q225" i="3"/>
  <c r="R225" i="3" s="1"/>
  <c r="Q226" i="3"/>
  <c r="R226" i="3" s="1"/>
  <c r="Q227" i="3"/>
  <c r="R227" i="3" s="1"/>
  <c r="Q228" i="3"/>
  <c r="R228" i="3" s="1"/>
  <c r="Q229" i="3"/>
  <c r="R229" i="3" s="1"/>
  <c r="Q230" i="3"/>
  <c r="R230" i="3" s="1"/>
  <c r="Q231" i="3"/>
  <c r="R231" i="3" s="1"/>
  <c r="Q232" i="3"/>
  <c r="R232" i="3" s="1"/>
  <c r="Q233" i="3"/>
  <c r="R233" i="3" s="1"/>
  <c r="Q234" i="3"/>
  <c r="R234" i="3" s="1"/>
  <c r="Q235" i="3"/>
  <c r="R235" i="3" s="1"/>
  <c r="Q236" i="3"/>
  <c r="R236" i="3" s="1"/>
  <c r="Q237" i="3"/>
  <c r="R237" i="3" s="1"/>
  <c r="Q238" i="3"/>
  <c r="R238" i="3" s="1"/>
  <c r="Q239" i="3"/>
  <c r="R239" i="3" s="1"/>
  <c r="Q240" i="3"/>
  <c r="R240" i="3" s="1"/>
  <c r="Q241" i="3"/>
  <c r="R241" i="3" s="1"/>
  <c r="Q242" i="3"/>
  <c r="R242" i="3" s="1"/>
  <c r="Q243" i="3"/>
  <c r="R243" i="3" s="1"/>
  <c r="Q244" i="3"/>
  <c r="R244" i="3" s="1"/>
  <c r="Q245" i="3"/>
  <c r="R245" i="3" s="1"/>
  <c r="Q246" i="3"/>
  <c r="R246" i="3" s="1"/>
  <c r="Q247" i="3"/>
  <c r="R247" i="3" s="1"/>
  <c r="Q248" i="3"/>
  <c r="R248" i="3" s="1"/>
  <c r="Q249" i="3"/>
  <c r="R249" i="3" s="1"/>
  <c r="Q250" i="3"/>
  <c r="R250" i="3" s="1"/>
  <c r="Q251" i="3"/>
  <c r="R251" i="3" s="1"/>
  <c r="Q252" i="3"/>
  <c r="R252" i="3" s="1"/>
  <c r="Q253" i="3"/>
  <c r="R253" i="3" s="1"/>
  <c r="Q254" i="3"/>
  <c r="R254" i="3" s="1"/>
  <c r="Q255" i="3"/>
  <c r="R255" i="3" s="1"/>
  <c r="Q256" i="3"/>
  <c r="R256" i="3" s="1"/>
  <c r="Q257" i="3"/>
  <c r="R257" i="3" s="1"/>
  <c r="Q258" i="3"/>
  <c r="R258" i="3" s="1"/>
  <c r="Q259" i="3"/>
  <c r="R259" i="3" s="1"/>
  <c r="Q260" i="3"/>
  <c r="Q261" i="3"/>
  <c r="R261" i="3" s="1"/>
  <c r="Q262" i="3"/>
  <c r="R262" i="3" s="1"/>
  <c r="Q263" i="3"/>
  <c r="R263" i="3" s="1"/>
  <c r="Q264" i="3"/>
  <c r="R264" i="3" s="1"/>
  <c r="Q265" i="3"/>
  <c r="R265" i="3" s="1"/>
  <c r="Q266" i="3"/>
  <c r="R266" i="3" s="1"/>
  <c r="Q267" i="3"/>
  <c r="R267" i="3" s="1"/>
  <c r="Q268" i="3"/>
  <c r="R268" i="3" s="1"/>
  <c r="Q269" i="3"/>
  <c r="R269" i="3" s="1"/>
  <c r="Q270" i="3"/>
  <c r="R270" i="3" s="1"/>
  <c r="Q271" i="3"/>
  <c r="R271" i="3" s="1"/>
  <c r="Q272" i="3"/>
  <c r="R272" i="3" s="1"/>
  <c r="Q273" i="3"/>
  <c r="R273" i="3" s="1"/>
  <c r="Q274" i="3"/>
  <c r="R274" i="3" s="1"/>
  <c r="Q275" i="3"/>
  <c r="R275" i="3" s="1"/>
  <c r="Q276" i="3"/>
  <c r="R276" i="3" s="1"/>
  <c r="Q277" i="3"/>
  <c r="R277" i="3" s="1"/>
  <c r="Q278" i="3"/>
  <c r="R278" i="3" s="1"/>
  <c r="Q279" i="3"/>
  <c r="R279" i="3" s="1"/>
  <c r="Q280" i="3"/>
  <c r="R280" i="3" s="1"/>
  <c r="Q281" i="3"/>
  <c r="R281" i="3" s="1"/>
  <c r="Q282" i="3"/>
  <c r="R282" i="3" s="1"/>
  <c r="Q283" i="3"/>
  <c r="R283" i="3" s="1"/>
  <c r="Q284" i="3"/>
  <c r="R284" i="3" s="1"/>
  <c r="Q285" i="3"/>
  <c r="R285" i="3" s="1"/>
  <c r="Q286" i="3"/>
  <c r="R286" i="3" s="1"/>
  <c r="Q287" i="3"/>
  <c r="R287" i="3" s="1"/>
  <c r="Q288" i="3"/>
  <c r="R288" i="3" s="1"/>
  <c r="Q289" i="3"/>
  <c r="R289" i="3" s="1"/>
  <c r="Q290" i="3"/>
  <c r="R290" i="3" s="1"/>
  <c r="Q291" i="3"/>
  <c r="R291" i="3" s="1"/>
  <c r="Q292" i="3"/>
  <c r="R292" i="3" s="1"/>
  <c r="Q293" i="3"/>
  <c r="R293" i="3" s="1"/>
  <c r="Q294" i="3"/>
  <c r="R294" i="3" s="1"/>
  <c r="Q295" i="3"/>
  <c r="R295" i="3" s="1"/>
  <c r="Q296" i="3"/>
  <c r="R296" i="3" s="1"/>
  <c r="Q297" i="3"/>
  <c r="R297" i="3" s="1"/>
  <c r="Q298" i="3"/>
  <c r="R298" i="3" s="1"/>
  <c r="Q299" i="3"/>
  <c r="R299" i="3" s="1"/>
  <c r="Q300" i="3"/>
  <c r="R300" i="3" s="1"/>
  <c r="Q301" i="3"/>
  <c r="R301" i="3" s="1"/>
  <c r="Q302" i="3"/>
  <c r="R302" i="3" s="1"/>
  <c r="Q303" i="3"/>
  <c r="R303" i="3" s="1"/>
  <c r="Q304" i="3"/>
  <c r="R304" i="3" s="1"/>
  <c r="Q305" i="3"/>
  <c r="R305" i="3" s="1"/>
  <c r="Q306" i="3"/>
  <c r="R306" i="3" s="1"/>
  <c r="Q307" i="3"/>
  <c r="R307" i="3" s="1"/>
  <c r="Q308" i="3"/>
  <c r="R308" i="3" s="1"/>
  <c r="Q309" i="3"/>
  <c r="R309" i="3" s="1"/>
  <c r="Q310" i="3"/>
  <c r="R310" i="3" s="1"/>
  <c r="Q311" i="3"/>
  <c r="R311" i="3" s="1"/>
  <c r="Q312" i="3"/>
  <c r="R312" i="3" s="1"/>
  <c r="Q313" i="3"/>
  <c r="R313" i="3" s="1"/>
  <c r="Q314" i="3"/>
  <c r="R314" i="3" s="1"/>
  <c r="Q315" i="3"/>
  <c r="R315" i="3" s="1"/>
  <c r="Q316" i="3"/>
  <c r="R316" i="3" s="1"/>
  <c r="Q317" i="3"/>
  <c r="R317" i="3" s="1"/>
  <c r="Q318" i="3"/>
  <c r="R318" i="3" s="1"/>
  <c r="Q319" i="3"/>
  <c r="R319" i="3" s="1"/>
  <c r="Q320" i="3"/>
  <c r="R320" i="3" s="1"/>
  <c r="Q321" i="3"/>
  <c r="R321" i="3" s="1"/>
  <c r="Q322" i="3"/>
  <c r="R322" i="3" s="1"/>
  <c r="Q323" i="3"/>
  <c r="R323" i="3" s="1"/>
  <c r="Q324" i="3"/>
  <c r="R324" i="3" s="1"/>
  <c r="Q325" i="3"/>
  <c r="R325" i="3" s="1"/>
  <c r="Q326" i="3"/>
  <c r="R326" i="3" s="1"/>
  <c r="Q327" i="3"/>
  <c r="R327" i="3" s="1"/>
  <c r="Q328" i="3"/>
  <c r="R328" i="3" s="1"/>
  <c r="Q5" i="3"/>
  <c r="R5" i="3" s="1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5" i="3"/>
  <c r="S6" i="3"/>
  <c r="S7" i="3"/>
  <c r="S8" i="3"/>
  <c r="S9" i="3"/>
  <c r="T334" i="3" s="1"/>
  <c r="S10" i="3"/>
  <c r="S11" i="3"/>
  <c r="S12" i="3"/>
  <c r="S13" i="3"/>
  <c r="S14" i="3"/>
  <c r="S15" i="3"/>
  <c r="T335" i="3" s="1"/>
  <c r="S16" i="3"/>
  <c r="S17" i="3"/>
  <c r="S18" i="3"/>
  <c r="S19" i="3"/>
  <c r="S20" i="3"/>
  <c r="S21" i="3"/>
  <c r="S22" i="3"/>
  <c r="S23" i="3"/>
  <c r="T336" i="3" s="1"/>
  <c r="S24" i="3"/>
  <c r="S25" i="3"/>
  <c r="S26" i="3"/>
  <c r="S27" i="3"/>
  <c r="S28" i="3"/>
  <c r="S29" i="3"/>
  <c r="S30" i="3"/>
  <c r="S31" i="3"/>
  <c r="T337" i="3" s="1"/>
  <c r="S32" i="3"/>
  <c r="S33" i="3"/>
  <c r="S34" i="3"/>
  <c r="S35" i="3"/>
  <c r="S36" i="3"/>
  <c r="S37" i="3"/>
  <c r="S38" i="3"/>
  <c r="T338" i="3" s="1"/>
  <c r="S39" i="3"/>
  <c r="S40" i="3"/>
  <c r="S41" i="3"/>
  <c r="S42" i="3"/>
  <c r="S43" i="3"/>
  <c r="S44" i="3"/>
  <c r="T339" i="3" s="1"/>
  <c r="S45" i="3"/>
  <c r="S46" i="3"/>
  <c r="S47" i="3"/>
  <c r="S48" i="3"/>
  <c r="S49" i="3"/>
  <c r="S50" i="3"/>
  <c r="S51" i="3"/>
  <c r="T340" i="3" s="1"/>
  <c r="S52" i="3"/>
  <c r="S53" i="3"/>
  <c r="S54" i="3"/>
  <c r="S55" i="3"/>
  <c r="T341" i="3" s="1"/>
  <c r="S56" i="3"/>
  <c r="S57" i="3"/>
  <c r="S58" i="3"/>
  <c r="S59" i="3"/>
  <c r="S60" i="3"/>
  <c r="S61" i="3"/>
  <c r="T342" i="3" s="1"/>
  <c r="S62" i="3"/>
  <c r="S63" i="3"/>
  <c r="S64" i="3"/>
  <c r="S65" i="3"/>
  <c r="S66" i="3"/>
  <c r="T343" i="3" s="1"/>
  <c r="S67" i="3"/>
  <c r="S68" i="3"/>
  <c r="S69" i="3"/>
  <c r="S70" i="3"/>
  <c r="S71" i="3"/>
  <c r="S72" i="3"/>
  <c r="T344" i="3" s="1"/>
  <c r="S73" i="3"/>
  <c r="S74" i="3"/>
  <c r="S75" i="3"/>
  <c r="S76" i="3"/>
  <c r="S77" i="3"/>
  <c r="S78" i="3"/>
  <c r="S79" i="3"/>
  <c r="S80" i="3"/>
  <c r="S81" i="3"/>
  <c r="T345" i="3" s="1"/>
  <c r="S82" i="3"/>
  <c r="S83" i="3"/>
  <c r="S84" i="3"/>
  <c r="S85" i="3"/>
  <c r="S86" i="3"/>
  <c r="S87" i="3"/>
  <c r="T346" i="3" s="1"/>
  <c r="S88" i="3"/>
  <c r="S89" i="3"/>
  <c r="S90" i="3"/>
  <c r="S91" i="3"/>
  <c r="T347" i="3" s="1"/>
  <c r="S92" i="3"/>
  <c r="S93" i="3"/>
  <c r="S94" i="3"/>
  <c r="S95" i="3"/>
  <c r="S96" i="3"/>
  <c r="S97" i="3"/>
  <c r="S98" i="3"/>
  <c r="S99" i="3"/>
  <c r="T348" i="3" s="1"/>
  <c r="S100" i="3"/>
  <c r="S101" i="3"/>
  <c r="S102" i="3"/>
  <c r="S103" i="3"/>
  <c r="S104" i="3"/>
  <c r="S105" i="3"/>
  <c r="T349" i="3" s="1"/>
  <c r="S106" i="3"/>
  <c r="S107" i="3"/>
  <c r="S108" i="3"/>
  <c r="S109" i="3"/>
  <c r="T350" i="3" s="1"/>
  <c r="S110" i="3"/>
  <c r="S111" i="3"/>
  <c r="S112" i="3"/>
  <c r="S113" i="3"/>
  <c r="S114" i="3"/>
  <c r="S115" i="3"/>
  <c r="S116" i="3"/>
  <c r="T351" i="3" s="1"/>
  <c r="S117" i="3"/>
  <c r="S118" i="3"/>
  <c r="S119" i="3"/>
  <c r="S120" i="3"/>
  <c r="S121" i="3"/>
  <c r="S122" i="3"/>
  <c r="T352" i="3" s="1"/>
  <c r="S123" i="3"/>
  <c r="S124" i="3"/>
  <c r="S125" i="3"/>
  <c r="S126" i="3"/>
  <c r="T353" i="3" s="1"/>
  <c r="S127" i="3"/>
  <c r="S128" i="3"/>
  <c r="S129" i="3"/>
  <c r="S130" i="3"/>
  <c r="S131" i="3"/>
  <c r="S132" i="3"/>
  <c r="T354" i="3" s="1"/>
  <c r="S133" i="3"/>
  <c r="S134" i="3"/>
  <c r="S135" i="3"/>
  <c r="S136" i="3"/>
  <c r="S137" i="3"/>
  <c r="S138" i="3"/>
  <c r="T355" i="3" s="1"/>
  <c r="S139" i="3"/>
  <c r="S140" i="3"/>
  <c r="S141" i="3"/>
  <c r="S142" i="3"/>
  <c r="T356" i="3" s="1"/>
  <c r="S143" i="3"/>
  <c r="S144" i="3"/>
  <c r="S145" i="3"/>
  <c r="S146" i="3"/>
  <c r="S147" i="3"/>
  <c r="T357" i="3" s="1"/>
  <c r="S148" i="3"/>
  <c r="S149" i="3"/>
  <c r="S150" i="3"/>
  <c r="S151" i="3"/>
  <c r="T358" i="3" s="1"/>
  <c r="S152" i="3"/>
  <c r="S153" i="3"/>
  <c r="S154" i="3"/>
  <c r="S155" i="3"/>
  <c r="S156" i="3"/>
  <c r="S157" i="3"/>
  <c r="T359" i="3" s="1"/>
  <c r="S158" i="3"/>
  <c r="S159" i="3"/>
  <c r="S160" i="3"/>
  <c r="S161" i="3"/>
  <c r="S162" i="3"/>
  <c r="S163" i="3"/>
  <c r="S164" i="3"/>
  <c r="T360" i="3" s="1"/>
  <c r="S165" i="3"/>
  <c r="S166" i="3"/>
  <c r="S167" i="3"/>
  <c r="S168" i="3"/>
  <c r="T361" i="3" s="1"/>
  <c r="S169" i="3"/>
  <c r="S170" i="3"/>
  <c r="S171" i="3"/>
  <c r="S172" i="3"/>
  <c r="T362" i="3" s="1"/>
  <c r="S173" i="3"/>
  <c r="S174" i="3"/>
  <c r="S175" i="3"/>
  <c r="S176" i="3"/>
  <c r="T363" i="3" s="1"/>
  <c r="S177" i="3"/>
  <c r="S178" i="3"/>
  <c r="S179" i="3"/>
  <c r="S180" i="3"/>
  <c r="S181" i="3"/>
  <c r="T364" i="3" s="1"/>
  <c r="S182" i="3"/>
  <c r="S183" i="3"/>
  <c r="S184" i="3"/>
  <c r="S185" i="3"/>
  <c r="T365" i="3" s="1"/>
  <c r="S186" i="3"/>
  <c r="S187" i="3"/>
  <c r="S188" i="3"/>
  <c r="S189" i="3"/>
  <c r="S190" i="3"/>
  <c r="S191" i="3"/>
  <c r="T366" i="3" s="1"/>
  <c r="S192" i="3"/>
  <c r="S193" i="3"/>
  <c r="S194" i="3"/>
  <c r="S195" i="3"/>
  <c r="T367" i="3" s="1"/>
  <c r="S196" i="3"/>
  <c r="S197" i="3"/>
  <c r="S198" i="3"/>
  <c r="S199" i="3"/>
  <c r="T368" i="3" s="1"/>
  <c r="S200" i="3"/>
  <c r="S201" i="3"/>
  <c r="S202" i="3"/>
  <c r="S203" i="3"/>
  <c r="T369" i="3" s="1"/>
  <c r="S204" i="3"/>
  <c r="S205" i="3"/>
  <c r="S206" i="3"/>
  <c r="S207" i="3"/>
  <c r="T370" i="3" s="1"/>
  <c r="S208" i="3"/>
  <c r="T371" i="3" s="1"/>
  <c r="S209" i="3"/>
  <c r="S210" i="3"/>
  <c r="T372" i="3" s="1"/>
  <c r="S211" i="3"/>
  <c r="S212" i="3"/>
  <c r="S213" i="3"/>
  <c r="S214" i="3"/>
  <c r="T373" i="3" s="1"/>
  <c r="S215" i="3"/>
  <c r="S216" i="3"/>
  <c r="S217" i="3"/>
  <c r="S218" i="3"/>
  <c r="T374" i="3" s="1"/>
  <c r="S219" i="3"/>
  <c r="S220" i="3"/>
  <c r="S221" i="3"/>
  <c r="S222" i="3"/>
  <c r="T375" i="3" s="1"/>
  <c r="S223" i="3"/>
  <c r="T376" i="3" s="1"/>
  <c r="S224" i="3"/>
  <c r="T377" i="3" s="1"/>
  <c r="S225" i="3"/>
  <c r="S226" i="3"/>
  <c r="T378" i="3" s="1"/>
  <c r="S227" i="3"/>
  <c r="S228" i="3"/>
  <c r="S229" i="3"/>
  <c r="S230" i="3"/>
  <c r="T379" i="3" s="1"/>
  <c r="S231" i="3"/>
  <c r="S232" i="3"/>
  <c r="S233" i="3"/>
  <c r="S234" i="3"/>
  <c r="T380" i="3" s="1"/>
  <c r="S235" i="3"/>
  <c r="S236" i="3"/>
  <c r="S237" i="3"/>
  <c r="S238" i="3"/>
  <c r="T381" i="3" s="1"/>
  <c r="S239" i="3"/>
  <c r="S240" i="3"/>
  <c r="S241" i="3"/>
  <c r="S242" i="3"/>
  <c r="T382" i="3" s="1"/>
  <c r="S243" i="3"/>
  <c r="S244" i="3"/>
  <c r="S245" i="3"/>
  <c r="S246" i="3"/>
  <c r="T383" i="3" s="1"/>
  <c r="S247" i="3"/>
  <c r="S248" i="3"/>
  <c r="S249" i="3"/>
  <c r="S250" i="3"/>
  <c r="T384" i="3" s="1"/>
  <c r="S251" i="3"/>
  <c r="S252" i="3"/>
  <c r="S253" i="3"/>
  <c r="S254" i="3"/>
  <c r="T385" i="3" s="1"/>
  <c r="S255" i="3"/>
  <c r="S256" i="3"/>
  <c r="S257" i="3"/>
  <c r="S258" i="3"/>
  <c r="T386" i="3" s="1"/>
  <c r="S259" i="3"/>
  <c r="S260" i="3"/>
  <c r="S261" i="3"/>
  <c r="S262" i="3"/>
  <c r="T387" i="3" s="1"/>
  <c r="S263" i="3"/>
  <c r="S264" i="3"/>
  <c r="S265" i="3"/>
  <c r="S266" i="3"/>
  <c r="T388" i="3" s="1"/>
  <c r="S267" i="3"/>
  <c r="S268" i="3"/>
  <c r="S269" i="3"/>
  <c r="S270" i="3"/>
  <c r="T389" i="3" s="1"/>
  <c r="S271" i="3"/>
  <c r="S272" i="3"/>
  <c r="S273" i="3"/>
  <c r="S274" i="3"/>
  <c r="T390" i="3" s="1"/>
  <c r="S275" i="3"/>
  <c r="S276" i="3"/>
  <c r="S277" i="3"/>
  <c r="S278" i="3"/>
  <c r="T391" i="3" s="1"/>
  <c r="S279" i="3"/>
  <c r="S280" i="3"/>
  <c r="S281" i="3"/>
  <c r="S282" i="3"/>
  <c r="T392" i="3" s="1"/>
  <c r="S283" i="3"/>
  <c r="S284" i="3"/>
  <c r="S285" i="3"/>
  <c r="S286" i="3"/>
  <c r="T393" i="3" s="1"/>
  <c r="S287" i="3"/>
  <c r="S288" i="3"/>
  <c r="S289" i="3"/>
  <c r="S290" i="3"/>
  <c r="T394" i="3" s="1"/>
  <c r="S291" i="3"/>
  <c r="S292" i="3"/>
  <c r="S293" i="3"/>
  <c r="S294" i="3"/>
  <c r="T395" i="3" s="1"/>
  <c r="S295" i="3"/>
  <c r="S296" i="3"/>
  <c r="S297" i="3"/>
  <c r="T396" i="3" s="1"/>
  <c r="S298" i="3"/>
  <c r="T397" i="3" s="1"/>
  <c r="S299" i="3"/>
  <c r="S300" i="3"/>
  <c r="S301" i="3"/>
  <c r="S302" i="3"/>
  <c r="T398" i="3" s="1"/>
  <c r="S303" i="3"/>
  <c r="S304" i="3"/>
  <c r="S305" i="3"/>
  <c r="S306" i="3"/>
  <c r="T399" i="3" s="1"/>
  <c r="S307" i="3"/>
  <c r="S308" i="3"/>
  <c r="S309" i="3"/>
  <c r="S310" i="3"/>
  <c r="T400" i="3" s="1"/>
  <c r="S311" i="3"/>
  <c r="S312" i="3"/>
  <c r="S313" i="3"/>
  <c r="S314" i="3"/>
  <c r="T401" i="3" s="1"/>
  <c r="S315" i="3"/>
  <c r="S316" i="3"/>
  <c r="S317" i="3"/>
  <c r="S318" i="3"/>
  <c r="T402" i="3" s="1"/>
  <c r="S319" i="3"/>
  <c r="S320" i="3"/>
  <c r="S321" i="3"/>
  <c r="S322" i="3"/>
  <c r="T403" i="3" s="1"/>
  <c r="S323" i="3"/>
  <c r="S324" i="3"/>
  <c r="S325" i="3"/>
  <c r="S326" i="3"/>
  <c r="T404" i="3" s="1"/>
  <c r="S327" i="3"/>
  <c r="S328" i="3"/>
  <c r="T405" i="3" s="1"/>
  <c r="S5" i="3"/>
  <c r="T333" i="3" s="1"/>
  <c r="K328" i="3"/>
  <c r="L328" i="3" s="1"/>
  <c r="K405" i="3" s="1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5" i="3"/>
  <c r="AB6" i="6" l="1"/>
  <c r="M136" i="6" s="1"/>
  <c r="M162" i="11"/>
  <c r="M189" i="11"/>
  <c r="Q189" i="11" s="1"/>
  <c r="P273" i="11"/>
  <c r="S296" i="11"/>
  <c r="X272" i="11"/>
  <c r="N6" i="4"/>
  <c r="F38" i="4"/>
  <c r="M4" i="8"/>
  <c r="L220" i="11"/>
  <c r="K245" i="11"/>
  <c r="L162" i="11"/>
  <c r="K189" i="11"/>
  <c r="G162" i="11"/>
  <c r="G189" i="11"/>
  <c r="O161" i="11"/>
  <c r="R189" i="11" s="1"/>
  <c r="N162" i="11"/>
  <c r="L189" i="11"/>
  <c r="P189" i="11" s="1"/>
  <c r="E413" i="3"/>
  <c r="AB5" i="3"/>
  <c r="H369" i="11"/>
  <c r="H400" i="11"/>
  <c r="T368" i="11"/>
  <c r="Y368" i="11" s="1"/>
  <c r="G369" i="11"/>
  <c r="G400" i="11"/>
  <c r="H322" i="11"/>
  <c r="H344" i="11"/>
  <c r="T321" i="11"/>
  <c r="Y321" i="11" s="1"/>
  <c r="G322" i="11"/>
  <c r="G344" i="11"/>
  <c r="H273" i="11"/>
  <c r="H296" i="11"/>
  <c r="T272" i="11"/>
  <c r="Y272" i="11" s="1"/>
  <c r="N220" i="11"/>
  <c r="L246" i="11" s="1"/>
  <c r="P245" i="11"/>
  <c r="M220" i="11"/>
  <c r="M246" i="11" s="1"/>
  <c r="Q245" i="11"/>
  <c r="H220" i="11"/>
  <c r="H245" i="11"/>
  <c r="T219" i="11"/>
  <c r="Y219" i="11" s="1"/>
  <c r="G220" i="11"/>
  <c r="G245" i="11"/>
  <c r="H162" i="11"/>
  <c r="H189" i="11"/>
  <c r="T161" i="11"/>
  <c r="Y161" i="11" s="1"/>
  <c r="N370" i="11"/>
  <c r="L401" i="11"/>
  <c r="P401" i="11" s="1"/>
  <c r="X369" i="11"/>
  <c r="S401" i="11"/>
  <c r="M370" i="11"/>
  <c r="M401" i="11"/>
  <c r="Q401" i="11" s="1"/>
  <c r="L369" i="11"/>
  <c r="K400" i="11"/>
  <c r="L322" i="11"/>
  <c r="K344" i="11"/>
  <c r="M322" i="11"/>
  <c r="M344" i="11"/>
  <c r="Q344" i="11" s="1"/>
  <c r="N322" i="11"/>
  <c r="L344" i="11"/>
  <c r="P344" i="11" s="1"/>
  <c r="X322" i="11"/>
  <c r="S345" i="11"/>
  <c r="N273" i="11"/>
  <c r="L296" i="11"/>
  <c r="P296" i="11" s="1"/>
  <c r="L273" i="11"/>
  <c r="K296" i="11"/>
  <c r="M273" i="11"/>
  <c r="M296" i="11"/>
  <c r="Q296" i="11" s="1"/>
  <c r="X219" i="11"/>
  <c r="S245" i="11"/>
  <c r="X163" i="11"/>
  <c r="S191" i="11"/>
  <c r="N61" i="9"/>
  <c r="L61" i="9" s="1"/>
  <c r="L101" i="11"/>
  <c r="K130" i="11"/>
  <c r="M101" i="11"/>
  <c r="M130" i="11"/>
  <c r="Q130" i="11" s="1"/>
  <c r="G101" i="11"/>
  <c r="O101" i="11" s="1"/>
  <c r="R131" i="11" s="1"/>
  <c r="G130" i="11"/>
  <c r="X101" i="11"/>
  <c r="S131" i="11"/>
  <c r="N101" i="11"/>
  <c r="L130" i="11"/>
  <c r="P130" i="11" s="1"/>
  <c r="H101" i="11"/>
  <c r="H130" i="11"/>
  <c r="T100" i="11"/>
  <c r="Y100" i="11" s="1"/>
  <c r="N43" i="11"/>
  <c r="L71" i="11"/>
  <c r="P71" i="11" s="1"/>
  <c r="G71" i="11"/>
  <c r="G43" i="11"/>
  <c r="O43" i="11" s="1"/>
  <c r="R72" i="11" s="1"/>
  <c r="O42" i="11"/>
  <c r="R71" i="11" s="1"/>
  <c r="X43" i="11"/>
  <c r="S72" i="11"/>
  <c r="M43" i="11"/>
  <c r="M71" i="11"/>
  <c r="Q71" i="11" s="1"/>
  <c r="L43" i="11"/>
  <c r="K71" i="11"/>
  <c r="H44" i="11"/>
  <c r="H72" i="11"/>
  <c r="T43" i="11"/>
  <c r="Y43" i="11" s="1"/>
  <c r="V15" i="9"/>
  <c r="U12" i="9"/>
  <c r="T41" i="9"/>
  <c r="Q15" i="9"/>
  <c r="Y12" i="9"/>
  <c r="AB41" i="9"/>
  <c r="W16" i="9"/>
  <c r="U44" i="9"/>
  <c r="Y44" i="9" s="1"/>
  <c r="U11" i="8"/>
  <c r="U70" i="8"/>
  <c r="Y70" i="8" s="1"/>
  <c r="V25" i="8"/>
  <c r="V76" i="8"/>
  <c r="Z76" i="8" s="1"/>
  <c r="W25" i="8"/>
  <c r="U76" i="8"/>
  <c r="Y76" i="8" s="1"/>
  <c r="V70" i="8"/>
  <c r="Z70" i="8" s="1"/>
  <c r="W24" i="7"/>
  <c r="U69" i="7"/>
  <c r="Y69" i="7" s="1"/>
  <c r="Y16" i="7"/>
  <c r="AB65" i="7"/>
  <c r="X15" i="7"/>
  <c r="AA65" i="7" s="1"/>
  <c r="L5" i="7"/>
  <c r="L60" i="7" s="1"/>
  <c r="AA339" i="3" s="1"/>
  <c r="M60" i="7"/>
  <c r="AB339" i="3" s="1"/>
  <c r="V24" i="7"/>
  <c r="V69" i="7"/>
  <c r="Z69" i="7" s="1"/>
  <c r="U16" i="7"/>
  <c r="U17" i="7" s="1"/>
  <c r="T65" i="7"/>
  <c r="N136" i="6"/>
  <c r="Q46" i="6"/>
  <c r="Q106" i="6"/>
  <c r="Q14" i="6"/>
  <c r="Q15" i="6" s="1"/>
  <c r="Q87" i="6"/>
  <c r="Q29" i="6"/>
  <c r="V31" i="6"/>
  <c r="L5" i="6"/>
  <c r="L83" i="6" s="1"/>
  <c r="AA337" i="3" s="1"/>
  <c r="M83" i="6"/>
  <c r="AB337" i="3" s="1"/>
  <c r="V20" i="6"/>
  <c r="V21" i="6" s="1"/>
  <c r="V90" i="6"/>
  <c r="Z90" i="6" s="1"/>
  <c r="P46" i="6"/>
  <c r="P106" i="6"/>
  <c r="X45" i="6"/>
  <c r="AA106" i="6" s="1"/>
  <c r="W20" i="6"/>
  <c r="W21" i="6" s="1"/>
  <c r="U90" i="6"/>
  <c r="Y90" i="6" s="1"/>
  <c r="W31" i="6"/>
  <c r="Q58" i="5"/>
  <c r="Q110" i="5"/>
  <c r="W43" i="5"/>
  <c r="M13" i="5"/>
  <c r="P14" i="5"/>
  <c r="P87" i="5"/>
  <c r="U12" i="5"/>
  <c r="T86" i="5"/>
  <c r="W14" i="5"/>
  <c r="U87" i="5"/>
  <c r="Y87" i="5" s="1"/>
  <c r="Q14" i="5"/>
  <c r="Q87" i="5"/>
  <c r="Q43" i="5"/>
  <c r="V43" i="5"/>
  <c r="P43" i="5"/>
  <c r="V14" i="5"/>
  <c r="V87" i="5"/>
  <c r="Z87" i="5" s="1"/>
  <c r="Q376" i="3"/>
  <c r="P376" i="3"/>
  <c r="P368" i="3"/>
  <c r="Q368" i="3"/>
  <c r="Q358" i="3"/>
  <c r="P358" i="3"/>
  <c r="P347" i="3"/>
  <c r="Q347" i="3"/>
  <c r="P341" i="3"/>
  <c r="Q341" i="3"/>
  <c r="P337" i="3"/>
  <c r="Q337" i="3"/>
  <c r="Q375" i="3"/>
  <c r="P375" i="3"/>
  <c r="P372" i="3"/>
  <c r="Q372" i="3"/>
  <c r="Q355" i="3"/>
  <c r="P355" i="3"/>
  <c r="Q353" i="3"/>
  <c r="P353" i="3"/>
  <c r="P343" i="3"/>
  <c r="Q343" i="3"/>
  <c r="Q365" i="3"/>
  <c r="P365" i="3"/>
  <c r="Q362" i="3"/>
  <c r="P362" i="3"/>
  <c r="P370" i="3"/>
  <c r="Q370" i="3"/>
  <c r="Q367" i="3"/>
  <c r="P367" i="3"/>
  <c r="P357" i="3"/>
  <c r="Q357" i="3"/>
  <c r="P348" i="3"/>
  <c r="Q348" i="3"/>
  <c r="P346" i="3"/>
  <c r="Q346" i="3"/>
  <c r="P340" i="3"/>
  <c r="Q340" i="3"/>
  <c r="P335" i="3"/>
  <c r="Q335" i="3"/>
  <c r="Q374" i="3"/>
  <c r="P374" i="3"/>
  <c r="P352" i="3"/>
  <c r="Q352" i="3"/>
  <c r="Q338" i="3"/>
  <c r="P338" i="3"/>
  <c r="Q364" i="3"/>
  <c r="P364" i="3"/>
  <c r="Q359" i="3"/>
  <c r="P359" i="3"/>
  <c r="P350" i="3"/>
  <c r="Q350" i="3"/>
  <c r="Q342" i="3"/>
  <c r="P342" i="3"/>
  <c r="P361" i="3"/>
  <c r="Q361" i="3"/>
  <c r="Q354" i="3"/>
  <c r="P354" i="3"/>
  <c r="P344" i="3"/>
  <c r="Q344" i="3"/>
  <c r="Q369" i="3"/>
  <c r="P369" i="3"/>
  <c r="P366" i="3"/>
  <c r="Q366" i="3"/>
  <c r="P336" i="3"/>
  <c r="Q336" i="3"/>
  <c r="P373" i="3"/>
  <c r="Q373" i="3"/>
  <c r="P356" i="3"/>
  <c r="Q356" i="3"/>
  <c r="P349" i="3"/>
  <c r="Q349" i="3"/>
  <c r="Q345" i="3"/>
  <c r="P345" i="3"/>
  <c r="P334" i="3"/>
  <c r="Q334" i="3"/>
  <c r="P363" i="3"/>
  <c r="Q363" i="3"/>
  <c r="P360" i="3"/>
  <c r="Q360" i="3"/>
  <c r="P351" i="3"/>
  <c r="Q351" i="3"/>
  <c r="P339" i="3"/>
  <c r="Q339" i="3"/>
  <c r="P319" i="3"/>
  <c r="P307" i="3"/>
  <c r="P295" i="3"/>
  <c r="P283" i="3"/>
  <c r="P271" i="3"/>
  <c r="P259" i="3"/>
  <c r="P247" i="3"/>
  <c r="P235" i="3"/>
  <c r="G376" i="3"/>
  <c r="O376" i="3" s="1"/>
  <c r="S376" i="3" s="1"/>
  <c r="G199" i="3"/>
  <c r="G368" i="3" s="1"/>
  <c r="O368" i="3" s="1"/>
  <c r="G187" i="3"/>
  <c r="G175" i="3"/>
  <c r="G163" i="3"/>
  <c r="G151" i="3"/>
  <c r="G358" i="3" s="1"/>
  <c r="O358" i="3" s="1"/>
  <c r="G139" i="3"/>
  <c r="G127" i="3"/>
  <c r="G115" i="3"/>
  <c r="G103" i="3"/>
  <c r="G91" i="3"/>
  <c r="G347" i="3" s="1"/>
  <c r="O347" i="3" s="1"/>
  <c r="G79" i="3"/>
  <c r="G67" i="3"/>
  <c r="G55" i="3"/>
  <c r="G341" i="3" s="1"/>
  <c r="O341" i="3" s="1"/>
  <c r="G43" i="3"/>
  <c r="G31" i="3"/>
  <c r="G337" i="3" s="1"/>
  <c r="O337" i="3" s="1"/>
  <c r="G19" i="3"/>
  <c r="P318" i="3"/>
  <c r="G402" i="3" s="1"/>
  <c r="O402" i="3" s="1"/>
  <c r="P306" i="3"/>
  <c r="G399" i="3" s="1"/>
  <c r="O399" i="3" s="1"/>
  <c r="P294" i="3"/>
  <c r="G395" i="3" s="1"/>
  <c r="O395" i="3" s="1"/>
  <c r="P282" i="3"/>
  <c r="G392" i="3" s="1"/>
  <c r="O392" i="3" s="1"/>
  <c r="P270" i="3"/>
  <c r="G389" i="3" s="1"/>
  <c r="O389" i="3" s="1"/>
  <c r="P258" i="3"/>
  <c r="G386" i="3" s="1"/>
  <c r="O386" i="3" s="1"/>
  <c r="P246" i="3"/>
  <c r="G383" i="3" s="1"/>
  <c r="O383" i="3" s="1"/>
  <c r="P234" i="3"/>
  <c r="G380" i="3" s="1"/>
  <c r="O380" i="3" s="1"/>
  <c r="G375" i="3"/>
  <c r="O375" i="3" s="1"/>
  <c r="G372" i="3"/>
  <c r="O372" i="3" s="1"/>
  <c r="G198" i="3"/>
  <c r="G186" i="3"/>
  <c r="G174" i="3"/>
  <c r="G162" i="3"/>
  <c r="G150" i="3"/>
  <c r="G138" i="3"/>
  <c r="G355" i="3" s="1"/>
  <c r="O355" i="3" s="1"/>
  <c r="G126" i="3"/>
  <c r="G353" i="3" s="1"/>
  <c r="O353" i="3" s="1"/>
  <c r="G114" i="3"/>
  <c r="G102" i="3"/>
  <c r="G90" i="3"/>
  <c r="G78" i="3"/>
  <c r="G66" i="3"/>
  <c r="G343" i="3" s="1"/>
  <c r="O343" i="3" s="1"/>
  <c r="G54" i="3"/>
  <c r="G42" i="3"/>
  <c r="G30" i="3"/>
  <c r="G18" i="3"/>
  <c r="P317" i="3"/>
  <c r="P305" i="3"/>
  <c r="P293" i="3"/>
  <c r="P281" i="3"/>
  <c r="P269" i="3"/>
  <c r="P257" i="3"/>
  <c r="P245" i="3"/>
  <c r="P233" i="3"/>
  <c r="G197" i="3"/>
  <c r="G185" i="3"/>
  <c r="G365" i="3" s="1"/>
  <c r="O365" i="3" s="1"/>
  <c r="G173" i="3"/>
  <c r="G161" i="3"/>
  <c r="G149" i="3"/>
  <c r="G137" i="3"/>
  <c r="G125" i="3"/>
  <c r="G113" i="3"/>
  <c r="G101" i="3"/>
  <c r="G89" i="3"/>
  <c r="G77" i="3"/>
  <c r="G65" i="3"/>
  <c r="G53" i="3"/>
  <c r="G41" i="3"/>
  <c r="G29" i="3"/>
  <c r="G17" i="3"/>
  <c r="P328" i="3"/>
  <c r="G405" i="3" s="1"/>
  <c r="O405" i="3" s="1"/>
  <c r="P316" i="3"/>
  <c r="P304" i="3"/>
  <c r="P292" i="3"/>
  <c r="P280" i="3"/>
  <c r="P268" i="3"/>
  <c r="P256" i="3"/>
  <c r="P244" i="3"/>
  <c r="P232" i="3"/>
  <c r="G371" i="3"/>
  <c r="O371" i="3" s="1"/>
  <c r="G196" i="3"/>
  <c r="G184" i="3"/>
  <c r="G172" i="3"/>
  <c r="G362" i="3" s="1"/>
  <c r="O362" i="3" s="1"/>
  <c r="G160" i="3"/>
  <c r="G148" i="3"/>
  <c r="G136" i="3"/>
  <c r="G124" i="3"/>
  <c r="G112" i="3"/>
  <c r="G100" i="3"/>
  <c r="G88" i="3"/>
  <c r="G76" i="3"/>
  <c r="G64" i="3"/>
  <c r="G52" i="3"/>
  <c r="G40" i="3"/>
  <c r="G28" i="3"/>
  <c r="P327" i="3"/>
  <c r="P315" i="3"/>
  <c r="P303" i="3"/>
  <c r="P291" i="3"/>
  <c r="P279" i="3"/>
  <c r="P267" i="3"/>
  <c r="P255" i="3"/>
  <c r="P243" i="3"/>
  <c r="P231" i="3"/>
  <c r="G207" i="3"/>
  <c r="G370" i="3" s="1"/>
  <c r="O370" i="3" s="1"/>
  <c r="G195" i="3"/>
  <c r="G367" i="3" s="1"/>
  <c r="O367" i="3" s="1"/>
  <c r="G183" i="3"/>
  <c r="G171" i="3"/>
  <c r="G159" i="3"/>
  <c r="G147" i="3"/>
  <c r="G357" i="3" s="1"/>
  <c r="O357" i="3" s="1"/>
  <c r="G135" i="3"/>
  <c r="G123" i="3"/>
  <c r="G111" i="3"/>
  <c r="G99" i="3"/>
  <c r="G348" i="3" s="1"/>
  <c r="O348" i="3" s="1"/>
  <c r="G87" i="3"/>
  <c r="G346" i="3" s="1"/>
  <c r="O346" i="3" s="1"/>
  <c r="G75" i="3"/>
  <c r="G63" i="3"/>
  <c r="G51" i="3"/>
  <c r="G340" i="3" s="1"/>
  <c r="O340" i="3" s="1"/>
  <c r="G39" i="3"/>
  <c r="G27" i="3"/>
  <c r="P326" i="3"/>
  <c r="G404" i="3" s="1"/>
  <c r="O404" i="3" s="1"/>
  <c r="P314" i="3"/>
  <c r="G401" i="3" s="1"/>
  <c r="O401" i="3" s="1"/>
  <c r="P302" i="3"/>
  <c r="G398" i="3" s="1"/>
  <c r="O398" i="3" s="1"/>
  <c r="P290" i="3"/>
  <c r="G394" i="3" s="1"/>
  <c r="O394" i="3" s="1"/>
  <c r="P278" i="3"/>
  <c r="G391" i="3" s="1"/>
  <c r="O391" i="3" s="1"/>
  <c r="P266" i="3"/>
  <c r="G388" i="3" s="1"/>
  <c r="O388" i="3" s="1"/>
  <c r="P254" i="3"/>
  <c r="G385" i="3" s="1"/>
  <c r="O385" i="3" s="1"/>
  <c r="P242" i="3"/>
  <c r="G382" i="3" s="1"/>
  <c r="O382" i="3" s="1"/>
  <c r="P230" i="3"/>
  <c r="G379" i="3" s="1"/>
  <c r="O379" i="3" s="1"/>
  <c r="G374" i="3"/>
  <c r="O374" i="3" s="1"/>
  <c r="G206" i="3"/>
  <c r="G194" i="3"/>
  <c r="G182" i="3"/>
  <c r="G170" i="3"/>
  <c r="G158" i="3"/>
  <c r="G146" i="3"/>
  <c r="G134" i="3"/>
  <c r="G122" i="3"/>
  <c r="G352" i="3" s="1"/>
  <c r="O352" i="3" s="1"/>
  <c r="G110" i="3"/>
  <c r="G98" i="3"/>
  <c r="G86" i="3"/>
  <c r="G74" i="3"/>
  <c r="G62" i="3"/>
  <c r="G50" i="3"/>
  <c r="G38" i="3"/>
  <c r="G338" i="3" s="1"/>
  <c r="O338" i="3" s="1"/>
  <c r="G26" i="3"/>
  <c r="P325" i="3"/>
  <c r="P313" i="3"/>
  <c r="P301" i="3"/>
  <c r="P289" i="3"/>
  <c r="P277" i="3"/>
  <c r="P265" i="3"/>
  <c r="P253" i="3"/>
  <c r="P241" i="3"/>
  <c r="P229" i="3"/>
  <c r="G205" i="3"/>
  <c r="G193" i="3"/>
  <c r="G181" i="3"/>
  <c r="G364" i="3" s="1"/>
  <c r="O364" i="3" s="1"/>
  <c r="G169" i="3"/>
  <c r="G157" i="3"/>
  <c r="G359" i="3" s="1"/>
  <c r="O359" i="3" s="1"/>
  <c r="S359" i="3" s="1"/>
  <c r="G145" i="3"/>
  <c r="G133" i="3"/>
  <c r="G121" i="3"/>
  <c r="G109" i="3"/>
  <c r="G350" i="3" s="1"/>
  <c r="O350" i="3" s="1"/>
  <c r="G97" i="3"/>
  <c r="G85" i="3"/>
  <c r="G73" i="3"/>
  <c r="G61" i="3"/>
  <c r="G342" i="3" s="1"/>
  <c r="O342" i="3" s="1"/>
  <c r="S342" i="3" s="1"/>
  <c r="G49" i="3"/>
  <c r="G37" i="3"/>
  <c r="G25" i="3"/>
  <c r="P324" i="3"/>
  <c r="P312" i="3"/>
  <c r="P300" i="3"/>
  <c r="P288" i="3"/>
  <c r="P276" i="3"/>
  <c r="P264" i="3"/>
  <c r="P252" i="3"/>
  <c r="P240" i="3"/>
  <c r="P228" i="3"/>
  <c r="G204" i="3"/>
  <c r="G192" i="3"/>
  <c r="G180" i="3"/>
  <c r="G168" i="3"/>
  <c r="G361" i="3" s="1"/>
  <c r="O361" i="3" s="1"/>
  <c r="G156" i="3"/>
  <c r="G144" i="3"/>
  <c r="G132" i="3"/>
  <c r="G354" i="3" s="1"/>
  <c r="O354" i="3" s="1"/>
  <c r="G120" i="3"/>
  <c r="G108" i="3"/>
  <c r="G96" i="3"/>
  <c r="G84" i="3"/>
  <c r="G72" i="3"/>
  <c r="G344" i="3" s="1"/>
  <c r="O344" i="3" s="1"/>
  <c r="G60" i="3"/>
  <c r="G48" i="3"/>
  <c r="G36" i="3"/>
  <c r="G24" i="3"/>
  <c r="P323" i="3"/>
  <c r="P311" i="3"/>
  <c r="P299" i="3"/>
  <c r="P287" i="3"/>
  <c r="P275" i="3"/>
  <c r="P263" i="3"/>
  <c r="P251" i="3"/>
  <c r="P239" i="3"/>
  <c r="P227" i="3"/>
  <c r="G203" i="3"/>
  <c r="G369" i="3" s="1"/>
  <c r="O369" i="3" s="1"/>
  <c r="S369" i="3" s="1"/>
  <c r="G191" i="3"/>
  <c r="G366" i="3" s="1"/>
  <c r="O366" i="3" s="1"/>
  <c r="G179" i="3"/>
  <c r="G167" i="3"/>
  <c r="G155" i="3"/>
  <c r="G143" i="3"/>
  <c r="G131" i="3"/>
  <c r="G119" i="3"/>
  <c r="G107" i="3"/>
  <c r="G95" i="3"/>
  <c r="G83" i="3"/>
  <c r="G71" i="3"/>
  <c r="G59" i="3"/>
  <c r="G47" i="3"/>
  <c r="G35" i="3"/>
  <c r="G23" i="3"/>
  <c r="G336" i="3" s="1"/>
  <c r="O336" i="3" s="1"/>
  <c r="P322" i="3"/>
  <c r="G403" i="3" s="1"/>
  <c r="O403" i="3" s="1"/>
  <c r="P310" i="3"/>
  <c r="G400" i="3" s="1"/>
  <c r="O400" i="3" s="1"/>
  <c r="P298" i="3"/>
  <c r="G397" i="3" s="1"/>
  <c r="O397" i="3" s="1"/>
  <c r="P286" i="3"/>
  <c r="G393" i="3" s="1"/>
  <c r="O393" i="3" s="1"/>
  <c r="P274" i="3"/>
  <c r="G390" i="3" s="1"/>
  <c r="O390" i="3" s="1"/>
  <c r="P262" i="3"/>
  <c r="G387" i="3" s="1"/>
  <c r="O387" i="3" s="1"/>
  <c r="P250" i="3"/>
  <c r="G384" i="3" s="1"/>
  <c r="O384" i="3" s="1"/>
  <c r="P238" i="3"/>
  <c r="G381" i="3" s="1"/>
  <c r="O381" i="3" s="1"/>
  <c r="P226" i="3"/>
  <c r="G378" i="3" s="1"/>
  <c r="O378" i="3" s="1"/>
  <c r="G373" i="3"/>
  <c r="O373" i="3" s="1"/>
  <c r="G202" i="3"/>
  <c r="G190" i="3"/>
  <c r="G178" i="3"/>
  <c r="G166" i="3"/>
  <c r="G154" i="3"/>
  <c r="G142" i="3"/>
  <c r="G356" i="3" s="1"/>
  <c r="O356" i="3" s="1"/>
  <c r="G130" i="3"/>
  <c r="G118" i="3"/>
  <c r="G106" i="3"/>
  <c r="G94" i="3"/>
  <c r="G82" i="3"/>
  <c r="G70" i="3"/>
  <c r="G58" i="3"/>
  <c r="G46" i="3"/>
  <c r="G34" i="3"/>
  <c r="G22" i="3"/>
  <c r="P321" i="3"/>
  <c r="P309" i="3"/>
  <c r="P297" i="3"/>
  <c r="G396" i="3" s="1"/>
  <c r="O396" i="3" s="1"/>
  <c r="S396" i="3" s="1"/>
  <c r="P285" i="3"/>
  <c r="P273" i="3"/>
  <c r="P261" i="3"/>
  <c r="P249" i="3"/>
  <c r="P237" i="3"/>
  <c r="P225" i="3"/>
  <c r="G201" i="3"/>
  <c r="G189" i="3"/>
  <c r="G177" i="3"/>
  <c r="G165" i="3"/>
  <c r="G153" i="3"/>
  <c r="G141" i="3"/>
  <c r="G129" i="3"/>
  <c r="G117" i="3"/>
  <c r="G105" i="3"/>
  <c r="G349" i="3" s="1"/>
  <c r="O349" i="3" s="1"/>
  <c r="G93" i="3"/>
  <c r="G81" i="3"/>
  <c r="G345" i="3" s="1"/>
  <c r="O345" i="3" s="1"/>
  <c r="G69" i="3"/>
  <c r="G57" i="3"/>
  <c r="G45" i="3"/>
  <c r="G33" i="3"/>
  <c r="G21" i="3"/>
  <c r="P320" i="3"/>
  <c r="P308" i="3"/>
  <c r="P296" i="3"/>
  <c r="P284" i="3"/>
  <c r="P272" i="3"/>
  <c r="P260" i="3"/>
  <c r="P248" i="3"/>
  <c r="P236" i="3"/>
  <c r="P224" i="3"/>
  <c r="G377" i="3" s="1"/>
  <c r="O377" i="3" s="1"/>
  <c r="G200" i="3"/>
  <c r="G188" i="3"/>
  <c r="G176" i="3"/>
  <c r="G363" i="3" s="1"/>
  <c r="O363" i="3" s="1"/>
  <c r="G164" i="3"/>
  <c r="G360" i="3" s="1"/>
  <c r="O360" i="3" s="1"/>
  <c r="G152" i="3"/>
  <c r="G140" i="3"/>
  <c r="G128" i="3"/>
  <c r="G116" i="3"/>
  <c r="G351" i="3" s="1"/>
  <c r="O351" i="3" s="1"/>
  <c r="G104" i="3"/>
  <c r="G92" i="3"/>
  <c r="G80" i="3"/>
  <c r="G68" i="3"/>
  <c r="G56" i="3"/>
  <c r="G44" i="3"/>
  <c r="G339" i="3" s="1"/>
  <c r="O339" i="3" s="1"/>
  <c r="G32" i="3"/>
  <c r="G20" i="3"/>
  <c r="G7" i="3"/>
  <c r="G6" i="3"/>
  <c r="G16" i="3"/>
  <c r="G15" i="3"/>
  <c r="G335" i="3" s="1"/>
  <c r="O335" i="3" s="1"/>
  <c r="G14" i="3"/>
  <c r="G13" i="3"/>
  <c r="G12" i="3"/>
  <c r="G11" i="3"/>
  <c r="G10" i="3"/>
  <c r="G9" i="3"/>
  <c r="G334" i="3" s="1"/>
  <c r="O334" i="3" s="1"/>
  <c r="G8" i="3"/>
  <c r="Z277" i="11"/>
  <c r="AB11" i="9"/>
  <c r="M62" i="9" s="1"/>
  <c r="N62" i="9"/>
  <c r="L62" i="9" s="1"/>
  <c r="AB8" i="8"/>
  <c r="M103" i="8" s="1"/>
  <c r="N103" i="8"/>
  <c r="L103" i="8" s="1"/>
  <c r="AB9" i="8"/>
  <c r="M104" i="8" s="1"/>
  <c r="N104" i="8"/>
  <c r="L104" i="8" s="1"/>
  <c r="AB5" i="5"/>
  <c r="P132" i="5"/>
  <c r="AA41" i="7"/>
  <c r="N132" i="7" s="1"/>
  <c r="G41" i="7"/>
  <c r="AB7" i="6"/>
  <c r="M137" i="6" s="1"/>
  <c r="L137" i="6"/>
  <c r="N137" i="6"/>
  <c r="AB8" i="6"/>
  <c r="M138" i="6" s="1"/>
  <c r="N138" i="6"/>
  <c r="L138" i="6"/>
  <c r="X161" i="3"/>
  <c r="E515" i="3" s="1"/>
  <c r="D515" i="3"/>
  <c r="F515" i="3"/>
  <c r="F516" i="3"/>
  <c r="D516" i="3"/>
  <c r="R260" i="3"/>
  <c r="X162" i="3"/>
  <c r="E516" i="3" s="1"/>
  <c r="Z162" i="3"/>
  <c r="Y11" i="5"/>
  <c r="AB86" i="5" s="1"/>
  <c r="X10" i="5"/>
  <c r="P370" i="11"/>
  <c r="O369" i="11"/>
  <c r="R401" i="11" s="1"/>
  <c r="J371" i="11"/>
  <c r="K370" i="11"/>
  <c r="J402" i="11" s="1"/>
  <c r="J324" i="11"/>
  <c r="K323" i="11"/>
  <c r="J346" i="11" s="1"/>
  <c r="P323" i="11"/>
  <c r="O322" i="11"/>
  <c r="R345" i="11" s="1"/>
  <c r="S278" i="11"/>
  <c r="Q278" i="11"/>
  <c r="AA278" i="11" s="1"/>
  <c r="G274" i="11"/>
  <c r="G298" i="11" s="1"/>
  <c r="O273" i="11"/>
  <c r="R297" i="11" s="1"/>
  <c r="J275" i="11"/>
  <c r="K274" i="11"/>
  <c r="J298" i="11" s="1"/>
  <c r="J221" i="11"/>
  <c r="K220" i="11"/>
  <c r="J246" i="11" s="1"/>
  <c r="P220" i="11"/>
  <c r="O219" i="11"/>
  <c r="R245" i="11" s="1"/>
  <c r="J102" i="11"/>
  <c r="K101" i="11"/>
  <c r="J131" i="11" s="1"/>
  <c r="K161" i="11"/>
  <c r="J189" i="11" s="1"/>
  <c r="J162" i="11"/>
  <c r="P164" i="11"/>
  <c r="P102" i="11"/>
  <c r="K44" i="11"/>
  <c r="J73" i="11" s="1"/>
  <c r="J45" i="11"/>
  <c r="J47" i="11" s="1"/>
  <c r="K47" i="11" s="1"/>
  <c r="J76" i="11" s="1"/>
  <c r="P44" i="11"/>
  <c r="X10" i="8"/>
  <c r="P69" i="8"/>
  <c r="Q22" i="8"/>
  <c r="Q75" i="8" s="1"/>
  <c r="P19" i="7"/>
  <c r="P67" i="7" s="1"/>
  <c r="Q23" i="7"/>
  <c r="Q69" i="7" s="1"/>
  <c r="G8" i="6"/>
  <c r="P28" i="6"/>
  <c r="X27" i="6"/>
  <c r="AA95" i="6" s="1"/>
  <c r="F9" i="6"/>
  <c r="AA9" i="6" s="1"/>
  <c r="X10" i="6"/>
  <c r="P11" i="6"/>
  <c r="P86" i="6" s="1"/>
  <c r="AA6" i="5"/>
  <c r="F7" i="5"/>
  <c r="G6" i="5"/>
  <c r="AD5" i="5"/>
  <c r="O5" i="7"/>
  <c r="O60" i="7" s="1"/>
  <c r="M6" i="7"/>
  <c r="L6" i="7" s="1"/>
  <c r="F10" i="8"/>
  <c r="AA10" i="8" s="1"/>
  <c r="G9" i="8"/>
  <c r="X9" i="7"/>
  <c r="AA62" i="7" s="1"/>
  <c r="P10" i="7"/>
  <c r="F42" i="7"/>
  <c r="L7" i="4"/>
  <c r="M7" i="4" s="1"/>
  <c r="M6" i="6"/>
  <c r="L6" i="6" s="1"/>
  <c r="O5" i="6"/>
  <c r="O83" i="6" s="1"/>
  <c r="X9" i="9"/>
  <c r="AA40" i="9" s="1"/>
  <c r="P10" i="9"/>
  <c r="F12" i="9"/>
  <c r="AA12" i="9" s="1"/>
  <c r="G11" i="9"/>
  <c r="X32" i="6"/>
  <c r="P33" i="6"/>
  <c r="P98" i="6" s="1"/>
  <c r="Q33" i="6"/>
  <c r="Q98" i="6" s="1"/>
  <c r="K6" i="3"/>
  <c r="L6" i="3" s="1"/>
  <c r="K7" i="3"/>
  <c r="L7" i="3" s="1"/>
  <c r="K8" i="3"/>
  <c r="L8" i="3" s="1"/>
  <c r="K9" i="3"/>
  <c r="L9" i="3" s="1"/>
  <c r="K334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33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336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37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339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340" i="3" s="1"/>
  <c r="K52" i="3"/>
  <c r="L52" i="3" s="1"/>
  <c r="K53" i="3"/>
  <c r="L53" i="3" s="1"/>
  <c r="K54" i="3"/>
  <c r="L54" i="3" s="1"/>
  <c r="K55" i="3"/>
  <c r="L55" i="3" s="1"/>
  <c r="K341" i="3" s="1"/>
  <c r="K56" i="3"/>
  <c r="L56" i="3" s="1"/>
  <c r="K57" i="3"/>
  <c r="L57" i="3" s="1"/>
  <c r="K58" i="3"/>
  <c r="L58" i="3" s="1"/>
  <c r="K59" i="3"/>
  <c r="L59" i="3" s="1"/>
  <c r="K60" i="3"/>
  <c r="L60" i="3" s="1"/>
  <c r="K61" i="3"/>
  <c r="L61" i="3" s="1"/>
  <c r="K342" i="3" s="1"/>
  <c r="K62" i="3"/>
  <c r="L62" i="3" s="1"/>
  <c r="K63" i="3"/>
  <c r="L63" i="3" s="1"/>
  <c r="K64" i="3"/>
  <c r="L64" i="3" s="1"/>
  <c r="K65" i="3"/>
  <c r="L65" i="3" s="1"/>
  <c r="K66" i="3"/>
  <c r="L66" i="3" s="1"/>
  <c r="K343" i="3" s="1"/>
  <c r="K67" i="3"/>
  <c r="L67" i="3" s="1"/>
  <c r="K68" i="3"/>
  <c r="L68" i="3" s="1"/>
  <c r="K69" i="3"/>
  <c r="L69" i="3" s="1"/>
  <c r="K70" i="3"/>
  <c r="L70" i="3" s="1"/>
  <c r="K71" i="3"/>
  <c r="L71" i="3" s="1"/>
  <c r="K72" i="3"/>
  <c r="L72" i="3" s="1"/>
  <c r="K344" i="3" s="1"/>
  <c r="K73" i="3"/>
  <c r="L73" i="3" s="1"/>
  <c r="K74" i="3"/>
  <c r="L74" i="3" s="1"/>
  <c r="K75" i="3"/>
  <c r="L75" i="3" s="1"/>
  <c r="K76" i="3"/>
  <c r="L76" i="3" s="1"/>
  <c r="K77" i="3"/>
  <c r="L77" i="3" s="1"/>
  <c r="K78" i="3"/>
  <c r="L78" i="3" s="1"/>
  <c r="K79" i="3"/>
  <c r="L79" i="3" s="1"/>
  <c r="K80" i="3"/>
  <c r="L80" i="3" s="1"/>
  <c r="K81" i="3"/>
  <c r="L81" i="3" s="1"/>
  <c r="K345" i="3" s="1"/>
  <c r="K82" i="3"/>
  <c r="L82" i="3" s="1"/>
  <c r="K83" i="3"/>
  <c r="L83" i="3" s="1"/>
  <c r="K84" i="3"/>
  <c r="L84" i="3" s="1"/>
  <c r="K85" i="3"/>
  <c r="L85" i="3" s="1"/>
  <c r="K86" i="3"/>
  <c r="L86" i="3" s="1"/>
  <c r="K87" i="3"/>
  <c r="L87" i="3" s="1"/>
  <c r="K346" i="3" s="1"/>
  <c r="K88" i="3"/>
  <c r="L88" i="3" s="1"/>
  <c r="K89" i="3"/>
  <c r="L89" i="3" s="1"/>
  <c r="K90" i="3"/>
  <c r="L90" i="3" s="1"/>
  <c r="K91" i="3"/>
  <c r="L91" i="3" s="1"/>
  <c r="K347" i="3" s="1"/>
  <c r="K92" i="3"/>
  <c r="L92" i="3" s="1"/>
  <c r="K93" i="3"/>
  <c r="L93" i="3" s="1"/>
  <c r="K94" i="3"/>
  <c r="L94" i="3" s="1"/>
  <c r="K95" i="3"/>
  <c r="L95" i="3" s="1"/>
  <c r="K96" i="3"/>
  <c r="L96" i="3" s="1"/>
  <c r="K97" i="3"/>
  <c r="L97" i="3" s="1"/>
  <c r="K98" i="3"/>
  <c r="L98" i="3" s="1"/>
  <c r="K99" i="3"/>
  <c r="L99" i="3" s="1"/>
  <c r="K348" i="3" s="1"/>
  <c r="K100" i="3"/>
  <c r="L100" i="3" s="1"/>
  <c r="K101" i="3"/>
  <c r="L101" i="3" s="1"/>
  <c r="K102" i="3"/>
  <c r="L102" i="3" s="1"/>
  <c r="K103" i="3"/>
  <c r="L103" i="3" s="1"/>
  <c r="K104" i="3"/>
  <c r="L104" i="3" s="1"/>
  <c r="K105" i="3"/>
  <c r="L105" i="3" s="1"/>
  <c r="K349" i="3" s="1"/>
  <c r="K106" i="3"/>
  <c r="L106" i="3" s="1"/>
  <c r="K107" i="3"/>
  <c r="L107" i="3" s="1"/>
  <c r="K108" i="3"/>
  <c r="L108" i="3" s="1"/>
  <c r="K109" i="3"/>
  <c r="L109" i="3" s="1"/>
  <c r="K350" i="3" s="1"/>
  <c r="K110" i="3"/>
  <c r="L110" i="3" s="1"/>
  <c r="K111" i="3"/>
  <c r="L111" i="3" s="1"/>
  <c r="K112" i="3"/>
  <c r="L112" i="3" s="1"/>
  <c r="K113" i="3"/>
  <c r="L113" i="3" s="1"/>
  <c r="K114" i="3"/>
  <c r="L114" i="3" s="1"/>
  <c r="K115" i="3"/>
  <c r="L115" i="3" s="1"/>
  <c r="K116" i="3"/>
  <c r="L116" i="3" s="1"/>
  <c r="K351" i="3" s="1"/>
  <c r="K117" i="3"/>
  <c r="L117" i="3" s="1"/>
  <c r="K118" i="3"/>
  <c r="L118" i="3" s="1"/>
  <c r="K119" i="3"/>
  <c r="L119" i="3" s="1"/>
  <c r="K120" i="3"/>
  <c r="L120" i="3" s="1"/>
  <c r="K121" i="3"/>
  <c r="L121" i="3" s="1"/>
  <c r="K122" i="3"/>
  <c r="L122" i="3" s="1"/>
  <c r="K352" i="3" s="1"/>
  <c r="K123" i="3"/>
  <c r="L123" i="3" s="1"/>
  <c r="K124" i="3"/>
  <c r="L124" i="3" s="1"/>
  <c r="K125" i="3"/>
  <c r="L125" i="3" s="1"/>
  <c r="K126" i="3"/>
  <c r="L126" i="3" s="1"/>
  <c r="K353" i="3" s="1"/>
  <c r="K127" i="3"/>
  <c r="L127" i="3" s="1"/>
  <c r="K128" i="3"/>
  <c r="L128" i="3" s="1"/>
  <c r="K129" i="3"/>
  <c r="L129" i="3" s="1"/>
  <c r="K130" i="3"/>
  <c r="L130" i="3" s="1"/>
  <c r="K131" i="3"/>
  <c r="L131" i="3" s="1"/>
  <c r="K132" i="3"/>
  <c r="L132" i="3" s="1"/>
  <c r="K354" i="3" s="1"/>
  <c r="K133" i="3"/>
  <c r="L133" i="3" s="1"/>
  <c r="K134" i="3"/>
  <c r="L134" i="3" s="1"/>
  <c r="K135" i="3"/>
  <c r="L135" i="3" s="1"/>
  <c r="K136" i="3"/>
  <c r="L136" i="3" s="1"/>
  <c r="K137" i="3"/>
  <c r="L137" i="3" s="1"/>
  <c r="K138" i="3"/>
  <c r="L138" i="3" s="1"/>
  <c r="K355" i="3" s="1"/>
  <c r="K139" i="3"/>
  <c r="L139" i="3" s="1"/>
  <c r="K140" i="3"/>
  <c r="L140" i="3" s="1"/>
  <c r="K141" i="3"/>
  <c r="L141" i="3" s="1"/>
  <c r="K142" i="3"/>
  <c r="L142" i="3" s="1"/>
  <c r="K356" i="3" s="1"/>
  <c r="K143" i="3"/>
  <c r="L143" i="3" s="1"/>
  <c r="K144" i="3"/>
  <c r="L144" i="3" s="1"/>
  <c r="K145" i="3"/>
  <c r="L145" i="3" s="1"/>
  <c r="K146" i="3"/>
  <c r="L146" i="3" s="1"/>
  <c r="K147" i="3"/>
  <c r="L147" i="3" s="1"/>
  <c r="K357" i="3" s="1"/>
  <c r="K148" i="3"/>
  <c r="L148" i="3" s="1"/>
  <c r="K149" i="3"/>
  <c r="L149" i="3" s="1"/>
  <c r="K150" i="3"/>
  <c r="L150" i="3" s="1"/>
  <c r="K151" i="3"/>
  <c r="L151" i="3" s="1"/>
  <c r="K358" i="3" s="1"/>
  <c r="K152" i="3"/>
  <c r="L152" i="3" s="1"/>
  <c r="K153" i="3"/>
  <c r="L153" i="3" s="1"/>
  <c r="K154" i="3"/>
  <c r="L154" i="3" s="1"/>
  <c r="K155" i="3"/>
  <c r="L155" i="3" s="1"/>
  <c r="K156" i="3"/>
  <c r="L156" i="3" s="1"/>
  <c r="K157" i="3"/>
  <c r="L157" i="3" s="1"/>
  <c r="K359" i="3" s="1"/>
  <c r="K158" i="3"/>
  <c r="L158" i="3" s="1"/>
  <c r="K159" i="3"/>
  <c r="L159" i="3" s="1"/>
  <c r="K160" i="3"/>
  <c r="L160" i="3" s="1"/>
  <c r="K161" i="3"/>
  <c r="L161" i="3" s="1"/>
  <c r="K162" i="3"/>
  <c r="L162" i="3" s="1"/>
  <c r="K163" i="3"/>
  <c r="L163" i="3" s="1"/>
  <c r="K164" i="3"/>
  <c r="L164" i="3" s="1"/>
  <c r="K360" i="3" s="1"/>
  <c r="K165" i="3"/>
  <c r="L165" i="3" s="1"/>
  <c r="K166" i="3"/>
  <c r="L166" i="3" s="1"/>
  <c r="K167" i="3"/>
  <c r="L167" i="3" s="1"/>
  <c r="K168" i="3"/>
  <c r="L168" i="3" s="1"/>
  <c r="K361" i="3" s="1"/>
  <c r="K169" i="3"/>
  <c r="L169" i="3" s="1"/>
  <c r="K170" i="3"/>
  <c r="L170" i="3" s="1"/>
  <c r="K171" i="3"/>
  <c r="L171" i="3" s="1"/>
  <c r="K172" i="3"/>
  <c r="L172" i="3" s="1"/>
  <c r="K362" i="3" s="1"/>
  <c r="K173" i="3"/>
  <c r="L173" i="3" s="1"/>
  <c r="K174" i="3"/>
  <c r="L174" i="3" s="1"/>
  <c r="K175" i="3"/>
  <c r="L175" i="3" s="1"/>
  <c r="K176" i="3"/>
  <c r="L176" i="3" s="1"/>
  <c r="K363" i="3" s="1"/>
  <c r="K177" i="3"/>
  <c r="L177" i="3" s="1"/>
  <c r="K178" i="3"/>
  <c r="L178" i="3" s="1"/>
  <c r="K179" i="3"/>
  <c r="L179" i="3" s="1"/>
  <c r="K180" i="3"/>
  <c r="L180" i="3" s="1"/>
  <c r="K181" i="3"/>
  <c r="L181" i="3" s="1"/>
  <c r="K364" i="3" s="1"/>
  <c r="K182" i="3"/>
  <c r="L182" i="3" s="1"/>
  <c r="K183" i="3"/>
  <c r="L183" i="3" s="1"/>
  <c r="K184" i="3"/>
  <c r="L184" i="3" s="1"/>
  <c r="K185" i="3"/>
  <c r="L185" i="3" s="1"/>
  <c r="K365" i="3" s="1"/>
  <c r="K186" i="3"/>
  <c r="L186" i="3" s="1"/>
  <c r="K187" i="3"/>
  <c r="L187" i="3" s="1"/>
  <c r="K188" i="3"/>
  <c r="L188" i="3" s="1"/>
  <c r="K189" i="3"/>
  <c r="L189" i="3" s="1"/>
  <c r="K190" i="3"/>
  <c r="L190" i="3" s="1"/>
  <c r="K191" i="3"/>
  <c r="L191" i="3" s="1"/>
  <c r="K366" i="3" s="1"/>
  <c r="K192" i="3"/>
  <c r="L192" i="3" s="1"/>
  <c r="K193" i="3"/>
  <c r="L193" i="3" s="1"/>
  <c r="K194" i="3"/>
  <c r="L194" i="3" s="1"/>
  <c r="K195" i="3"/>
  <c r="L195" i="3" s="1"/>
  <c r="K367" i="3" s="1"/>
  <c r="K196" i="3"/>
  <c r="L196" i="3" s="1"/>
  <c r="K197" i="3"/>
  <c r="L197" i="3" s="1"/>
  <c r="K198" i="3"/>
  <c r="L198" i="3" s="1"/>
  <c r="K199" i="3"/>
  <c r="L199" i="3" s="1"/>
  <c r="K368" i="3" s="1"/>
  <c r="K200" i="3"/>
  <c r="L200" i="3" s="1"/>
  <c r="K201" i="3"/>
  <c r="L201" i="3" s="1"/>
  <c r="K202" i="3"/>
  <c r="L202" i="3" s="1"/>
  <c r="K203" i="3"/>
  <c r="L203" i="3" s="1"/>
  <c r="K369" i="3" s="1"/>
  <c r="K204" i="3"/>
  <c r="L204" i="3" s="1"/>
  <c r="K205" i="3"/>
  <c r="L205" i="3" s="1"/>
  <c r="K206" i="3"/>
  <c r="L206" i="3" s="1"/>
  <c r="K207" i="3"/>
  <c r="L207" i="3" s="1"/>
  <c r="K370" i="3" s="1"/>
  <c r="K208" i="3"/>
  <c r="L208" i="3" s="1"/>
  <c r="K371" i="3" s="1"/>
  <c r="K209" i="3"/>
  <c r="L209" i="3" s="1"/>
  <c r="K210" i="3"/>
  <c r="L210" i="3" s="1"/>
  <c r="K372" i="3" s="1"/>
  <c r="K211" i="3"/>
  <c r="L211" i="3" s="1"/>
  <c r="K212" i="3"/>
  <c r="L212" i="3" s="1"/>
  <c r="K213" i="3"/>
  <c r="L213" i="3" s="1"/>
  <c r="K214" i="3"/>
  <c r="L214" i="3" s="1"/>
  <c r="K373" i="3" s="1"/>
  <c r="K215" i="3"/>
  <c r="L215" i="3" s="1"/>
  <c r="K216" i="3"/>
  <c r="L216" i="3" s="1"/>
  <c r="K217" i="3"/>
  <c r="L217" i="3" s="1"/>
  <c r="K218" i="3"/>
  <c r="L218" i="3" s="1"/>
  <c r="K374" i="3" s="1"/>
  <c r="K219" i="3"/>
  <c r="L219" i="3" s="1"/>
  <c r="K220" i="3"/>
  <c r="L220" i="3" s="1"/>
  <c r="K221" i="3"/>
  <c r="L221" i="3" s="1"/>
  <c r="K222" i="3"/>
  <c r="L222" i="3" s="1"/>
  <c r="K375" i="3" s="1"/>
  <c r="K223" i="3"/>
  <c r="L223" i="3" s="1"/>
  <c r="K376" i="3" s="1"/>
  <c r="K224" i="3"/>
  <c r="L224" i="3" s="1"/>
  <c r="K377" i="3" s="1"/>
  <c r="K225" i="3"/>
  <c r="L225" i="3" s="1"/>
  <c r="K226" i="3"/>
  <c r="L226" i="3" s="1"/>
  <c r="K378" i="3" s="1"/>
  <c r="K227" i="3"/>
  <c r="L227" i="3" s="1"/>
  <c r="K228" i="3"/>
  <c r="L228" i="3" s="1"/>
  <c r="K229" i="3"/>
  <c r="L229" i="3" s="1"/>
  <c r="K230" i="3"/>
  <c r="L230" i="3" s="1"/>
  <c r="K379" i="3" s="1"/>
  <c r="K231" i="3"/>
  <c r="L231" i="3" s="1"/>
  <c r="K232" i="3"/>
  <c r="L232" i="3" s="1"/>
  <c r="K233" i="3"/>
  <c r="L233" i="3" s="1"/>
  <c r="K234" i="3"/>
  <c r="L234" i="3" s="1"/>
  <c r="K380" i="3" s="1"/>
  <c r="K235" i="3"/>
  <c r="L235" i="3" s="1"/>
  <c r="K236" i="3"/>
  <c r="L236" i="3" s="1"/>
  <c r="K237" i="3"/>
  <c r="L237" i="3" s="1"/>
  <c r="K238" i="3"/>
  <c r="L238" i="3" s="1"/>
  <c r="K381" i="3" s="1"/>
  <c r="K239" i="3"/>
  <c r="L239" i="3" s="1"/>
  <c r="K240" i="3"/>
  <c r="L240" i="3" s="1"/>
  <c r="K241" i="3"/>
  <c r="L241" i="3" s="1"/>
  <c r="K242" i="3"/>
  <c r="L242" i="3" s="1"/>
  <c r="K382" i="3" s="1"/>
  <c r="K243" i="3"/>
  <c r="L243" i="3" s="1"/>
  <c r="K244" i="3"/>
  <c r="L244" i="3" s="1"/>
  <c r="K245" i="3"/>
  <c r="L245" i="3" s="1"/>
  <c r="K246" i="3"/>
  <c r="L246" i="3" s="1"/>
  <c r="K383" i="3" s="1"/>
  <c r="K247" i="3"/>
  <c r="L247" i="3" s="1"/>
  <c r="K248" i="3"/>
  <c r="L248" i="3" s="1"/>
  <c r="K249" i="3"/>
  <c r="L249" i="3" s="1"/>
  <c r="K250" i="3"/>
  <c r="L250" i="3" s="1"/>
  <c r="K384" i="3" s="1"/>
  <c r="K251" i="3"/>
  <c r="L251" i="3" s="1"/>
  <c r="K252" i="3"/>
  <c r="L252" i="3" s="1"/>
  <c r="K253" i="3"/>
  <c r="L253" i="3" s="1"/>
  <c r="K254" i="3"/>
  <c r="L254" i="3" s="1"/>
  <c r="K385" i="3" s="1"/>
  <c r="K255" i="3"/>
  <c r="L255" i="3" s="1"/>
  <c r="K256" i="3"/>
  <c r="L256" i="3" s="1"/>
  <c r="K257" i="3"/>
  <c r="L257" i="3" s="1"/>
  <c r="K258" i="3"/>
  <c r="L258" i="3" s="1"/>
  <c r="K386" i="3" s="1"/>
  <c r="K259" i="3"/>
  <c r="L259" i="3" s="1"/>
  <c r="K260" i="3"/>
  <c r="L260" i="3" s="1"/>
  <c r="K261" i="3"/>
  <c r="L261" i="3" s="1"/>
  <c r="K262" i="3"/>
  <c r="L262" i="3" s="1"/>
  <c r="K387" i="3" s="1"/>
  <c r="K263" i="3"/>
  <c r="L263" i="3" s="1"/>
  <c r="K264" i="3"/>
  <c r="L264" i="3" s="1"/>
  <c r="K265" i="3"/>
  <c r="L265" i="3" s="1"/>
  <c r="K266" i="3"/>
  <c r="L266" i="3" s="1"/>
  <c r="K388" i="3" s="1"/>
  <c r="K267" i="3"/>
  <c r="L267" i="3" s="1"/>
  <c r="K268" i="3"/>
  <c r="L268" i="3" s="1"/>
  <c r="K269" i="3"/>
  <c r="L269" i="3" s="1"/>
  <c r="K270" i="3"/>
  <c r="L270" i="3" s="1"/>
  <c r="K389" i="3" s="1"/>
  <c r="K271" i="3"/>
  <c r="L271" i="3" s="1"/>
  <c r="K272" i="3"/>
  <c r="L272" i="3" s="1"/>
  <c r="K273" i="3"/>
  <c r="L273" i="3" s="1"/>
  <c r="K274" i="3"/>
  <c r="L274" i="3" s="1"/>
  <c r="K390" i="3" s="1"/>
  <c r="K275" i="3"/>
  <c r="L275" i="3" s="1"/>
  <c r="K276" i="3"/>
  <c r="L276" i="3" s="1"/>
  <c r="K277" i="3"/>
  <c r="L277" i="3" s="1"/>
  <c r="K278" i="3"/>
  <c r="L278" i="3" s="1"/>
  <c r="K391" i="3" s="1"/>
  <c r="K279" i="3"/>
  <c r="L279" i="3" s="1"/>
  <c r="K280" i="3"/>
  <c r="L280" i="3" s="1"/>
  <c r="K281" i="3"/>
  <c r="L281" i="3" s="1"/>
  <c r="K282" i="3"/>
  <c r="L282" i="3" s="1"/>
  <c r="K392" i="3" s="1"/>
  <c r="K283" i="3"/>
  <c r="L283" i="3" s="1"/>
  <c r="K284" i="3"/>
  <c r="L284" i="3" s="1"/>
  <c r="K285" i="3"/>
  <c r="L285" i="3" s="1"/>
  <c r="K286" i="3"/>
  <c r="L286" i="3" s="1"/>
  <c r="K393" i="3" s="1"/>
  <c r="K287" i="3"/>
  <c r="L287" i="3" s="1"/>
  <c r="K288" i="3"/>
  <c r="L288" i="3" s="1"/>
  <c r="K289" i="3"/>
  <c r="L289" i="3" s="1"/>
  <c r="K290" i="3"/>
  <c r="L290" i="3" s="1"/>
  <c r="K394" i="3" s="1"/>
  <c r="K291" i="3"/>
  <c r="L291" i="3" s="1"/>
  <c r="K292" i="3"/>
  <c r="L292" i="3" s="1"/>
  <c r="K293" i="3"/>
  <c r="L293" i="3" s="1"/>
  <c r="K294" i="3"/>
  <c r="L294" i="3" s="1"/>
  <c r="K395" i="3" s="1"/>
  <c r="K295" i="3"/>
  <c r="L295" i="3" s="1"/>
  <c r="K296" i="3"/>
  <c r="L296" i="3" s="1"/>
  <c r="K297" i="3"/>
  <c r="L297" i="3" s="1"/>
  <c r="K396" i="3" s="1"/>
  <c r="K298" i="3"/>
  <c r="L298" i="3" s="1"/>
  <c r="K397" i="3" s="1"/>
  <c r="K299" i="3"/>
  <c r="L299" i="3" s="1"/>
  <c r="K300" i="3"/>
  <c r="L300" i="3" s="1"/>
  <c r="K301" i="3"/>
  <c r="L301" i="3" s="1"/>
  <c r="K302" i="3"/>
  <c r="L302" i="3" s="1"/>
  <c r="K398" i="3" s="1"/>
  <c r="K303" i="3"/>
  <c r="L303" i="3" s="1"/>
  <c r="K304" i="3"/>
  <c r="L304" i="3" s="1"/>
  <c r="K305" i="3"/>
  <c r="L305" i="3" s="1"/>
  <c r="K306" i="3"/>
  <c r="L306" i="3" s="1"/>
  <c r="K399" i="3" s="1"/>
  <c r="K307" i="3"/>
  <c r="L307" i="3" s="1"/>
  <c r="K308" i="3"/>
  <c r="L308" i="3" s="1"/>
  <c r="K309" i="3"/>
  <c r="L309" i="3" s="1"/>
  <c r="K310" i="3"/>
  <c r="L310" i="3" s="1"/>
  <c r="K400" i="3" s="1"/>
  <c r="K311" i="3"/>
  <c r="L311" i="3" s="1"/>
  <c r="K312" i="3"/>
  <c r="L312" i="3" s="1"/>
  <c r="K313" i="3"/>
  <c r="L313" i="3" s="1"/>
  <c r="K314" i="3"/>
  <c r="L314" i="3" s="1"/>
  <c r="K401" i="3" s="1"/>
  <c r="K315" i="3"/>
  <c r="L315" i="3" s="1"/>
  <c r="K316" i="3"/>
  <c r="L316" i="3" s="1"/>
  <c r="K317" i="3"/>
  <c r="L317" i="3" s="1"/>
  <c r="K318" i="3"/>
  <c r="L318" i="3" s="1"/>
  <c r="K402" i="3" s="1"/>
  <c r="K319" i="3"/>
  <c r="L319" i="3" s="1"/>
  <c r="K320" i="3"/>
  <c r="L320" i="3" s="1"/>
  <c r="K321" i="3"/>
  <c r="L321" i="3" s="1"/>
  <c r="K322" i="3"/>
  <c r="L322" i="3" s="1"/>
  <c r="K403" i="3" s="1"/>
  <c r="K323" i="3"/>
  <c r="L323" i="3" s="1"/>
  <c r="K324" i="3"/>
  <c r="L324" i="3" s="1"/>
  <c r="K325" i="3"/>
  <c r="L325" i="3" s="1"/>
  <c r="K326" i="3"/>
  <c r="L326" i="3" s="1"/>
  <c r="K404" i="3" s="1"/>
  <c r="K327" i="3"/>
  <c r="L327" i="3" s="1"/>
  <c r="K5" i="3"/>
  <c r="L5" i="3" s="1"/>
  <c r="K333" i="3" s="1"/>
  <c r="D5" i="3"/>
  <c r="D6" i="3"/>
  <c r="D7" i="3"/>
  <c r="D8" i="3"/>
  <c r="D9" i="3"/>
  <c r="D334" i="3" s="1"/>
  <c r="D10" i="3"/>
  <c r="D11" i="3"/>
  <c r="D12" i="3"/>
  <c r="D13" i="3"/>
  <c r="D14" i="3"/>
  <c r="D15" i="3"/>
  <c r="D335" i="3" s="1"/>
  <c r="D16" i="3"/>
  <c r="D17" i="3"/>
  <c r="D18" i="3"/>
  <c r="D19" i="3"/>
  <c r="D20" i="3"/>
  <c r="D21" i="3"/>
  <c r="D22" i="3"/>
  <c r="D23" i="3"/>
  <c r="D336" i="3" s="1"/>
  <c r="D24" i="3"/>
  <c r="D25" i="3"/>
  <c r="D26" i="3"/>
  <c r="D27" i="3"/>
  <c r="D28" i="3"/>
  <c r="D29" i="3"/>
  <c r="D30" i="3"/>
  <c r="D31" i="3"/>
  <c r="D337" i="3" s="1"/>
  <c r="D32" i="3"/>
  <c r="D33" i="3"/>
  <c r="D34" i="3"/>
  <c r="D35" i="3"/>
  <c r="D36" i="3"/>
  <c r="D37" i="3"/>
  <c r="D38" i="3"/>
  <c r="D338" i="3" s="1"/>
  <c r="D39" i="3"/>
  <c r="D40" i="3"/>
  <c r="D41" i="3"/>
  <c r="D42" i="3"/>
  <c r="D43" i="3"/>
  <c r="D44" i="3"/>
  <c r="D339" i="3" s="1"/>
  <c r="D45" i="3"/>
  <c r="D46" i="3"/>
  <c r="D47" i="3"/>
  <c r="D48" i="3"/>
  <c r="D49" i="3"/>
  <c r="D50" i="3"/>
  <c r="D51" i="3"/>
  <c r="D340" i="3" s="1"/>
  <c r="D52" i="3"/>
  <c r="D53" i="3"/>
  <c r="D54" i="3"/>
  <c r="D55" i="3"/>
  <c r="D341" i="3" s="1"/>
  <c r="D56" i="3"/>
  <c r="D57" i="3"/>
  <c r="D58" i="3"/>
  <c r="D59" i="3"/>
  <c r="D60" i="3"/>
  <c r="D61" i="3"/>
  <c r="D342" i="3" s="1"/>
  <c r="D62" i="3"/>
  <c r="D63" i="3"/>
  <c r="D64" i="3"/>
  <c r="D65" i="3"/>
  <c r="D66" i="3"/>
  <c r="D343" i="3" s="1"/>
  <c r="D67" i="3"/>
  <c r="D68" i="3"/>
  <c r="D69" i="3"/>
  <c r="D70" i="3"/>
  <c r="D71" i="3"/>
  <c r="D72" i="3"/>
  <c r="D344" i="3" s="1"/>
  <c r="D73" i="3"/>
  <c r="D74" i="3"/>
  <c r="D75" i="3"/>
  <c r="D76" i="3"/>
  <c r="D77" i="3"/>
  <c r="D78" i="3"/>
  <c r="D79" i="3"/>
  <c r="D80" i="3"/>
  <c r="D81" i="3"/>
  <c r="D345" i="3" s="1"/>
  <c r="D82" i="3"/>
  <c r="D83" i="3"/>
  <c r="D84" i="3"/>
  <c r="D85" i="3"/>
  <c r="D86" i="3"/>
  <c r="D87" i="3"/>
  <c r="D346" i="3" s="1"/>
  <c r="D88" i="3"/>
  <c r="D89" i="3"/>
  <c r="D90" i="3"/>
  <c r="D91" i="3"/>
  <c r="D347" i="3" s="1"/>
  <c r="D92" i="3"/>
  <c r="D93" i="3"/>
  <c r="D94" i="3"/>
  <c r="D95" i="3"/>
  <c r="D96" i="3"/>
  <c r="D97" i="3"/>
  <c r="D98" i="3"/>
  <c r="D99" i="3"/>
  <c r="D348" i="3" s="1"/>
  <c r="D100" i="3"/>
  <c r="D101" i="3"/>
  <c r="D102" i="3"/>
  <c r="D103" i="3"/>
  <c r="D104" i="3"/>
  <c r="D105" i="3"/>
  <c r="D349" i="3" s="1"/>
  <c r="D106" i="3"/>
  <c r="D107" i="3"/>
  <c r="D108" i="3"/>
  <c r="D109" i="3"/>
  <c r="D350" i="3" s="1"/>
  <c r="D110" i="3"/>
  <c r="D111" i="3"/>
  <c r="D112" i="3"/>
  <c r="D113" i="3"/>
  <c r="D114" i="3"/>
  <c r="D115" i="3"/>
  <c r="D116" i="3"/>
  <c r="D351" i="3" s="1"/>
  <c r="D117" i="3"/>
  <c r="D118" i="3"/>
  <c r="D119" i="3"/>
  <c r="D120" i="3"/>
  <c r="D121" i="3"/>
  <c r="D122" i="3"/>
  <c r="D352" i="3" s="1"/>
  <c r="D123" i="3"/>
  <c r="D124" i="3"/>
  <c r="D125" i="3"/>
  <c r="D126" i="3"/>
  <c r="D353" i="3" s="1"/>
  <c r="D127" i="3"/>
  <c r="D128" i="3"/>
  <c r="D129" i="3"/>
  <c r="D130" i="3"/>
  <c r="D131" i="3"/>
  <c r="D132" i="3"/>
  <c r="D354" i="3" s="1"/>
  <c r="D133" i="3"/>
  <c r="D134" i="3"/>
  <c r="D135" i="3"/>
  <c r="D136" i="3"/>
  <c r="D137" i="3"/>
  <c r="D138" i="3"/>
  <c r="D355" i="3" s="1"/>
  <c r="D139" i="3"/>
  <c r="D140" i="3"/>
  <c r="D141" i="3"/>
  <c r="D142" i="3"/>
  <c r="D356" i="3" s="1"/>
  <c r="D143" i="3"/>
  <c r="D144" i="3"/>
  <c r="D145" i="3"/>
  <c r="D146" i="3"/>
  <c r="D147" i="3"/>
  <c r="D357" i="3" s="1"/>
  <c r="D148" i="3"/>
  <c r="D149" i="3"/>
  <c r="D150" i="3"/>
  <c r="D151" i="3"/>
  <c r="D358" i="3" s="1"/>
  <c r="D152" i="3"/>
  <c r="D153" i="3"/>
  <c r="D154" i="3"/>
  <c r="D155" i="3"/>
  <c r="D156" i="3"/>
  <c r="D157" i="3"/>
  <c r="D359" i="3" s="1"/>
  <c r="D158" i="3"/>
  <c r="D159" i="3"/>
  <c r="D160" i="3"/>
  <c r="D161" i="3"/>
  <c r="D162" i="3"/>
  <c r="D163" i="3"/>
  <c r="D164" i="3"/>
  <c r="D360" i="3" s="1"/>
  <c r="D165" i="3"/>
  <c r="D166" i="3"/>
  <c r="D167" i="3"/>
  <c r="D168" i="3"/>
  <c r="D361" i="3" s="1"/>
  <c r="D169" i="3"/>
  <c r="D170" i="3"/>
  <c r="D171" i="3"/>
  <c r="D172" i="3"/>
  <c r="D362" i="3" s="1"/>
  <c r="D173" i="3"/>
  <c r="D174" i="3"/>
  <c r="D175" i="3"/>
  <c r="D176" i="3"/>
  <c r="D363" i="3" s="1"/>
  <c r="D177" i="3"/>
  <c r="D178" i="3"/>
  <c r="D179" i="3"/>
  <c r="D180" i="3"/>
  <c r="D181" i="3"/>
  <c r="D364" i="3" s="1"/>
  <c r="D182" i="3"/>
  <c r="D183" i="3"/>
  <c r="D184" i="3"/>
  <c r="D185" i="3"/>
  <c r="D365" i="3" s="1"/>
  <c r="D186" i="3"/>
  <c r="D187" i="3"/>
  <c r="D188" i="3"/>
  <c r="D189" i="3"/>
  <c r="D190" i="3"/>
  <c r="D191" i="3"/>
  <c r="D366" i="3" s="1"/>
  <c r="D192" i="3"/>
  <c r="D193" i="3"/>
  <c r="D194" i="3"/>
  <c r="D195" i="3"/>
  <c r="D367" i="3" s="1"/>
  <c r="D196" i="3"/>
  <c r="D197" i="3"/>
  <c r="D198" i="3"/>
  <c r="D199" i="3"/>
  <c r="D368" i="3" s="1"/>
  <c r="D200" i="3"/>
  <c r="D201" i="3"/>
  <c r="D202" i="3"/>
  <c r="D203" i="3"/>
  <c r="D369" i="3" s="1"/>
  <c r="D204" i="3"/>
  <c r="D205" i="3"/>
  <c r="D206" i="3"/>
  <c r="D207" i="3"/>
  <c r="D370" i="3" s="1"/>
  <c r="D208" i="3"/>
  <c r="D209" i="3"/>
  <c r="D210" i="3"/>
  <c r="D372" i="3" s="1"/>
  <c r="D211" i="3"/>
  <c r="D212" i="3"/>
  <c r="D213" i="3"/>
  <c r="D214" i="3"/>
  <c r="D373" i="3" s="1"/>
  <c r="D215" i="3"/>
  <c r="D216" i="3"/>
  <c r="D217" i="3"/>
  <c r="D218" i="3"/>
  <c r="D374" i="3" s="1"/>
  <c r="D219" i="3"/>
  <c r="D220" i="3"/>
  <c r="D221" i="3"/>
  <c r="D222" i="3"/>
  <c r="D375" i="3" s="1"/>
  <c r="D223" i="3"/>
  <c r="D376" i="3" s="1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396" i="3" s="1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4" i="3"/>
  <c r="C31" i="3"/>
  <c r="C337" i="3" s="1"/>
  <c r="C32" i="3"/>
  <c r="C33" i="3"/>
  <c r="C34" i="3"/>
  <c r="C35" i="3"/>
  <c r="C36" i="3"/>
  <c r="C37" i="3"/>
  <c r="C38" i="3"/>
  <c r="C338" i="3" s="1"/>
  <c r="C39" i="3"/>
  <c r="C40" i="3"/>
  <c r="C41" i="3"/>
  <c r="C42" i="3"/>
  <c r="C43" i="3"/>
  <c r="C44" i="3"/>
  <c r="C339" i="3" s="1"/>
  <c r="C45" i="3"/>
  <c r="C46" i="3"/>
  <c r="C47" i="3"/>
  <c r="C48" i="3"/>
  <c r="C49" i="3"/>
  <c r="C50" i="3"/>
  <c r="C51" i="3"/>
  <c r="C340" i="3" s="1"/>
  <c r="C52" i="3"/>
  <c r="C53" i="3"/>
  <c r="C54" i="3"/>
  <c r="C55" i="3"/>
  <c r="C341" i="3" s="1"/>
  <c r="C56" i="3"/>
  <c r="C57" i="3"/>
  <c r="C58" i="3"/>
  <c r="C59" i="3"/>
  <c r="C60" i="3"/>
  <c r="C61" i="3"/>
  <c r="C342" i="3" s="1"/>
  <c r="C62" i="3"/>
  <c r="C63" i="3"/>
  <c r="C64" i="3"/>
  <c r="C65" i="3"/>
  <c r="C66" i="3"/>
  <c r="C343" i="3" s="1"/>
  <c r="C67" i="3"/>
  <c r="C68" i="3"/>
  <c r="C69" i="3"/>
  <c r="C70" i="3"/>
  <c r="C71" i="3"/>
  <c r="C72" i="3"/>
  <c r="C344" i="3" s="1"/>
  <c r="C73" i="3"/>
  <c r="C74" i="3"/>
  <c r="C75" i="3"/>
  <c r="C76" i="3"/>
  <c r="C77" i="3"/>
  <c r="C78" i="3"/>
  <c r="C79" i="3"/>
  <c r="C80" i="3"/>
  <c r="C81" i="3"/>
  <c r="C345" i="3" s="1"/>
  <c r="C82" i="3"/>
  <c r="C83" i="3"/>
  <c r="C84" i="3"/>
  <c r="C85" i="3"/>
  <c r="C86" i="3"/>
  <c r="C87" i="3"/>
  <c r="C346" i="3" s="1"/>
  <c r="C88" i="3"/>
  <c r="C89" i="3"/>
  <c r="C90" i="3"/>
  <c r="C91" i="3"/>
  <c r="C347" i="3" s="1"/>
  <c r="C92" i="3"/>
  <c r="C93" i="3"/>
  <c r="C94" i="3"/>
  <c r="C95" i="3"/>
  <c r="C96" i="3"/>
  <c r="C97" i="3"/>
  <c r="C98" i="3"/>
  <c r="C99" i="3"/>
  <c r="C348" i="3" s="1"/>
  <c r="C100" i="3"/>
  <c r="C101" i="3"/>
  <c r="C102" i="3"/>
  <c r="C103" i="3"/>
  <c r="C104" i="3"/>
  <c r="C105" i="3"/>
  <c r="C349" i="3" s="1"/>
  <c r="C106" i="3"/>
  <c r="C107" i="3"/>
  <c r="C108" i="3"/>
  <c r="C109" i="3"/>
  <c r="C350" i="3" s="1"/>
  <c r="C110" i="3"/>
  <c r="C111" i="3"/>
  <c r="C112" i="3"/>
  <c r="C113" i="3"/>
  <c r="C114" i="3"/>
  <c r="C115" i="3"/>
  <c r="C116" i="3"/>
  <c r="C351" i="3" s="1"/>
  <c r="C117" i="3"/>
  <c r="C118" i="3"/>
  <c r="C119" i="3"/>
  <c r="C120" i="3"/>
  <c r="C121" i="3"/>
  <c r="C122" i="3"/>
  <c r="C352" i="3" s="1"/>
  <c r="C123" i="3"/>
  <c r="C124" i="3"/>
  <c r="C125" i="3"/>
  <c r="C126" i="3"/>
  <c r="C353" i="3" s="1"/>
  <c r="C127" i="3"/>
  <c r="C128" i="3"/>
  <c r="C129" i="3"/>
  <c r="C130" i="3"/>
  <c r="C131" i="3"/>
  <c r="C132" i="3"/>
  <c r="C354" i="3" s="1"/>
  <c r="C133" i="3"/>
  <c r="C134" i="3"/>
  <c r="C135" i="3"/>
  <c r="C136" i="3"/>
  <c r="C137" i="3"/>
  <c r="C138" i="3"/>
  <c r="C355" i="3" s="1"/>
  <c r="C139" i="3"/>
  <c r="C140" i="3"/>
  <c r="C141" i="3"/>
  <c r="C142" i="3"/>
  <c r="C356" i="3" s="1"/>
  <c r="C143" i="3"/>
  <c r="C144" i="3"/>
  <c r="C145" i="3"/>
  <c r="C146" i="3"/>
  <c r="C147" i="3"/>
  <c r="C357" i="3" s="1"/>
  <c r="C148" i="3"/>
  <c r="C149" i="3"/>
  <c r="C150" i="3"/>
  <c r="C151" i="3"/>
  <c r="C358" i="3" s="1"/>
  <c r="C152" i="3"/>
  <c r="C153" i="3"/>
  <c r="C154" i="3"/>
  <c r="C155" i="3"/>
  <c r="C156" i="3"/>
  <c r="C157" i="3"/>
  <c r="C359" i="3" s="1"/>
  <c r="C158" i="3"/>
  <c r="C159" i="3"/>
  <c r="C160" i="3"/>
  <c r="C161" i="3"/>
  <c r="C162" i="3"/>
  <c r="C163" i="3"/>
  <c r="C164" i="3"/>
  <c r="C360" i="3" s="1"/>
  <c r="C165" i="3"/>
  <c r="C166" i="3"/>
  <c r="C167" i="3"/>
  <c r="C168" i="3"/>
  <c r="C361" i="3" s="1"/>
  <c r="C169" i="3"/>
  <c r="C170" i="3"/>
  <c r="C171" i="3"/>
  <c r="C172" i="3"/>
  <c r="C362" i="3" s="1"/>
  <c r="C173" i="3"/>
  <c r="C174" i="3"/>
  <c r="C175" i="3"/>
  <c r="C176" i="3"/>
  <c r="C363" i="3" s="1"/>
  <c r="C177" i="3"/>
  <c r="B23" i="14" s="1"/>
  <c r="C178" i="3"/>
  <c r="C179" i="3"/>
  <c r="C180" i="3"/>
  <c r="C181" i="3"/>
  <c r="C364" i="3" s="1"/>
  <c r="C182" i="3"/>
  <c r="C183" i="3"/>
  <c r="C184" i="3"/>
  <c r="C185" i="3"/>
  <c r="C365" i="3" s="1"/>
  <c r="C186" i="3"/>
  <c r="B24" i="14" s="1"/>
  <c r="C187" i="3"/>
  <c r="C188" i="3"/>
  <c r="C189" i="3"/>
  <c r="C190" i="3"/>
  <c r="C191" i="3"/>
  <c r="C192" i="3"/>
  <c r="C193" i="3"/>
  <c r="C194" i="3"/>
  <c r="C195" i="3"/>
  <c r="C367" i="3" s="1"/>
  <c r="C196" i="3"/>
  <c r="C197" i="3"/>
  <c r="C198" i="3"/>
  <c r="C199" i="3"/>
  <c r="C368" i="3" s="1"/>
  <c r="C200" i="3"/>
  <c r="C201" i="3"/>
  <c r="C202" i="3"/>
  <c r="C203" i="3"/>
  <c r="C369" i="3" s="1"/>
  <c r="C204" i="3"/>
  <c r="C205" i="3"/>
  <c r="C206" i="3"/>
  <c r="C207" i="3"/>
  <c r="C370" i="3" s="1"/>
  <c r="C208" i="3"/>
  <c r="C209" i="3"/>
  <c r="C210" i="3"/>
  <c r="C372" i="3" s="1"/>
  <c r="C211" i="3"/>
  <c r="C212" i="3"/>
  <c r="C213" i="3"/>
  <c r="C214" i="3"/>
  <c r="C373" i="3" s="1"/>
  <c r="C215" i="3"/>
  <c r="C216" i="3"/>
  <c r="C217" i="3"/>
  <c r="C218" i="3"/>
  <c r="C374" i="3" s="1"/>
  <c r="C219" i="3"/>
  <c r="C220" i="3"/>
  <c r="C221" i="3"/>
  <c r="C222" i="3"/>
  <c r="C375" i="3" s="1"/>
  <c r="C223" i="3"/>
  <c r="C376" i="3" s="1"/>
  <c r="C224" i="3"/>
  <c r="C225" i="3"/>
  <c r="C226" i="3"/>
  <c r="C227" i="3"/>
  <c r="C228" i="3"/>
  <c r="D36" i="4" s="1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D37" i="4" s="1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396" i="3" s="1"/>
  <c r="C298" i="3"/>
  <c r="C299" i="3"/>
  <c r="D38" i="4" s="1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7" i="3"/>
  <c r="C8" i="3"/>
  <c r="C9" i="3"/>
  <c r="C334" i="3" s="1"/>
  <c r="C10" i="3"/>
  <c r="C11" i="3"/>
  <c r="C12" i="3"/>
  <c r="C13" i="3"/>
  <c r="C14" i="3"/>
  <c r="C15" i="3"/>
  <c r="C335" i="3" s="1"/>
  <c r="C16" i="3"/>
  <c r="C17" i="3"/>
  <c r="C18" i="3"/>
  <c r="C19" i="3"/>
  <c r="C20" i="3"/>
  <c r="C21" i="3"/>
  <c r="C22" i="3"/>
  <c r="C23" i="3"/>
  <c r="C336" i="3" s="1"/>
  <c r="C24" i="3"/>
  <c r="C25" i="3"/>
  <c r="C26" i="3"/>
  <c r="C27" i="3"/>
  <c r="C28" i="3"/>
  <c r="C29" i="3"/>
  <c r="C30" i="3"/>
  <c r="C6" i="3"/>
  <c r="C5" i="3"/>
  <c r="C4" i="3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287" i="1"/>
  <c r="E235" i="1"/>
  <c r="F27" i="2"/>
  <c r="F34" i="2"/>
  <c r="F35" i="2" s="1"/>
  <c r="E34" i="2"/>
  <c r="F208" i="1"/>
  <c r="N209" i="1"/>
  <c r="K17" i="2"/>
  <c r="L15" i="2"/>
  <c r="L14" i="2" s="1"/>
  <c r="L13" i="2" s="1"/>
  <c r="K15" i="2"/>
  <c r="E190" i="1"/>
  <c r="E181" i="1"/>
  <c r="G527" i="3" s="1"/>
  <c r="E162" i="1"/>
  <c r="E156" i="1"/>
  <c r="E146" i="1"/>
  <c r="E139" i="1"/>
  <c r="E138" i="1"/>
  <c r="F138" i="1"/>
  <c r="E131" i="1"/>
  <c r="E122" i="1"/>
  <c r="E113" i="1"/>
  <c r="E106" i="1"/>
  <c r="E97" i="1"/>
  <c r="F90" i="1"/>
  <c r="F91" i="1"/>
  <c r="F92" i="1"/>
  <c r="I8" i="1"/>
  <c r="D52" i="1"/>
  <c r="E72" i="1"/>
  <c r="E88" i="1"/>
  <c r="E81" i="1"/>
  <c r="F81" i="1"/>
  <c r="F72" i="1"/>
  <c r="E65" i="1"/>
  <c r="F65" i="1"/>
  <c r="F60" i="1"/>
  <c r="E60" i="1"/>
  <c r="N48" i="1"/>
  <c r="N43" i="1"/>
  <c r="M43" i="1"/>
  <c r="E46" i="1"/>
  <c r="N37" i="1"/>
  <c r="E37" i="1"/>
  <c r="N26" i="1"/>
  <c r="F20" i="1"/>
  <c r="D17" i="1"/>
  <c r="D21" i="1" s="1"/>
  <c r="D18" i="1"/>
  <c r="E18" i="1" s="1"/>
  <c r="N14" i="1"/>
  <c r="F14" i="1"/>
  <c r="F15" i="1"/>
  <c r="F16" i="1"/>
  <c r="F17" i="1"/>
  <c r="C19" i="2"/>
  <c r="C20" i="2" s="1"/>
  <c r="N7" i="4" l="1"/>
  <c r="F39" i="4"/>
  <c r="M4" i="9"/>
  <c r="L4" i="9" s="1"/>
  <c r="N163" i="11"/>
  <c r="L190" i="11"/>
  <c r="P190" i="11" s="1"/>
  <c r="G163" i="11"/>
  <c r="G190" i="11"/>
  <c r="O162" i="11"/>
  <c r="R190" i="11" s="1"/>
  <c r="S366" i="3"/>
  <c r="L163" i="11"/>
  <c r="K190" i="11"/>
  <c r="L221" i="11"/>
  <c r="K246" i="11"/>
  <c r="C366" i="3"/>
  <c r="D35" i="4"/>
  <c r="C412" i="3"/>
  <c r="Y334" i="3"/>
  <c r="L4" i="8"/>
  <c r="M5" i="8"/>
  <c r="C405" i="3"/>
  <c r="B2" i="15" s="1"/>
  <c r="B17" i="15" s="1"/>
  <c r="Z334" i="3"/>
  <c r="D39" i="4"/>
  <c r="P274" i="11"/>
  <c r="X273" i="11"/>
  <c r="S297" i="11"/>
  <c r="M163" i="11"/>
  <c r="M190" i="11"/>
  <c r="Q190" i="11" s="1"/>
  <c r="S354" i="3"/>
  <c r="G5" i="3"/>
  <c r="G333" i="3" s="1"/>
  <c r="O333" i="3" s="1"/>
  <c r="H370" i="11"/>
  <c r="H401" i="11"/>
  <c r="T369" i="11"/>
  <c r="Y369" i="11" s="1"/>
  <c r="G370" i="11"/>
  <c r="G401" i="11"/>
  <c r="H323" i="11"/>
  <c r="H345" i="11"/>
  <c r="T322" i="11"/>
  <c r="Y322" i="11" s="1"/>
  <c r="G323" i="11"/>
  <c r="G345" i="11"/>
  <c r="H274" i="11"/>
  <c r="H297" i="11"/>
  <c r="T273" i="11"/>
  <c r="Y273" i="11" s="1"/>
  <c r="N221" i="11"/>
  <c r="L247" i="11" s="1"/>
  <c r="P246" i="11"/>
  <c r="M221" i="11"/>
  <c r="M247" i="11" s="1"/>
  <c r="Q246" i="11"/>
  <c r="H221" i="11"/>
  <c r="H246" i="11"/>
  <c r="T220" i="11"/>
  <c r="Y220" i="11" s="1"/>
  <c r="G221" i="11"/>
  <c r="G246" i="11"/>
  <c r="H163" i="11"/>
  <c r="H190" i="11"/>
  <c r="T162" i="11"/>
  <c r="Y162" i="11" s="1"/>
  <c r="N5" i="6"/>
  <c r="N83" i="6" s="1"/>
  <c r="L370" i="11"/>
  <c r="K401" i="11"/>
  <c r="X370" i="11"/>
  <c r="S402" i="11"/>
  <c r="M371" i="11"/>
  <c r="M402" i="11"/>
  <c r="Q402" i="11" s="1"/>
  <c r="N371" i="11"/>
  <c r="L402" i="11"/>
  <c r="P402" i="11" s="1"/>
  <c r="N323" i="11"/>
  <c r="L345" i="11"/>
  <c r="P345" i="11" s="1"/>
  <c r="X323" i="11"/>
  <c r="S346" i="11"/>
  <c r="M323" i="11"/>
  <c r="M345" i="11"/>
  <c r="Q345" i="11" s="1"/>
  <c r="L323" i="11"/>
  <c r="K345" i="11"/>
  <c r="M274" i="11"/>
  <c r="M297" i="11"/>
  <c r="Q297" i="11" s="1"/>
  <c r="L274" i="11"/>
  <c r="K297" i="11"/>
  <c r="N274" i="11"/>
  <c r="L297" i="11"/>
  <c r="P297" i="11" s="1"/>
  <c r="X220" i="11"/>
  <c r="S246" i="11"/>
  <c r="X164" i="11"/>
  <c r="S192" i="11"/>
  <c r="N102" i="11"/>
  <c r="L131" i="11"/>
  <c r="P131" i="11" s="1"/>
  <c r="G102" i="11"/>
  <c r="G131" i="11"/>
  <c r="M102" i="11"/>
  <c r="M131" i="11"/>
  <c r="Q131" i="11" s="1"/>
  <c r="X102" i="11"/>
  <c r="S132" i="11"/>
  <c r="L102" i="11"/>
  <c r="K131" i="11"/>
  <c r="H102" i="11"/>
  <c r="H131" i="11"/>
  <c r="T101" i="11"/>
  <c r="Y101" i="11" s="1"/>
  <c r="L44" i="11"/>
  <c r="K72" i="11"/>
  <c r="M44" i="11"/>
  <c r="M72" i="11"/>
  <c r="Q72" i="11" s="1"/>
  <c r="G44" i="11"/>
  <c r="O44" i="11" s="1"/>
  <c r="R73" i="11" s="1"/>
  <c r="G72" i="11"/>
  <c r="X44" i="11"/>
  <c r="S73" i="11"/>
  <c r="H45" i="11"/>
  <c r="H73" i="11"/>
  <c r="T44" i="11"/>
  <c r="Y44" i="11" s="1"/>
  <c r="N44" i="11"/>
  <c r="L72" i="11"/>
  <c r="P72" i="11" s="1"/>
  <c r="W17" i="9"/>
  <c r="AB42" i="9"/>
  <c r="Y13" i="9"/>
  <c r="Q16" i="9"/>
  <c r="Q44" i="9"/>
  <c r="U13" i="9"/>
  <c r="T42" i="9"/>
  <c r="V16" i="9"/>
  <c r="V44" i="9"/>
  <c r="Z44" i="9" s="1"/>
  <c r="W26" i="8"/>
  <c r="Q69" i="8"/>
  <c r="V26" i="8"/>
  <c r="U71" i="8"/>
  <c r="Y71" i="8" s="1"/>
  <c r="U12" i="8"/>
  <c r="T69" i="8"/>
  <c r="V71" i="8"/>
  <c r="Z71" i="8" s="1"/>
  <c r="U18" i="7"/>
  <c r="U19" i="7" s="1"/>
  <c r="T66" i="7"/>
  <c r="V25" i="7"/>
  <c r="Y17" i="7"/>
  <c r="X16" i="7"/>
  <c r="W25" i="7"/>
  <c r="V22" i="6"/>
  <c r="V92" i="6" s="1"/>
  <c r="Z92" i="6" s="1"/>
  <c r="V91" i="6"/>
  <c r="Z91" i="6" s="1"/>
  <c r="V32" i="6"/>
  <c r="V97" i="6"/>
  <c r="Z97" i="6" s="1"/>
  <c r="W32" i="6"/>
  <c r="U97" i="6"/>
  <c r="Y97" i="6" s="1"/>
  <c r="Q96" i="6"/>
  <c r="Q30" i="6"/>
  <c r="W22" i="6"/>
  <c r="U92" i="6" s="1"/>
  <c r="Y92" i="6" s="1"/>
  <c r="U91" i="6"/>
  <c r="Y91" i="6" s="1"/>
  <c r="Q88" i="6"/>
  <c r="Q16" i="6"/>
  <c r="Q17" i="6" s="1"/>
  <c r="P47" i="6"/>
  <c r="X46" i="6"/>
  <c r="Q47" i="6"/>
  <c r="V15" i="5"/>
  <c r="U13" i="5"/>
  <c r="P44" i="5"/>
  <c r="P102" i="5"/>
  <c r="P15" i="5"/>
  <c r="V44" i="5"/>
  <c r="V102" i="5"/>
  <c r="Z102" i="5" s="1"/>
  <c r="M14" i="5"/>
  <c r="M87" i="5"/>
  <c r="Q44" i="5"/>
  <c r="Q102" i="5"/>
  <c r="Q15" i="5"/>
  <c r="W44" i="5"/>
  <c r="U102" i="5"/>
  <c r="Y102" i="5" s="1"/>
  <c r="W15" i="5"/>
  <c r="Q59" i="5"/>
  <c r="S364" i="3"/>
  <c r="S351" i="3"/>
  <c r="S348" i="3"/>
  <c r="S367" i="3"/>
  <c r="S358" i="3"/>
  <c r="S336" i="3"/>
  <c r="S352" i="3"/>
  <c r="S355" i="3"/>
  <c r="S370" i="3"/>
  <c r="S338" i="3"/>
  <c r="S349" i="3"/>
  <c r="S341" i="3"/>
  <c r="S350" i="3"/>
  <c r="S340" i="3"/>
  <c r="S361" i="3"/>
  <c r="S365" i="3"/>
  <c r="S360" i="3"/>
  <c r="S375" i="3"/>
  <c r="S368" i="3"/>
  <c r="S362" i="3"/>
  <c r="S373" i="3"/>
  <c r="S363" i="3"/>
  <c r="S344" i="3"/>
  <c r="S357" i="3"/>
  <c r="S343" i="3"/>
  <c r="S372" i="3"/>
  <c r="S337" i="3"/>
  <c r="S334" i="3"/>
  <c r="S339" i="3"/>
  <c r="S356" i="3"/>
  <c r="S353" i="3"/>
  <c r="S374" i="3"/>
  <c r="S347" i="3"/>
  <c r="S335" i="3"/>
  <c r="S345" i="3"/>
  <c r="S346" i="3"/>
  <c r="F255" i="3"/>
  <c r="F183" i="3"/>
  <c r="F27" i="3"/>
  <c r="F326" i="3"/>
  <c r="F404" i="3" s="1"/>
  <c r="D404" i="3"/>
  <c r="F302" i="3"/>
  <c r="F398" i="3" s="1"/>
  <c r="D398" i="3"/>
  <c r="F290" i="3"/>
  <c r="F394" i="3" s="1"/>
  <c r="D394" i="3"/>
  <c r="F266" i="3"/>
  <c r="F388" i="3" s="1"/>
  <c r="D388" i="3"/>
  <c r="F242" i="3"/>
  <c r="F382" i="3" s="1"/>
  <c r="D382" i="3"/>
  <c r="F206" i="3"/>
  <c r="F182" i="3"/>
  <c r="F158" i="3"/>
  <c r="F134" i="3"/>
  <c r="F110" i="3"/>
  <c r="F74" i="3"/>
  <c r="F50" i="3"/>
  <c r="C615" i="3"/>
  <c r="C404" i="3"/>
  <c r="F205" i="3"/>
  <c r="F324" i="3"/>
  <c r="F312" i="3"/>
  <c r="F300" i="3"/>
  <c r="F288" i="3"/>
  <c r="F276" i="3"/>
  <c r="F264" i="3"/>
  <c r="F252" i="3"/>
  <c r="F240" i="3"/>
  <c r="F228" i="3"/>
  <c r="F216" i="3"/>
  <c r="F204" i="3"/>
  <c r="F192" i="3"/>
  <c r="F180" i="3"/>
  <c r="F168" i="3"/>
  <c r="F361" i="3" s="1"/>
  <c r="N361" i="3" s="1"/>
  <c r="R361" i="3" s="1"/>
  <c r="F156" i="3"/>
  <c r="F144" i="3"/>
  <c r="F132" i="3"/>
  <c r="F354" i="3" s="1"/>
  <c r="N354" i="3" s="1"/>
  <c r="R354" i="3" s="1"/>
  <c r="F120" i="3"/>
  <c r="F108" i="3"/>
  <c r="F96" i="3"/>
  <c r="F84" i="3"/>
  <c r="F72" i="3"/>
  <c r="F344" i="3" s="1"/>
  <c r="N344" i="3" s="1"/>
  <c r="R344" i="3" s="1"/>
  <c r="F60" i="3"/>
  <c r="F48" i="3"/>
  <c r="F36" i="3"/>
  <c r="F24" i="3"/>
  <c r="Q387" i="3"/>
  <c r="S387" i="3" s="1"/>
  <c r="P387" i="3"/>
  <c r="P382" i="3"/>
  <c r="Q382" i="3"/>
  <c r="S382" i="3" s="1"/>
  <c r="Q401" i="3"/>
  <c r="S401" i="3" s="1"/>
  <c r="P401" i="3"/>
  <c r="P392" i="3"/>
  <c r="Q392" i="3"/>
  <c r="S392" i="3" s="1"/>
  <c r="F311" i="3"/>
  <c r="F287" i="3"/>
  <c r="F263" i="3"/>
  <c r="F239" i="3"/>
  <c r="F227" i="3"/>
  <c r="F215" i="3"/>
  <c r="F167" i="3"/>
  <c r="F131" i="3"/>
  <c r="F119" i="3"/>
  <c r="F107" i="3"/>
  <c r="F95" i="3"/>
  <c r="F83" i="3"/>
  <c r="F71" i="3"/>
  <c r="F59" i="3"/>
  <c r="F47" i="3"/>
  <c r="F315" i="3"/>
  <c r="F323" i="3"/>
  <c r="F275" i="3"/>
  <c r="F203" i="3"/>
  <c r="F369" i="3" s="1"/>
  <c r="N369" i="3" s="1"/>
  <c r="R369" i="3" s="1"/>
  <c r="F35" i="3"/>
  <c r="F322" i="3"/>
  <c r="F403" i="3" s="1"/>
  <c r="D403" i="3"/>
  <c r="F286" i="3"/>
  <c r="F393" i="3" s="1"/>
  <c r="D393" i="3"/>
  <c r="F238" i="3"/>
  <c r="F381" i="3" s="1"/>
  <c r="D381" i="3"/>
  <c r="F202" i="3"/>
  <c r="F178" i="3"/>
  <c r="F142" i="3"/>
  <c r="F356" i="3" s="1"/>
  <c r="N356" i="3" s="1"/>
  <c r="R356" i="3" s="1"/>
  <c r="F118" i="3"/>
  <c r="F106" i="3"/>
  <c r="F82" i="3"/>
  <c r="F70" i="3"/>
  <c r="F46" i="3"/>
  <c r="F34" i="3"/>
  <c r="F22" i="3"/>
  <c r="P390" i="3"/>
  <c r="Q390" i="3"/>
  <c r="S390" i="3" s="1"/>
  <c r="P385" i="3"/>
  <c r="Q385" i="3"/>
  <c r="S385" i="3" s="1"/>
  <c r="Q404" i="3"/>
  <c r="S404" i="3" s="1"/>
  <c r="P404" i="3"/>
  <c r="Q371" i="3"/>
  <c r="S371" i="3" s="1"/>
  <c r="P371" i="3"/>
  <c r="P395" i="3"/>
  <c r="Q395" i="3"/>
  <c r="S395" i="3" s="1"/>
  <c r="F143" i="3"/>
  <c r="F279" i="3"/>
  <c r="F155" i="3"/>
  <c r="C613" i="3"/>
  <c r="C403" i="3"/>
  <c r="F284" i="3"/>
  <c r="F248" i="3"/>
  <c r="F188" i="3"/>
  <c r="F116" i="3"/>
  <c r="F351" i="3" s="1"/>
  <c r="N351" i="3" s="1"/>
  <c r="R351" i="3" s="1"/>
  <c r="F68" i="3"/>
  <c r="F32" i="3"/>
  <c r="P393" i="3"/>
  <c r="Q393" i="3"/>
  <c r="S393" i="3" s="1"/>
  <c r="P388" i="3"/>
  <c r="Q388" i="3"/>
  <c r="S388" i="3" s="1"/>
  <c r="P380" i="3"/>
  <c r="Q380" i="3"/>
  <c r="S380" i="3" s="1"/>
  <c r="P399" i="3"/>
  <c r="Q399" i="3"/>
  <c r="S399" i="3" s="1"/>
  <c r="F191" i="3"/>
  <c r="F366" i="3" s="1"/>
  <c r="N366" i="3" s="1"/>
  <c r="R366" i="3" s="1"/>
  <c r="F310" i="3"/>
  <c r="F400" i="3" s="1"/>
  <c r="D400" i="3"/>
  <c r="F298" i="3"/>
  <c r="F397" i="3" s="1"/>
  <c r="D397" i="3"/>
  <c r="F274" i="3"/>
  <c r="F390" i="3" s="1"/>
  <c r="D390" i="3"/>
  <c r="F250" i="3"/>
  <c r="F384" i="3" s="1"/>
  <c r="D384" i="3"/>
  <c r="F226" i="3"/>
  <c r="F378" i="3" s="1"/>
  <c r="D378" i="3"/>
  <c r="F190" i="3"/>
  <c r="F166" i="3"/>
  <c r="F130" i="3"/>
  <c r="F94" i="3"/>
  <c r="F58" i="3"/>
  <c r="F321" i="3"/>
  <c r="F309" i="3"/>
  <c r="F297" i="3"/>
  <c r="F396" i="3" s="1"/>
  <c r="N396" i="3" s="1"/>
  <c r="R396" i="3" s="1"/>
  <c r="F285" i="3"/>
  <c r="F273" i="3"/>
  <c r="F261" i="3"/>
  <c r="F249" i="3"/>
  <c r="F237" i="3"/>
  <c r="F225" i="3"/>
  <c r="F213" i="3"/>
  <c r="F201" i="3"/>
  <c r="F189" i="3"/>
  <c r="F177" i="3"/>
  <c r="F165" i="3"/>
  <c r="F153" i="3"/>
  <c r="F141" i="3"/>
  <c r="F129" i="3"/>
  <c r="F117" i="3"/>
  <c r="F105" i="3"/>
  <c r="F349" i="3" s="1"/>
  <c r="N349" i="3" s="1"/>
  <c r="R349" i="3" s="1"/>
  <c r="F93" i="3"/>
  <c r="F81" i="3"/>
  <c r="F345" i="3" s="1"/>
  <c r="N345" i="3" s="1"/>
  <c r="R345" i="3" s="1"/>
  <c r="F69" i="3"/>
  <c r="F57" i="3"/>
  <c r="F45" i="3"/>
  <c r="F33" i="3"/>
  <c r="F21" i="3"/>
  <c r="F296" i="3"/>
  <c r="F272" i="3"/>
  <c r="F236" i="3"/>
  <c r="F212" i="3"/>
  <c r="F176" i="3"/>
  <c r="F363" i="3" s="1"/>
  <c r="N363" i="3" s="1"/>
  <c r="R363" i="3" s="1"/>
  <c r="F152" i="3"/>
  <c r="F140" i="3"/>
  <c r="F104" i="3"/>
  <c r="F80" i="3"/>
  <c r="F44" i="3"/>
  <c r="F339" i="3" s="1"/>
  <c r="N339" i="3" s="1"/>
  <c r="R339" i="3" s="1"/>
  <c r="F235" i="3"/>
  <c r="F318" i="3"/>
  <c r="F402" i="3" s="1"/>
  <c r="D402" i="3"/>
  <c r="F306" i="3"/>
  <c r="F399" i="3" s="1"/>
  <c r="D399" i="3"/>
  <c r="F294" i="3"/>
  <c r="F395" i="3" s="1"/>
  <c r="D395" i="3"/>
  <c r="F282" i="3"/>
  <c r="F392" i="3" s="1"/>
  <c r="D392" i="3"/>
  <c r="F270" i="3"/>
  <c r="F389" i="3" s="1"/>
  <c r="D389" i="3"/>
  <c r="F258" i="3"/>
  <c r="F386" i="3" s="1"/>
  <c r="D386" i="3"/>
  <c r="F246" i="3"/>
  <c r="F383" i="3" s="1"/>
  <c r="D383" i="3"/>
  <c r="F234" i="3"/>
  <c r="F380" i="3" s="1"/>
  <c r="D380" i="3"/>
  <c r="F222" i="3"/>
  <c r="F375" i="3" s="1"/>
  <c r="N375" i="3" s="1"/>
  <c r="R375" i="3" s="1"/>
  <c r="F210" i="3"/>
  <c r="F372" i="3" s="1"/>
  <c r="N372" i="3" s="1"/>
  <c r="R372" i="3" s="1"/>
  <c r="F198" i="3"/>
  <c r="F186" i="3"/>
  <c r="F174" i="3"/>
  <c r="F162" i="3"/>
  <c r="F150" i="3"/>
  <c r="F138" i="3"/>
  <c r="F355" i="3" s="1"/>
  <c r="N355" i="3" s="1"/>
  <c r="R355" i="3" s="1"/>
  <c r="F126" i="3"/>
  <c r="F353" i="3" s="1"/>
  <c r="N353" i="3" s="1"/>
  <c r="R353" i="3" s="1"/>
  <c r="F114" i="3"/>
  <c r="F102" i="3"/>
  <c r="F90" i="3"/>
  <c r="F78" i="3"/>
  <c r="F66" i="3"/>
  <c r="F343" i="3" s="1"/>
  <c r="N343" i="3" s="1"/>
  <c r="R343" i="3" s="1"/>
  <c r="F54" i="3"/>
  <c r="F42" i="3"/>
  <c r="F30" i="3"/>
  <c r="F18" i="3"/>
  <c r="P378" i="3"/>
  <c r="Q378" i="3"/>
  <c r="S378" i="3" s="1"/>
  <c r="P397" i="3"/>
  <c r="Q397" i="3"/>
  <c r="S397" i="3" s="1"/>
  <c r="P391" i="3"/>
  <c r="Q391" i="3"/>
  <c r="S391" i="3" s="1"/>
  <c r="P383" i="3"/>
  <c r="Q383" i="3"/>
  <c r="S383" i="3" s="1"/>
  <c r="P402" i="3"/>
  <c r="Q402" i="3"/>
  <c r="S402" i="3" s="1"/>
  <c r="C614" i="3"/>
  <c r="F299" i="3"/>
  <c r="F251" i="3"/>
  <c r="F179" i="3"/>
  <c r="F23" i="3"/>
  <c r="F336" i="3" s="1"/>
  <c r="N336" i="3" s="1"/>
  <c r="R336" i="3" s="1"/>
  <c r="F262" i="3"/>
  <c r="F387" i="3" s="1"/>
  <c r="D387" i="3"/>
  <c r="F154" i="3"/>
  <c r="F320" i="3"/>
  <c r="F224" i="3"/>
  <c r="F377" i="3" s="1"/>
  <c r="D377" i="3"/>
  <c r="F200" i="3"/>
  <c r="F164" i="3"/>
  <c r="F360" i="3" s="1"/>
  <c r="N360" i="3" s="1"/>
  <c r="R360" i="3" s="1"/>
  <c r="F128" i="3"/>
  <c r="F92" i="3"/>
  <c r="F56" i="3"/>
  <c r="F20" i="3"/>
  <c r="F319" i="3"/>
  <c r="F307" i="3"/>
  <c r="F283" i="3"/>
  <c r="F271" i="3"/>
  <c r="F247" i="3"/>
  <c r="F223" i="3"/>
  <c r="F376" i="3" s="1"/>
  <c r="N376" i="3" s="1"/>
  <c r="R376" i="3" s="1"/>
  <c r="F199" i="3"/>
  <c r="F368" i="3" s="1"/>
  <c r="N368" i="3" s="1"/>
  <c r="R368" i="3" s="1"/>
  <c r="F175" i="3"/>
  <c r="F151" i="3"/>
  <c r="F358" i="3" s="1"/>
  <c r="N358" i="3" s="1"/>
  <c r="R358" i="3" s="1"/>
  <c r="F127" i="3"/>
  <c r="F103" i="3"/>
  <c r="F79" i="3"/>
  <c r="F55" i="3"/>
  <c r="F341" i="3" s="1"/>
  <c r="N341" i="3" s="1"/>
  <c r="R341" i="3" s="1"/>
  <c r="F19" i="3"/>
  <c r="F214" i="3"/>
  <c r="F373" i="3" s="1"/>
  <c r="N373" i="3" s="1"/>
  <c r="R373" i="3" s="1"/>
  <c r="F308" i="3"/>
  <c r="F295" i="3"/>
  <c r="F259" i="3"/>
  <c r="F211" i="3"/>
  <c r="F187" i="3"/>
  <c r="F163" i="3"/>
  <c r="F139" i="3"/>
  <c r="F115" i="3"/>
  <c r="F91" i="3"/>
  <c r="F347" i="3" s="1"/>
  <c r="N347" i="3" s="1"/>
  <c r="R347" i="3" s="1"/>
  <c r="F67" i="3"/>
  <c r="F43" i="3"/>
  <c r="F31" i="3"/>
  <c r="F337" i="3" s="1"/>
  <c r="N337" i="3" s="1"/>
  <c r="R337" i="3" s="1"/>
  <c r="F317" i="3"/>
  <c r="F305" i="3"/>
  <c r="F293" i="3"/>
  <c r="F281" i="3"/>
  <c r="F269" i="3"/>
  <c r="F257" i="3"/>
  <c r="F245" i="3"/>
  <c r="F233" i="3"/>
  <c r="F221" i="3"/>
  <c r="F209" i="3"/>
  <c r="F197" i="3"/>
  <c r="F185" i="3"/>
  <c r="F365" i="3" s="1"/>
  <c r="N365" i="3" s="1"/>
  <c r="R365" i="3" s="1"/>
  <c r="F173" i="3"/>
  <c r="F161" i="3"/>
  <c r="F149" i="3"/>
  <c r="F137" i="3"/>
  <c r="F125" i="3"/>
  <c r="F113" i="3"/>
  <c r="F101" i="3"/>
  <c r="F89" i="3"/>
  <c r="F77" i="3"/>
  <c r="F65" i="3"/>
  <c r="F53" i="3"/>
  <c r="F41" i="3"/>
  <c r="F29" i="3"/>
  <c r="F17" i="3"/>
  <c r="F328" i="3"/>
  <c r="F405" i="3" s="1"/>
  <c r="D405" i="3"/>
  <c r="F316" i="3"/>
  <c r="F304" i="3"/>
  <c r="F292" i="3"/>
  <c r="F280" i="3"/>
  <c r="F268" i="3"/>
  <c r="F256" i="3"/>
  <c r="F244" i="3"/>
  <c r="F232" i="3"/>
  <c r="F220" i="3"/>
  <c r="F208" i="3"/>
  <c r="F371" i="3" s="1"/>
  <c r="D371" i="3"/>
  <c r="F196" i="3"/>
  <c r="F184" i="3"/>
  <c r="F172" i="3"/>
  <c r="F362" i="3" s="1"/>
  <c r="N362" i="3" s="1"/>
  <c r="R362" i="3" s="1"/>
  <c r="F160" i="3"/>
  <c r="F148" i="3"/>
  <c r="F136" i="3"/>
  <c r="F124" i="3"/>
  <c r="F112" i="3"/>
  <c r="F100" i="3"/>
  <c r="F88" i="3"/>
  <c r="F76" i="3"/>
  <c r="F64" i="3"/>
  <c r="F52" i="3"/>
  <c r="F40" i="3"/>
  <c r="F28" i="3"/>
  <c r="P381" i="3"/>
  <c r="Q381" i="3"/>
  <c r="S381" i="3" s="1"/>
  <c r="P400" i="3"/>
  <c r="Q400" i="3"/>
  <c r="S400" i="3" s="1"/>
  <c r="P394" i="3"/>
  <c r="Q394" i="3"/>
  <c r="S394" i="3" s="1"/>
  <c r="P386" i="3"/>
  <c r="Q386" i="3"/>
  <c r="S386" i="3" s="1"/>
  <c r="F327" i="3"/>
  <c r="F243" i="3"/>
  <c r="F195" i="3"/>
  <c r="F367" i="3" s="1"/>
  <c r="N367" i="3" s="1"/>
  <c r="R367" i="3" s="1"/>
  <c r="F159" i="3"/>
  <c r="F147" i="3"/>
  <c r="F357" i="3" s="1"/>
  <c r="N357" i="3" s="1"/>
  <c r="R357" i="3" s="1"/>
  <c r="F123" i="3"/>
  <c r="F99" i="3"/>
  <c r="F348" i="3" s="1"/>
  <c r="N348" i="3" s="1"/>
  <c r="R348" i="3" s="1"/>
  <c r="F75" i="3"/>
  <c r="F63" i="3"/>
  <c r="F51" i="3"/>
  <c r="F340" i="3" s="1"/>
  <c r="N340" i="3" s="1"/>
  <c r="R340" i="3" s="1"/>
  <c r="F291" i="3"/>
  <c r="F207" i="3"/>
  <c r="F370" i="3" s="1"/>
  <c r="N370" i="3" s="1"/>
  <c r="R370" i="3" s="1"/>
  <c r="F39" i="3"/>
  <c r="P377" i="3"/>
  <c r="Q377" i="3"/>
  <c r="S377" i="3" s="1"/>
  <c r="P384" i="3"/>
  <c r="Q384" i="3"/>
  <c r="S384" i="3" s="1"/>
  <c r="P403" i="3"/>
  <c r="Q403" i="3"/>
  <c r="S403" i="3" s="1"/>
  <c r="P379" i="3"/>
  <c r="Q379" i="3"/>
  <c r="S379" i="3" s="1"/>
  <c r="P398" i="3"/>
  <c r="Q398" i="3"/>
  <c r="S398" i="3" s="1"/>
  <c r="Q405" i="3"/>
  <c r="S405" i="3" s="1"/>
  <c r="P405" i="3"/>
  <c r="P389" i="3"/>
  <c r="Q389" i="3"/>
  <c r="S389" i="3" s="1"/>
  <c r="F303" i="3"/>
  <c r="F267" i="3"/>
  <c r="F231" i="3"/>
  <c r="F219" i="3"/>
  <c r="F171" i="3"/>
  <c r="F135" i="3"/>
  <c r="F111" i="3"/>
  <c r="F87" i="3"/>
  <c r="F346" i="3" s="1"/>
  <c r="N346" i="3" s="1"/>
  <c r="R346" i="3" s="1"/>
  <c r="F314" i="3"/>
  <c r="F401" i="3" s="1"/>
  <c r="D401" i="3"/>
  <c r="F278" i="3"/>
  <c r="F391" i="3" s="1"/>
  <c r="D391" i="3"/>
  <c r="F254" i="3"/>
  <c r="F385" i="3" s="1"/>
  <c r="D385" i="3"/>
  <c r="F230" i="3"/>
  <c r="F379" i="3" s="1"/>
  <c r="D379" i="3"/>
  <c r="F218" i="3"/>
  <c r="F374" i="3" s="1"/>
  <c r="N374" i="3" s="1"/>
  <c r="R374" i="3" s="1"/>
  <c r="F194" i="3"/>
  <c r="F170" i="3"/>
  <c r="F146" i="3"/>
  <c r="F122" i="3"/>
  <c r="F352" i="3" s="1"/>
  <c r="N352" i="3" s="1"/>
  <c r="R352" i="3" s="1"/>
  <c r="F98" i="3"/>
  <c r="F86" i="3"/>
  <c r="F62" i="3"/>
  <c r="F38" i="3"/>
  <c r="F338" i="3" s="1"/>
  <c r="N338" i="3" s="1"/>
  <c r="R338" i="3" s="1"/>
  <c r="F26" i="3"/>
  <c r="F325" i="3"/>
  <c r="F313" i="3"/>
  <c r="F301" i="3"/>
  <c r="F289" i="3"/>
  <c r="F277" i="3"/>
  <c r="F265" i="3"/>
  <c r="F253" i="3"/>
  <c r="F241" i="3"/>
  <c r="F229" i="3"/>
  <c r="F217" i="3"/>
  <c r="F193" i="3"/>
  <c r="F181" i="3"/>
  <c r="F364" i="3" s="1"/>
  <c r="N364" i="3" s="1"/>
  <c r="R364" i="3" s="1"/>
  <c r="F169" i="3"/>
  <c r="F157" i="3"/>
  <c r="F359" i="3" s="1"/>
  <c r="N359" i="3" s="1"/>
  <c r="R359" i="3" s="1"/>
  <c r="F145" i="3"/>
  <c r="F133" i="3"/>
  <c r="F121" i="3"/>
  <c r="F109" i="3"/>
  <c r="F350" i="3" s="1"/>
  <c r="N350" i="3" s="1"/>
  <c r="R350" i="3" s="1"/>
  <c r="F97" i="3"/>
  <c r="F85" i="3"/>
  <c r="F73" i="3"/>
  <c r="F61" i="3"/>
  <c r="F342" i="3" s="1"/>
  <c r="N342" i="3" s="1"/>
  <c r="R342" i="3" s="1"/>
  <c r="F49" i="3"/>
  <c r="F37" i="3"/>
  <c r="F25" i="3"/>
  <c r="C607" i="3"/>
  <c r="C600" i="3"/>
  <c r="C593" i="3"/>
  <c r="C606" i="3"/>
  <c r="C400" i="3"/>
  <c r="C599" i="3"/>
  <c r="C397" i="3"/>
  <c r="C592" i="3"/>
  <c r="C393" i="3"/>
  <c r="C605" i="3"/>
  <c r="C591" i="3"/>
  <c r="C612" i="3"/>
  <c r="C598" i="3"/>
  <c r="C611" i="3"/>
  <c r="C402" i="3"/>
  <c r="C604" i="3"/>
  <c r="C399" i="3"/>
  <c r="C597" i="3"/>
  <c r="C395" i="3"/>
  <c r="C590" i="3"/>
  <c r="C392" i="3"/>
  <c r="C603" i="3"/>
  <c r="C596" i="3"/>
  <c r="C610" i="3"/>
  <c r="C589" i="3"/>
  <c r="C608" i="3"/>
  <c r="C401" i="3"/>
  <c r="C601" i="3"/>
  <c r="C398" i="3"/>
  <c r="C594" i="3"/>
  <c r="C394" i="3"/>
  <c r="C587" i="3"/>
  <c r="C391" i="3"/>
  <c r="C573" i="3"/>
  <c r="C385" i="3"/>
  <c r="C568" i="3"/>
  <c r="C514" i="3"/>
  <c r="C580" i="3"/>
  <c r="C388" i="3"/>
  <c r="C566" i="3"/>
  <c r="C382" i="3"/>
  <c r="C559" i="3"/>
  <c r="C379" i="3"/>
  <c r="C552" i="3"/>
  <c r="C545" i="3"/>
  <c r="C521" i="3"/>
  <c r="C544" i="3"/>
  <c r="C537" i="3"/>
  <c r="C529" i="3"/>
  <c r="C512" i="3"/>
  <c r="C586" i="3"/>
  <c r="C579" i="3"/>
  <c r="C572" i="3"/>
  <c r="C565" i="3"/>
  <c r="C558" i="3"/>
  <c r="C551" i="3"/>
  <c r="C520" i="3"/>
  <c r="C539" i="3"/>
  <c r="C528" i="3"/>
  <c r="C535" i="3"/>
  <c r="C511" i="3"/>
  <c r="C542" i="3"/>
  <c r="C585" i="3"/>
  <c r="C390" i="3"/>
  <c r="C578" i="3"/>
  <c r="C387" i="3"/>
  <c r="C571" i="3"/>
  <c r="C384" i="3"/>
  <c r="C564" i="3"/>
  <c r="C381" i="3"/>
  <c r="C557" i="3"/>
  <c r="C378" i="3"/>
  <c r="C550" i="3"/>
  <c r="C527" i="3"/>
  <c r="C519" i="3"/>
  <c r="C510" i="3"/>
  <c r="C541" i="3"/>
  <c r="C534" i="3"/>
  <c r="C526" i="3"/>
  <c r="C509" i="3"/>
  <c r="C584" i="3"/>
  <c r="C570" i="3"/>
  <c r="C556" i="3"/>
  <c r="C377" i="3"/>
  <c r="C517" i="3"/>
  <c r="C577" i="3"/>
  <c r="C563" i="3"/>
  <c r="C549" i="3"/>
  <c r="C533" i="3"/>
  <c r="C524" i="3"/>
  <c r="C540" i="3"/>
  <c r="C583" i="3"/>
  <c r="C389" i="3"/>
  <c r="C576" i="3"/>
  <c r="C386" i="3"/>
  <c r="C569" i="3"/>
  <c r="C383" i="3"/>
  <c r="C562" i="3"/>
  <c r="C380" i="3"/>
  <c r="C555" i="3"/>
  <c r="C548" i="3"/>
  <c r="C532" i="3"/>
  <c r="C523" i="3"/>
  <c r="C516" i="3"/>
  <c r="C515" i="3"/>
  <c r="C582" i="3"/>
  <c r="C561" i="3"/>
  <c r="C575" i="3"/>
  <c r="C554" i="3"/>
  <c r="C522" i="3"/>
  <c r="C546" i="3"/>
  <c r="C538" i="3"/>
  <c r="C530" i="3"/>
  <c r="C513" i="3"/>
  <c r="C531" i="3"/>
  <c r="C547" i="3"/>
  <c r="C371" i="3"/>
  <c r="C481" i="3"/>
  <c r="C490" i="3"/>
  <c r="C504" i="3"/>
  <c r="C479" i="3"/>
  <c r="C503" i="3"/>
  <c r="C494" i="3"/>
  <c r="C487" i="3"/>
  <c r="C505" i="3"/>
  <c r="C482" i="3"/>
  <c r="C502" i="3"/>
  <c r="C486" i="3"/>
  <c r="C478" i="3"/>
  <c r="C501" i="3"/>
  <c r="C493" i="3"/>
  <c r="C485" i="3"/>
  <c r="C492" i="3"/>
  <c r="C477" i="3"/>
  <c r="C500" i="3"/>
  <c r="C491" i="3"/>
  <c r="C483" i="3"/>
  <c r="C476" i="3"/>
  <c r="C508" i="3"/>
  <c r="C475" i="3"/>
  <c r="C507" i="3"/>
  <c r="C498" i="3"/>
  <c r="C474" i="3"/>
  <c r="C499" i="3"/>
  <c r="C497" i="3"/>
  <c r="C489" i="3"/>
  <c r="C496" i="3"/>
  <c r="C488" i="3"/>
  <c r="C480" i="3"/>
  <c r="C451" i="3"/>
  <c r="C471" i="3"/>
  <c r="C464" i="3"/>
  <c r="C447" i="3"/>
  <c r="C439" i="3"/>
  <c r="C457" i="3"/>
  <c r="C446" i="3"/>
  <c r="C463" i="3"/>
  <c r="C469" i="3"/>
  <c r="C455" i="3"/>
  <c r="C445" i="3"/>
  <c r="C456" i="3"/>
  <c r="C461" i="3"/>
  <c r="C454" i="3"/>
  <c r="C444" i="3"/>
  <c r="C453" i="3"/>
  <c r="C470" i="3"/>
  <c r="C460" i="3"/>
  <c r="C438" i="3"/>
  <c r="C468" i="3"/>
  <c r="C443" i="3"/>
  <c r="C459" i="3"/>
  <c r="C452" i="3"/>
  <c r="C467" i="3"/>
  <c r="C442" i="3"/>
  <c r="C472" i="3"/>
  <c r="C466" i="3"/>
  <c r="C450" i="3"/>
  <c r="C441" i="3"/>
  <c r="C465" i="3"/>
  <c r="C458" i="3"/>
  <c r="C449" i="3"/>
  <c r="C440" i="3"/>
  <c r="C426" i="3"/>
  <c r="C431" i="3"/>
  <c r="C430" i="3"/>
  <c r="C425" i="3"/>
  <c r="C429" i="3"/>
  <c r="C423" i="3"/>
  <c r="C436" i="3"/>
  <c r="C422" i="3"/>
  <c r="C435" i="3"/>
  <c r="C428" i="3"/>
  <c r="C434" i="3"/>
  <c r="C433" i="3"/>
  <c r="C421" i="3"/>
  <c r="C427" i="3"/>
  <c r="C432" i="3"/>
  <c r="C414" i="3"/>
  <c r="C419" i="3"/>
  <c r="F12" i="3"/>
  <c r="F11" i="3"/>
  <c r="F10" i="3"/>
  <c r="C418" i="3"/>
  <c r="F9" i="3"/>
  <c r="F334" i="3" s="1"/>
  <c r="N334" i="3" s="1"/>
  <c r="R334" i="3" s="1"/>
  <c r="C417" i="3"/>
  <c r="F8" i="3"/>
  <c r="C416" i="3"/>
  <c r="F7" i="3"/>
  <c r="C415" i="3"/>
  <c r="F6" i="3"/>
  <c r="Q333" i="3"/>
  <c r="P333" i="3"/>
  <c r="C413" i="3"/>
  <c r="C333" i="3"/>
  <c r="F5" i="3"/>
  <c r="F333" i="3" s="1"/>
  <c r="D333" i="3"/>
  <c r="F16" i="3"/>
  <c r="F15" i="3"/>
  <c r="F335" i="3" s="1"/>
  <c r="N335" i="3" s="1"/>
  <c r="R335" i="3" s="1"/>
  <c r="F14" i="3"/>
  <c r="C420" i="3"/>
  <c r="F13" i="3"/>
  <c r="C616" i="3"/>
  <c r="B408" i="3"/>
  <c r="B409" i="3" s="1"/>
  <c r="Z278" i="11"/>
  <c r="AB12" i="9"/>
  <c r="M64" i="9" s="1"/>
  <c r="N64" i="9"/>
  <c r="L64" i="9" s="1"/>
  <c r="AB10" i="8"/>
  <c r="M105" i="8" s="1"/>
  <c r="N105" i="8"/>
  <c r="L105" i="8" s="1"/>
  <c r="AA42" i="7"/>
  <c r="N134" i="7" s="1"/>
  <c r="G42" i="7"/>
  <c r="AB9" i="6"/>
  <c r="M139" i="6" s="1"/>
  <c r="L139" i="6"/>
  <c r="N139" i="6"/>
  <c r="V295" i="3"/>
  <c r="G420" i="3"/>
  <c r="V16" i="3"/>
  <c r="C4" i="14" s="1"/>
  <c r="G470" i="3"/>
  <c r="V95" i="3"/>
  <c r="G561" i="3"/>
  <c r="V232" i="3"/>
  <c r="G604" i="3"/>
  <c r="V306" i="3"/>
  <c r="G591" i="3"/>
  <c r="V284" i="3"/>
  <c r="G481" i="3"/>
  <c r="V111" i="3"/>
  <c r="G610" i="3"/>
  <c r="V316" i="3"/>
  <c r="G603" i="3"/>
  <c r="V304" i="3"/>
  <c r="G487" i="3"/>
  <c r="V120" i="3"/>
  <c r="V327" i="3"/>
  <c r="V315" i="3"/>
  <c r="V303" i="3"/>
  <c r="V291" i="3"/>
  <c r="G598" i="3"/>
  <c r="V296" i="3"/>
  <c r="V319" i="3"/>
  <c r="G460" i="3"/>
  <c r="V79" i="3"/>
  <c r="G615" i="3"/>
  <c r="V326" i="3"/>
  <c r="G601" i="3"/>
  <c r="V302" i="3"/>
  <c r="G605" i="3"/>
  <c r="V308" i="3"/>
  <c r="V307" i="3"/>
  <c r="G431" i="3"/>
  <c r="V35" i="3"/>
  <c r="G492" i="3"/>
  <c r="V129" i="3"/>
  <c r="G608" i="3"/>
  <c r="V314" i="3"/>
  <c r="G594" i="3"/>
  <c r="V290" i="3"/>
  <c r="G465" i="3"/>
  <c r="V86" i="3"/>
  <c r="V325" i="3"/>
  <c r="V313" i="3"/>
  <c r="V301" i="3"/>
  <c r="V289" i="3"/>
  <c r="G612" i="3"/>
  <c r="V320" i="3"/>
  <c r="G607" i="3"/>
  <c r="V312" i="3"/>
  <c r="G436" i="3"/>
  <c r="V44" i="3"/>
  <c r="V299" i="3"/>
  <c r="G455" i="3"/>
  <c r="V70" i="3"/>
  <c r="G614" i="3"/>
  <c r="V324" i="3"/>
  <c r="G593" i="3"/>
  <c r="V288" i="3"/>
  <c r="G498" i="3"/>
  <c r="V137" i="3"/>
  <c r="V311" i="3"/>
  <c r="G9" i="1"/>
  <c r="W6" i="3"/>
  <c r="G503" i="3"/>
  <c r="V144" i="3"/>
  <c r="G613" i="3"/>
  <c r="V322" i="3"/>
  <c r="G606" i="3"/>
  <c r="V310" i="3"/>
  <c r="G599" i="3"/>
  <c r="V298" i="3"/>
  <c r="G592" i="3"/>
  <c r="V286" i="3"/>
  <c r="G445" i="3"/>
  <c r="V58" i="3"/>
  <c r="G497" i="3"/>
  <c r="V136" i="3"/>
  <c r="C19" i="14" s="1"/>
  <c r="G600" i="3"/>
  <c r="V300" i="3"/>
  <c r="V323" i="3"/>
  <c r="V287" i="3"/>
  <c r="G417" i="3"/>
  <c r="V11" i="3"/>
  <c r="G510" i="3"/>
  <c r="V154" i="3"/>
  <c r="V321" i="3"/>
  <c r="V309" i="3"/>
  <c r="V297" i="3"/>
  <c r="V285" i="3"/>
  <c r="G514" i="3"/>
  <c r="V160" i="3"/>
  <c r="V178" i="3"/>
  <c r="G533" i="3"/>
  <c r="V187" i="3"/>
  <c r="G611" i="3"/>
  <c r="V318" i="3"/>
  <c r="G597" i="3"/>
  <c r="V294" i="3"/>
  <c r="G450" i="3"/>
  <c r="V63" i="3"/>
  <c r="G476" i="3"/>
  <c r="V104" i="3"/>
  <c r="V317" i="3"/>
  <c r="V305" i="3"/>
  <c r="V293" i="3"/>
  <c r="G616" i="3"/>
  <c r="V328" i="3"/>
  <c r="G596" i="3"/>
  <c r="V292" i="3"/>
  <c r="F260" i="3"/>
  <c r="B15" i="14"/>
  <c r="B3" i="14"/>
  <c r="B12" i="14"/>
  <c r="B7" i="14"/>
  <c r="B19" i="14"/>
  <c r="B22" i="14"/>
  <c r="B16" i="14"/>
  <c r="B10" i="14"/>
  <c r="Z206" i="3"/>
  <c r="B5" i="14"/>
  <c r="B18" i="14"/>
  <c r="B17" i="14"/>
  <c r="B13" i="14"/>
  <c r="B8" i="14"/>
  <c r="B4" i="14"/>
  <c r="B20" i="14"/>
  <c r="B14" i="14"/>
  <c r="B21" i="14"/>
  <c r="B11" i="14"/>
  <c r="B9" i="14"/>
  <c r="B6" i="14"/>
  <c r="P133" i="5"/>
  <c r="N133" i="5"/>
  <c r="F10" i="6"/>
  <c r="AA10" i="6" s="1"/>
  <c r="G9" i="6"/>
  <c r="Y12" i="5"/>
  <c r="X11" i="5"/>
  <c r="AA86" i="5" s="1"/>
  <c r="K371" i="11"/>
  <c r="J403" i="11" s="1"/>
  <c r="J372" i="11"/>
  <c r="P371" i="11"/>
  <c r="O370" i="11"/>
  <c r="R402" i="11" s="1"/>
  <c r="O323" i="11"/>
  <c r="R346" i="11" s="1"/>
  <c r="P324" i="11"/>
  <c r="K324" i="11"/>
  <c r="J347" i="11" s="1"/>
  <c r="J325" i="11"/>
  <c r="Q279" i="11"/>
  <c r="AA279" i="11" s="1"/>
  <c r="S279" i="11"/>
  <c r="J276" i="11"/>
  <c r="K275" i="11"/>
  <c r="J299" i="11" s="1"/>
  <c r="G275" i="11"/>
  <c r="G299" i="11" s="1"/>
  <c r="O274" i="11"/>
  <c r="R298" i="11" s="1"/>
  <c r="O220" i="11"/>
  <c r="R246" i="11" s="1"/>
  <c r="P221" i="11"/>
  <c r="K221" i="11"/>
  <c r="J247" i="11" s="1"/>
  <c r="J222" i="11"/>
  <c r="J103" i="11"/>
  <c r="K102" i="11"/>
  <c r="J132" i="11" s="1"/>
  <c r="P165" i="11"/>
  <c r="J163" i="11"/>
  <c r="K162" i="11"/>
  <c r="J190" i="11" s="1"/>
  <c r="O102" i="11"/>
  <c r="R132" i="11" s="1"/>
  <c r="P103" i="11"/>
  <c r="J46" i="11"/>
  <c r="K45" i="11"/>
  <c r="J74" i="11" s="1"/>
  <c r="P45" i="11"/>
  <c r="X11" i="8"/>
  <c r="AA69" i="8" s="1"/>
  <c r="Q23" i="8"/>
  <c r="X17" i="8"/>
  <c r="AA72" i="8" s="1"/>
  <c r="P18" i="8"/>
  <c r="P73" i="8" s="1"/>
  <c r="X10" i="7"/>
  <c r="P11" i="7"/>
  <c r="Q24" i="7"/>
  <c r="P20" i="7"/>
  <c r="P29" i="6"/>
  <c r="P96" i="6" s="1"/>
  <c r="X28" i="6"/>
  <c r="P12" i="6"/>
  <c r="X11" i="6"/>
  <c r="AA86" i="6" s="1"/>
  <c r="L51" i="5"/>
  <c r="L107" i="5" s="1"/>
  <c r="AA336" i="3" s="1"/>
  <c r="AA7" i="5"/>
  <c r="F8" i="5"/>
  <c r="G7" i="5"/>
  <c r="AB6" i="5"/>
  <c r="O133" i="5" s="1"/>
  <c r="AD6" i="5"/>
  <c r="O6" i="7"/>
  <c r="M7" i="7"/>
  <c r="N5" i="7"/>
  <c r="N60" i="7" s="1"/>
  <c r="G10" i="8"/>
  <c r="F11" i="8"/>
  <c r="AA11" i="8" s="1"/>
  <c r="F43" i="7"/>
  <c r="O6" i="6"/>
  <c r="M7" i="6"/>
  <c r="N6" i="6"/>
  <c r="L8" i="4"/>
  <c r="M8" i="4" s="1"/>
  <c r="X10" i="9"/>
  <c r="P11" i="9"/>
  <c r="P41" i="9" s="1"/>
  <c r="F13" i="9"/>
  <c r="AA13" i="9" s="1"/>
  <c r="G12" i="9"/>
  <c r="Q34" i="6"/>
  <c r="X33" i="6"/>
  <c r="AA98" i="6" s="1"/>
  <c r="P34" i="6"/>
  <c r="M44" i="1"/>
  <c r="D19" i="1"/>
  <c r="E19" i="1" s="1"/>
  <c r="D20" i="1"/>
  <c r="E20" i="1" s="1"/>
  <c r="E15" i="1"/>
  <c r="E17" i="1"/>
  <c r="E16" i="1"/>
  <c r="I9" i="1" l="1"/>
  <c r="J9" i="1"/>
  <c r="M66" i="8"/>
  <c r="AB341" i="3" s="1"/>
  <c r="M6" i="8"/>
  <c r="O5" i="8"/>
  <c r="O66" i="8" s="1"/>
  <c r="L5" i="8"/>
  <c r="F40" i="4"/>
  <c r="D33" i="11"/>
  <c r="N8" i="4"/>
  <c r="L222" i="11"/>
  <c r="K247" i="11"/>
  <c r="L164" i="11"/>
  <c r="K191" i="11"/>
  <c r="G164" i="11"/>
  <c r="G191" i="11"/>
  <c r="O163" i="11"/>
  <c r="R191" i="11" s="1"/>
  <c r="M164" i="11"/>
  <c r="M191" i="11"/>
  <c r="Q191" i="11" s="1"/>
  <c r="N164" i="11"/>
  <c r="L191" i="11"/>
  <c r="P191" i="11" s="1"/>
  <c r="P275" i="11"/>
  <c r="S298" i="11"/>
  <c r="X274" i="11"/>
  <c r="S333" i="3"/>
  <c r="AA5" i="3"/>
  <c r="H371" i="11"/>
  <c r="H402" i="11"/>
  <c r="T370" i="11"/>
  <c r="Y370" i="11" s="1"/>
  <c r="G371" i="11"/>
  <c r="G402" i="11"/>
  <c r="H324" i="11"/>
  <c r="H346" i="11"/>
  <c r="T323" i="11"/>
  <c r="Y323" i="11" s="1"/>
  <c r="G324" i="11"/>
  <c r="G346" i="11"/>
  <c r="H275" i="11"/>
  <c r="H298" i="11"/>
  <c r="T274" i="11"/>
  <c r="Y274" i="11" s="1"/>
  <c r="N222" i="11"/>
  <c r="L248" i="11" s="1"/>
  <c r="P247" i="11"/>
  <c r="M222" i="11"/>
  <c r="M248" i="11" s="1"/>
  <c r="Q247" i="11"/>
  <c r="H222" i="11"/>
  <c r="H247" i="11"/>
  <c r="T221" i="11"/>
  <c r="Y221" i="11" s="1"/>
  <c r="G222" i="11"/>
  <c r="G247" i="11"/>
  <c r="H164" i="11"/>
  <c r="H191" i="11"/>
  <c r="T163" i="11"/>
  <c r="Y163" i="11" s="1"/>
  <c r="N372" i="11"/>
  <c r="L403" i="11"/>
  <c r="P403" i="11" s="1"/>
  <c r="M372" i="11"/>
  <c r="M403" i="11"/>
  <c r="Q403" i="11" s="1"/>
  <c r="X371" i="11"/>
  <c r="S403" i="11"/>
  <c r="L371" i="11"/>
  <c r="K402" i="11"/>
  <c r="X324" i="11"/>
  <c r="S347" i="11"/>
  <c r="L324" i="11"/>
  <c r="K346" i="11"/>
  <c r="M324" i="11"/>
  <c r="M346" i="11"/>
  <c r="Q346" i="11" s="1"/>
  <c r="N324" i="11"/>
  <c r="L346" i="11"/>
  <c r="P346" i="11" s="1"/>
  <c r="N275" i="11"/>
  <c r="L298" i="11"/>
  <c r="P298" i="11" s="1"/>
  <c r="L275" i="11"/>
  <c r="K298" i="11"/>
  <c r="M275" i="11"/>
  <c r="M298" i="11"/>
  <c r="Q298" i="11" s="1"/>
  <c r="X221" i="11"/>
  <c r="S247" i="11"/>
  <c r="X165" i="11"/>
  <c r="S193" i="11"/>
  <c r="L103" i="11"/>
  <c r="K132" i="11"/>
  <c r="M103" i="11"/>
  <c r="M132" i="11"/>
  <c r="Q132" i="11" s="1"/>
  <c r="G103" i="11"/>
  <c r="O103" i="11" s="1"/>
  <c r="R133" i="11" s="1"/>
  <c r="G132" i="11"/>
  <c r="X103" i="11"/>
  <c r="S133" i="11"/>
  <c r="H103" i="11"/>
  <c r="H132" i="11"/>
  <c r="T102" i="11"/>
  <c r="Y102" i="11" s="1"/>
  <c r="N103" i="11"/>
  <c r="L132" i="11"/>
  <c r="P132" i="11" s="1"/>
  <c r="H46" i="11"/>
  <c r="H74" i="11"/>
  <c r="T45" i="11"/>
  <c r="Y45" i="11" s="1"/>
  <c r="G45" i="11"/>
  <c r="O45" i="11" s="1"/>
  <c r="R74" i="11" s="1"/>
  <c r="G73" i="11"/>
  <c r="M45" i="11"/>
  <c r="M73" i="11"/>
  <c r="Q73" i="11" s="1"/>
  <c r="N45" i="11"/>
  <c r="L73" i="11"/>
  <c r="P73" i="11" s="1"/>
  <c r="X45" i="11"/>
  <c r="S74" i="11"/>
  <c r="L45" i="11"/>
  <c r="K73" i="11"/>
  <c r="V17" i="9"/>
  <c r="U14" i="9"/>
  <c r="T43" i="9"/>
  <c r="Q17" i="9"/>
  <c r="AB43" i="9"/>
  <c r="Y14" i="9"/>
  <c r="W18" i="9"/>
  <c r="U45" i="9"/>
  <c r="Y45" i="9" s="1"/>
  <c r="U13" i="8"/>
  <c r="V27" i="8"/>
  <c r="V77" i="8"/>
  <c r="Z77" i="8" s="1"/>
  <c r="W27" i="8"/>
  <c r="U77" i="8"/>
  <c r="Y77" i="8" s="1"/>
  <c r="L7" i="7"/>
  <c r="L61" i="7" s="1"/>
  <c r="M61" i="7"/>
  <c r="W26" i="7"/>
  <c r="U70" i="7"/>
  <c r="Y70" i="7" s="1"/>
  <c r="Y18" i="7"/>
  <c r="AB66" i="7"/>
  <c r="X17" i="7"/>
  <c r="AA66" i="7" s="1"/>
  <c r="X11" i="7"/>
  <c r="AA63" i="7" s="1"/>
  <c r="P63" i="7"/>
  <c r="V26" i="7"/>
  <c r="V70" i="7"/>
  <c r="Z70" i="7" s="1"/>
  <c r="U20" i="7"/>
  <c r="U21" i="7" s="1"/>
  <c r="T67" i="7"/>
  <c r="Q89" i="6"/>
  <c r="Q18" i="6"/>
  <c r="Q19" i="6" s="1"/>
  <c r="Q90" i="6" s="1"/>
  <c r="Q31" i="6"/>
  <c r="Q97" i="6" s="1"/>
  <c r="L7" i="6"/>
  <c r="L84" i="6" s="1"/>
  <c r="M84" i="6"/>
  <c r="W33" i="6"/>
  <c r="Q48" i="6"/>
  <c r="Q107" i="6"/>
  <c r="V33" i="6"/>
  <c r="P48" i="6"/>
  <c r="P107" i="6"/>
  <c r="X47" i="6"/>
  <c r="AA107" i="6" s="1"/>
  <c r="Q60" i="5"/>
  <c r="Q111" i="5"/>
  <c r="M15" i="5"/>
  <c r="W16" i="5"/>
  <c r="U88" i="5"/>
  <c r="Y88" i="5" s="1"/>
  <c r="V45" i="5"/>
  <c r="W45" i="5"/>
  <c r="P16" i="5"/>
  <c r="P88" i="5"/>
  <c r="Q16" i="5"/>
  <c r="Q88" i="5"/>
  <c r="P45" i="5"/>
  <c r="U14" i="5"/>
  <c r="T87" i="5"/>
  <c r="Q45" i="5"/>
  <c r="V16" i="5"/>
  <c r="V88" i="5"/>
  <c r="Z88" i="5" s="1"/>
  <c r="N404" i="3"/>
  <c r="R404" i="3" s="1"/>
  <c r="N382" i="3"/>
  <c r="R382" i="3" s="1"/>
  <c r="N388" i="3"/>
  <c r="R388" i="3" s="1"/>
  <c r="N379" i="3"/>
  <c r="R379" i="3" s="1"/>
  <c r="N377" i="3"/>
  <c r="R377" i="3" s="1"/>
  <c r="N398" i="3"/>
  <c r="R398" i="3" s="1"/>
  <c r="N385" i="3"/>
  <c r="R385" i="3" s="1"/>
  <c r="N401" i="3"/>
  <c r="R401" i="3" s="1"/>
  <c r="N371" i="3"/>
  <c r="R371" i="3" s="1"/>
  <c r="N380" i="3"/>
  <c r="R380" i="3" s="1"/>
  <c r="N399" i="3"/>
  <c r="R399" i="3" s="1"/>
  <c r="N400" i="3"/>
  <c r="R400" i="3" s="1"/>
  <c r="N394" i="3"/>
  <c r="R394" i="3" s="1"/>
  <c r="N383" i="3"/>
  <c r="R383" i="3" s="1"/>
  <c r="N402" i="3"/>
  <c r="R402" i="3" s="1"/>
  <c r="N387" i="3"/>
  <c r="R387" i="3" s="1"/>
  <c r="N386" i="3"/>
  <c r="R386" i="3" s="1"/>
  <c r="N378" i="3"/>
  <c r="R378" i="3" s="1"/>
  <c r="N381" i="3"/>
  <c r="R381" i="3" s="1"/>
  <c r="N389" i="3"/>
  <c r="R389" i="3" s="1"/>
  <c r="N384" i="3"/>
  <c r="R384" i="3" s="1"/>
  <c r="N393" i="3"/>
  <c r="R393" i="3" s="1"/>
  <c r="N405" i="3"/>
  <c r="R405" i="3" s="1"/>
  <c r="N392" i="3"/>
  <c r="R392" i="3" s="1"/>
  <c r="N390" i="3"/>
  <c r="R390" i="3" s="1"/>
  <c r="N403" i="3"/>
  <c r="R403" i="3" s="1"/>
  <c r="N391" i="3"/>
  <c r="R391" i="3" s="1"/>
  <c r="N395" i="3"/>
  <c r="R395" i="3" s="1"/>
  <c r="N397" i="3"/>
  <c r="R397" i="3" s="1"/>
  <c r="N333" i="3"/>
  <c r="R333" i="3" s="1"/>
  <c r="Z279" i="11"/>
  <c r="AB13" i="9"/>
  <c r="M65" i="9" s="1"/>
  <c r="N65" i="9"/>
  <c r="L65" i="9" s="1"/>
  <c r="AB11" i="8"/>
  <c r="M106" i="8" s="1"/>
  <c r="N106" i="8"/>
  <c r="L106" i="8" s="1"/>
  <c r="AA43" i="7"/>
  <c r="N135" i="7" s="1"/>
  <c r="G43" i="7"/>
  <c r="AB10" i="6"/>
  <c r="M140" i="6" s="1"/>
  <c r="L140" i="6"/>
  <c r="N140" i="6"/>
  <c r="F11" i="6"/>
  <c r="AA11" i="6" s="1"/>
  <c r="G10" i="6"/>
  <c r="V17" i="3"/>
  <c r="G421" i="3"/>
  <c r="V14" i="3"/>
  <c r="V13" i="3"/>
  <c r="G418" i="3"/>
  <c r="V18" i="3"/>
  <c r="V15" i="3"/>
  <c r="G419" i="3"/>
  <c r="V12" i="3"/>
  <c r="X6" i="3"/>
  <c r="G10" i="1"/>
  <c r="I10" i="1" s="1"/>
  <c r="W7" i="3"/>
  <c r="F414" i="3" s="1"/>
  <c r="P134" i="5"/>
  <c r="N134" i="5"/>
  <c r="Y13" i="5"/>
  <c r="AB87" i="5" s="1"/>
  <c r="X12" i="5"/>
  <c r="P372" i="11"/>
  <c r="O371" i="11"/>
  <c r="R403" i="11" s="1"/>
  <c r="J373" i="11"/>
  <c r="K372" i="11"/>
  <c r="J404" i="11" s="1"/>
  <c r="P325" i="11"/>
  <c r="O324" i="11"/>
  <c r="R347" i="11" s="1"/>
  <c r="J326" i="11"/>
  <c r="K325" i="11"/>
  <c r="J348" i="11" s="1"/>
  <c r="S280" i="11"/>
  <c r="Q280" i="11"/>
  <c r="AA280" i="11" s="1"/>
  <c r="J277" i="11"/>
  <c r="K276" i="11"/>
  <c r="J300" i="11" s="1"/>
  <c r="G276" i="11"/>
  <c r="G300" i="11" s="1"/>
  <c r="O275" i="11"/>
  <c r="R299" i="11" s="1"/>
  <c r="J223" i="11"/>
  <c r="K222" i="11"/>
  <c r="J248" i="11" s="1"/>
  <c r="P222" i="11"/>
  <c r="O221" i="11"/>
  <c r="R247" i="11" s="1"/>
  <c r="K103" i="11"/>
  <c r="J133" i="11" s="1"/>
  <c r="J104" i="11"/>
  <c r="K163" i="11"/>
  <c r="J191" i="11" s="1"/>
  <c r="J164" i="11"/>
  <c r="P166" i="11"/>
  <c r="P104" i="11"/>
  <c r="K46" i="11"/>
  <c r="J75" i="11" s="1"/>
  <c r="J48" i="11"/>
  <c r="P46" i="11"/>
  <c r="X12" i="8"/>
  <c r="P19" i="8"/>
  <c r="X18" i="8"/>
  <c r="AA73" i="8" s="1"/>
  <c r="Q24" i="8"/>
  <c r="Q76" i="8" s="1"/>
  <c r="P21" i="7"/>
  <c r="P68" i="7" s="1"/>
  <c r="Q25" i="7"/>
  <c r="Q70" i="7" s="1"/>
  <c r="P30" i="6"/>
  <c r="X29" i="6"/>
  <c r="AA96" i="6" s="1"/>
  <c r="X12" i="6"/>
  <c r="P13" i="6"/>
  <c r="P87" i="6" s="1"/>
  <c r="AA8" i="5"/>
  <c r="F9" i="5"/>
  <c r="G8" i="5"/>
  <c r="AB7" i="5"/>
  <c r="O134" i="5" s="1"/>
  <c r="AD7" i="5"/>
  <c r="N6" i="7"/>
  <c r="O7" i="7"/>
  <c r="O61" i="7" s="1"/>
  <c r="M8" i="7"/>
  <c r="L8" i="7" s="1"/>
  <c r="F12" i="8"/>
  <c r="AA12" i="8" s="1"/>
  <c r="D25" i="14" s="1"/>
  <c r="G11" i="8"/>
  <c r="F44" i="7"/>
  <c r="X11" i="9"/>
  <c r="AA41" i="9" s="1"/>
  <c r="P12" i="9"/>
  <c r="P42" i="9" s="1"/>
  <c r="L9" i="4"/>
  <c r="M9" i="4" s="1"/>
  <c r="O7" i="6"/>
  <c r="O84" i="6" s="1"/>
  <c r="M8" i="6"/>
  <c r="L8" i="6" s="1"/>
  <c r="F14" i="9"/>
  <c r="AA14" i="9" s="1"/>
  <c r="G13" i="9"/>
  <c r="P35" i="6"/>
  <c r="P99" i="6" s="1"/>
  <c r="X34" i="6"/>
  <c r="Q35" i="6"/>
  <c r="Q99" i="6" s="1"/>
  <c r="Q20" i="6"/>
  <c r="X275" i="11" l="1"/>
  <c r="S299" i="11"/>
  <c r="P276" i="11"/>
  <c r="N165" i="11"/>
  <c r="L192" i="11"/>
  <c r="P192" i="11" s="1"/>
  <c r="M165" i="11"/>
  <c r="M192" i="11"/>
  <c r="Q192" i="11" s="1"/>
  <c r="G165" i="11"/>
  <c r="G192" i="11"/>
  <c r="O164" i="11"/>
  <c r="R192" i="11" s="1"/>
  <c r="L165" i="11"/>
  <c r="K192" i="11"/>
  <c r="L223" i="11"/>
  <c r="K248" i="11"/>
  <c r="D62" i="11"/>
  <c r="AB346" i="3" s="1"/>
  <c r="AB344" i="3"/>
  <c r="C33" i="11"/>
  <c r="D34" i="11"/>
  <c r="F33" i="11"/>
  <c r="F62" i="11" s="1"/>
  <c r="L66" i="8"/>
  <c r="AA341" i="3" s="1"/>
  <c r="N5" i="8"/>
  <c r="N66" i="8" s="1"/>
  <c r="L6" i="8"/>
  <c r="N6" i="8" s="1"/>
  <c r="O6" i="8"/>
  <c r="M7" i="8"/>
  <c r="D91" i="11"/>
  <c r="F41" i="4"/>
  <c r="N9" i="4"/>
  <c r="H372" i="11"/>
  <c r="H403" i="11"/>
  <c r="T371" i="11"/>
  <c r="Y371" i="11" s="1"/>
  <c r="G372" i="11"/>
  <c r="G403" i="11"/>
  <c r="H325" i="11"/>
  <c r="H347" i="11"/>
  <c r="T324" i="11"/>
  <c r="Y324" i="11" s="1"/>
  <c r="G325" i="11"/>
  <c r="G347" i="11"/>
  <c r="H276" i="11"/>
  <c r="H299" i="11"/>
  <c r="T275" i="11"/>
  <c r="Y275" i="11" s="1"/>
  <c r="N223" i="11"/>
  <c r="L249" i="11" s="1"/>
  <c r="P248" i="11"/>
  <c r="M223" i="11"/>
  <c r="M249" i="11" s="1"/>
  <c r="Q248" i="11"/>
  <c r="H223" i="11"/>
  <c r="H248" i="11"/>
  <c r="T222" i="11"/>
  <c r="Y222" i="11" s="1"/>
  <c r="G223" i="11"/>
  <c r="G248" i="11"/>
  <c r="H165" i="11"/>
  <c r="H192" i="11"/>
  <c r="T164" i="11"/>
  <c r="Y164" i="11" s="1"/>
  <c r="L372" i="11"/>
  <c r="K403" i="11"/>
  <c r="M373" i="11"/>
  <c r="M404" i="11"/>
  <c r="Q404" i="11" s="1"/>
  <c r="X372" i="11"/>
  <c r="S404" i="11"/>
  <c r="N373" i="11"/>
  <c r="L404" i="11"/>
  <c r="P404" i="11" s="1"/>
  <c r="N325" i="11"/>
  <c r="L347" i="11"/>
  <c r="P347" i="11" s="1"/>
  <c r="M325" i="11"/>
  <c r="M347" i="11"/>
  <c r="Q347" i="11" s="1"/>
  <c r="L325" i="11"/>
  <c r="K347" i="11"/>
  <c r="X325" i="11"/>
  <c r="S348" i="11"/>
  <c r="M276" i="11"/>
  <c r="M299" i="11"/>
  <c r="Q299" i="11" s="1"/>
  <c r="L276" i="11"/>
  <c r="K299" i="11"/>
  <c r="N276" i="11"/>
  <c r="L299" i="11"/>
  <c r="P299" i="11" s="1"/>
  <c r="X222" i="11"/>
  <c r="S248" i="11"/>
  <c r="X166" i="11"/>
  <c r="S194" i="11"/>
  <c r="H104" i="11"/>
  <c r="H133" i="11"/>
  <c r="T103" i="11"/>
  <c r="Y103" i="11" s="1"/>
  <c r="G104" i="11"/>
  <c r="G133" i="11"/>
  <c r="X104" i="11"/>
  <c r="S134" i="11"/>
  <c r="M104" i="11"/>
  <c r="M133" i="11"/>
  <c r="Q133" i="11" s="1"/>
  <c r="N104" i="11"/>
  <c r="L133" i="11"/>
  <c r="P133" i="11" s="1"/>
  <c r="L104" i="11"/>
  <c r="K133" i="11"/>
  <c r="N46" i="11"/>
  <c r="L74" i="11"/>
  <c r="P74" i="11" s="1"/>
  <c r="M46" i="11"/>
  <c r="M74" i="11"/>
  <c r="Q74" i="11" s="1"/>
  <c r="X46" i="11"/>
  <c r="S75" i="11"/>
  <c r="G46" i="11"/>
  <c r="G75" i="11" s="1"/>
  <c r="G74" i="11"/>
  <c r="L46" i="11"/>
  <c r="K74" i="11"/>
  <c r="H75" i="11"/>
  <c r="T46" i="11"/>
  <c r="Y46" i="11" s="1"/>
  <c r="W19" i="9"/>
  <c r="Y15" i="9"/>
  <c r="Q18" i="9"/>
  <c r="Q45" i="9"/>
  <c r="U15" i="9"/>
  <c r="V18" i="9"/>
  <c r="V45" i="9"/>
  <c r="Z45" i="9" s="1"/>
  <c r="W28" i="8"/>
  <c r="V28" i="8"/>
  <c r="U14" i="8"/>
  <c r="V27" i="7"/>
  <c r="Y19" i="7"/>
  <c r="X18" i="7"/>
  <c r="W27" i="7"/>
  <c r="U22" i="7"/>
  <c r="T68" i="7"/>
  <c r="V34" i="6"/>
  <c r="V98" i="6"/>
  <c r="Z98" i="6" s="1"/>
  <c r="Q49" i="6"/>
  <c r="W34" i="6"/>
  <c r="U98" i="6"/>
  <c r="Y98" i="6" s="1"/>
  <c r="N7" i="6"/>
  <c r="N84" i="6" s="1"/>
  <c r="P49" i="6"/>
  <c r="X48" i="6"/>
  <c r="G11" i="6"/>
  <c r="F12" i="6"/>
  <c r="AA12" i="6" s="1"/>
  <c r="AB12" i="6" s="1"/>
  <c r="M143" i="6" s="1"/>
  <c r="V17" i="5"/>
  <c r="P17" i="5"/>
  <c r="Q46" i="5"/>
  <c r="Q103" i="5"/>
  <c r="W46" i="5"/>
  <c r="U103" i="5"/>
  <c r="Y103" i="5" s="1"/>
  <c r="U15" i="5"/>
  <c r="V46" i="5"/>
  <c r="V103" i="5"/>
  <c r="Z103" i="5" s="1"/>
  <c r="W17" i="5"/>
  <c r="P46" i="5"/>
  <c r="P103" i="5"/>
  <c r="M16" i="5"/>
  <c r="M88" i="5"/>
  <c r="Q17" i="5"/>
  <c r="Q61" i="5"/>
  <c r="Z280" i="11"/>
  <c r="AB14" i="9"/>
  <c r="M66" i="9" s="1"/>
  <c r="N66" i="9"/>
  <c r="L66" i="9" s="1"/>
  <c r="AB12" i="8"/>
  <c r="M108" i="8" s="1"/>
  <c r="N108" i="8"/>
  <c r="L108" i="8" s="1"/>
  <c r="AA44" i="7"/>
  <c r="N136" i="7" s="1"/>
  <c r="G44" i="7"/>
  <c r="N141" i="6"/>
  <c r="L141" i="6"/>
  <c r="AB11" i="6"/>
  <c r="M141" i="6" s="1"/>
  <c r="X7" i="3"/>
  <c r="E414" i="3" s="1"/>
  <c r="D414" i="3"/>
  <c r="G11" i="1"/>
  <c r="I11" i="1" s="1"/>
  <c r="W8" i="3"/>
  <c r="P135" i="5"/>
  <c r="N135" i="5"/>
  <c r="Y14" i="5"/>
  <c r="X13" i="5"/>
  <c r="AA87" i="5" s="1"/>
  <c r="K373" i="11"/>
  <c r="J405" i="11" s="1"/>
  <c r="J374" i="11"/>
  <c r="O372" i="11"/>
  <c r="R404" i="11" s="1"/>
  <c r="P373" i="11"/>
  <c r="K326" i="11"/>
  <c r="J349" i="11" s="1"/>
  <c r="J327" i="11"/>
  <c r="O325" i="11"/>
  <c r="R348" i="11" s="1"/>
  <c r="P326" i="11"/>
  <c r="S281" i="11"/>
  <c r="Q281" i="11"/>
  <c r="AA281" i="11" s="1"/>
  <c r="G277" i="11"/>
  <c r="G301" i="11" s="1"/>
  <c r="O276" i="11"/>
  <c r="R300" i="11" s="1"/>
  <c r="J278" i="11"/>
  <c r="K277" i="11"/>
  <c r="J301" i="11" s="1"/>
  <c r="P223" i="11"/>
  <c r="O222" i="11"/>
  <c r="R248" i="11" s="1"/>
  <c r="J224" i="11"/>
  <c r="K223" i="11"/>
  <c r="J249" i="11" s="1"/>
  <c r="J105" i="11"/>
  <c r="K104" i="11"/>
  <c r="J134" i="11" s="1"/>
  <c r="P167" i="11"/>
  <c r="J165" i="11"/>
  <c r="K164" i="11"/>
  <c r="J192" i="11" s="1"/>
  <c r="O104" i="11"/>
  <c r="R134" i="11" s="1"/>
  <c r="P105" i="11"/>
  <c r="J49" i="11"/>
  <c r="K48" i="11"/>
  <c r="J77" i="11" s="1"/>
  <c r="P70" i="8"/>
  <c r="X13" i="8"/>
  <c r="Q25" i="8"/>
  <c r="P20" i="8"/>
  <c r="P74" i="8" s="1"/>
  <c r="X19" i="8"/>
  <c r="P22" i="7"/>
  <c r="Q26" i="7"/>
  <c r="P31" i="6"/>
  <c r="X30" i="6"/>
  <c r="P14" i="6"/>
  <c r="X13" i="6"/>
  <c r="AA87" i="6" s="1"/>
  <c r="AA9" i="5"/>
  <c r="F10" i="5"/>
  <c r="G9" i="5"/>
  <c r="AB8" i="5"/>
  <c r="O135" i="5" s="1"/>
  <c r="AD8" i="5"/>
  <c r="O8" i="7"/>
  <c r="M9" i="7"/>
  <c r="N7" i="7"/>
  <c r="N61" i="7" s="1"/>
  <c r="F13" i="8"/>
  <c r="AA13" i="8" s="1"/>
  <c r="F25" i="14" s="1"/>
  <c r="E25" i="14" s="1"/>
  <c r="G12" i="8"/>
  <c r="F45" i="7"/>
  <c r="X12" i="9"/>
  <c r="AA42" i="9" s="1"/>
  <c r="N8" i="6"/>
  <c r="O8" i="6"/>
  <c r="M9" i="6"/>
  <c r="L10" i="4"/>
  <c r="M10" i="4" s="1"/>
  <c r="F15" i="9"/>
  <c r="AA15" i="9" s="1"/>
  <c r="G14" i="9"/>
  <c r="Q36" i="6"/>
  <c r="Q100" i="6" s="1"/>
  <c r="X35" i="6"/>
  <c r="AA99" i="6" s="1"/>
  <c r="P36" i="6"/>
  <c r="Q21" i="6"/>
  <c r="Q91" i="6" s="1"/>
  <c r="L224" i="11" l="1"/>
  <c r="K249" i="11"/>
  <c r="D152" i="11"/>
  <c r="F42" i="4"/>
  <c r="N10" i="4"/>
  <c r="L166" i="11"/>
  <c r="K193" i="11"/>
  <c r="G166" i="11"/>
  <c r="G193" i="11"/>
  <c r="O165" i="11"/>
  <c r="R193" i="11" s="1"/>
  <c r="AA344" i="3"/>
  <c r="E33" i="11"/>
  <c r="E62" i="11" s="1"/>
  <c r="C62" i="11"/>
  <c r="AA346" i="3" s="1"/>
  <c r="M166" i="11"/>
  <c r="M193" i="11"/>
  <c r="Q193" i="11" s="1"/>
  <c r="D63" i="11"/>
  <c r="C34" i="11"/>
  <c r="F34" i="11"/>
  <c r="F63" i="11" s="1"/>
  <c r="D35" i="11"/>
  <c r="N166" i="11"/>
  <c r="L193" i="11"/>
  <c r="P193" i="11" s="1"/>
  <c r="D121" i="11"/>
  <c r="AB347" i="3" s="1"/>
  <c r="D92" i="11"/>
  <c r="F91" i="11"/>
  <c r="F121" i="11" s="1"/>
  <c r="C91" i="11"/>
  <c r="P277" i="11"/>
  <c r="X276" i="11"/>
  <c r="S300" i="11"/>
  <c r="O7" i="8"/>
  <c r="O67" i="8" s="1"/>
  <c r="L7" i="8"/>
  <c r="M67" i="8"/>
  <c r="M8" i="8"/>
  <c r="H373" i="11"/>
  <c r="H404" i="11"/>
  <c r="T372" i="11"/>
  <c r="Y372" i="11" s="1"/>
  <c r="G373" i="11"/>
  <c r="O373" i="11" s="1"/>
  <c r="R405" i="11" s="1"/>
  <c r="G404" i="11"/>
  <c r="H326" i="11"/>
  <c r="H348" i="11"/>
  <c r="T325" i="11"/>
  <c r="Y325" i="11" s="1"/>
  <c r="G326" i="11"/>
  <c r="O326" i="11" s="1"/>
  <c r="R349" i="11" s="1"/>
  <c r="G348" i="11"/>
  <c r="H277" i="11"/>
  <c r="H300" i="11"/>
  <c r="T276" i="11"/>
  <c r="Y276" i="11" s="1"/>
  <c r="N224" i="11"/>
  <c r="L250" i="11" s="1"/>
  <c r="P249" i="11"/>
  <c r="M224" i="11"/>
  <c r="M250" i="11" s="1"/>
  <c r="Q249" i="11"/>
  <c r="H224" i="11"/>
  <c r="H249" i="11"/>
  <c r="T223" i="11"/>
  <c r="Y223" i="11" s="1"/>
  <c r="G224" i="11"/>
  <c r="G249" i="11"/>
  <c r="H166" i="11"/>
  <c r="H193" i="11"/>
  <c r="T165" i="11"/>
  <c r="Y165" i="11" s="1"/>
  <c r="N375" i="11"/>
  <c r="L405" i="11"/>
  <c r="P405" i="11" s="1"/>
  <c r="M375" i="11"/>
  <c r="M405" i="11"/>
  <c r="Q405" i="11" s="1"/>
  <c r="X373" i="11"/>
  <c r="S405" i="11"/>
  <c r="L373" i="11"/>
  <c r="K404" i="11"/>
  <c r="X326" i="11"/>
  <c r="S349" i="11"/>
  <c r="L326" i="11"/>
  <c r="K348" i="11"/>
  <c r="M326" i="11"/>
  <c r="M348" i="11"/>
  <c r="Q348" i="11" s="1"/>
  <c r="N326" i="11"/>
  <c r="L348" i="11"/>
  <c r="P348" i="11" s="1"/>
  <c r="N277" i="11"/>
  <c r="L300" i="11"/>
  <c r="P300" i="11" s="1"/>
  <c r="L277" i="11"/>
  <c r="K300" i="11"/>
  <c r="M277" i="11"/>
  <c r="M300" i="11"/>
  <c r="Q300" i="11" s="1"/>
  <c r="X223" i="11"/>
  <c r="S249" i="11"/>
  <c r="X167" i="11"/>
  <c r="S195" i="11"/>
  <c r="N105" i="11"/>
  <c r="L134" i="11"/>
  <c r="P134" i="11" s="1"/>
  <c r="X105" i="11"/>
  <c r="S135" i="11"/>
  <c r="M105" i="11"/>
  <c r="M134" i="11"/>
  <c r="Q134" i="11" s="1"/>
  <c r="G105" i="11"/>
  <c r="O105" i="11" s="1"/>
  <c r="R135" i="11" s="1"/>
  <c r="G134" i="11"/>
  <c r="L105" i="11"/>
  <c r="K134" i="11"/>
  <c r="O46" i="11"/>
  <c r="R75" i="11" s="1"/>
  <c r="H105" i="11"/>
  <c r="H134" i="11"/>
  <c r="T104" i="11"/>
  <c r="Y104" i="11" s="1"/>
  <c r="L49" i="11"/>
  <c r="K75" i="11"/>
  <c r="M51" i="11"/>
  <c r="M75" i="11"/>
  <c r="Q75" i="11" s="1"/>
  <c r="N51" i="11"/>
  <c r="L75" i="11"/>
  <c r="P75" i="11" s="1"/>
  <c r="V19" i="9"/>
  <c r="U16" i="9"/>
  <c r="T44" i="9"/>
  <c r="Q19" i="9"/>
  <c r="AB44" i="9"/>
  <c r="Y16" i="9"/>
  <c r="W20" i="9"/>
  <c r="U46" i="9"/>
  <c r="Y46" i="9" s="1"/>
  <c r="U15" i="8"/>
  <c r="T70" i="8"/>
  <c r="V29" i="8"/>
  <c r="V78" i="8"/>
  <c r="Z78" i="8" s="1"/>
  <c r="Q70" i="8"/>
  <c r="W29" i="8"/>
  <c r="U78" i="8"/>
  <c r="Y78" i="8" s="1"/>
  <c r="G25" i="14"/>
  <c r="U23" i="7"/>
  <c r="W28" i="7"/>
  <c r="U71" i="7"/>
  <c r="Y71" i="7" s="1"/>
  <c r="Y20" i="7"/>
  <c r="AB67" i="7"/>
  <c r="X19" i="7"/>
  <c r="AA67" i="7" s="1"/>
  <c r="L9" i="7"/>
  <c r="L62" i="7" s="1"/>
  <c r="M62" i="7"/>
  <c r="V28" i="7"/>
  <c r="V71" i="7"/>
  <c r="Z71" i="7" s="1"/>
  <c r="F13" i="6"/>
  <c r="AA13" i="6" s="1"/>
  <c r="N144" i="6" s="1"/>
  <c r="N143" i="6"/>
  <c r="G12" i="6"/>
  <c r="L143" i="6"/>
  <c r="X31" i="6"/>
  <c r="AA97" i="6" s="1"/>
  <c r="P97" i="6"/>
  <c r="L9" i="6"/>
  <c r="L85" i="6" s="1"/>
  <c r="M85" i="6"/>
  <c r="P50" i="6"/>
  <c r="P108" i="6"/>
  <c r="X49" i="6"/>
  <c r="AA108" i="6" s="1"/>
  <c r="W35" i="6"/>
  <c r="Q50" i="6"/>
  <c r="Q108" i="6"/>
  <c r="X36" i="6"/>
  <c r="AA100" i="6" s="1"/>
  <c r="P100" i="6"/>
  <c r="V35" i="6"/>
  <c r="V47" i="5"/>
  <c r="U16" i="5"/>
  <c r="T88" i="5"/>
  <c r="Q18" i="5"/>
  <c r="M17" i="5"/>
  <c r="W47" i="5"/>
  <c r="Q62" i="5"/>
  <c r="Q112" i="5"/>
  <c r="P47" i="5"/>
  <c r="Q47" i="5"/>
  <c r="W18" i="5"/>
  <c r="P18" i="5"/>
  <c r="V18" i="5"/>
  <c r="Z281" i="11"/>
  <c r="AB15" i="9"/>
  <c r="M67" i="9" s="1"/>
  <c r="N67" i="9"/>
  <c r="L67" i="9" s="1"/>
  <c r="AB13" i="8"/>
  <c r="M109" i="8" s="1"/>
  <c r="N109" i="8"/>
  <c r="L109" i="8" s="1"/>
  <c r="AA45" i="7"/>
  <c r="N137" i="7" s="1"/>
  <c r="G45" i="7"/>
  <c r="X8" i="3"/>
  <c r="W9" i="3"/>
  <c r="F415" i="3" s="1"/>
  <c r="P136" i="5"/>
  <c r="N136" i="5"/>
  <c r="Y15" i="5"/>
  <c r="AB88" i="5" s="1"/>
  <c r="X14" i="5"/>
  <c r="P374" i="11"/>
  <c r="S406" i="11" s="1"/>
  <c r="K374" i="11"/>
  <c r="J406" i="11" s="1"/>
  <c r="J328" i="11"/>
  <c r="K327" i="11"/>
  <c r="J350" i="11" s="1"/>
  <c r="P327" i="11"/>
  <c r="S282" i="11"/>
  <c r="Q282" i="11"/>
  <c r="AA282" i="11" s="1"/>
  <c r="J279" i="11"/>
  <c r="K278" i="11"/>
  <c r="J302" i="11" s="1"/>
  <c r="G278" i="11"/>
  <c r="G302" i="11" s="1"/>
  <c r="O277" i="11"/>
  <c r="R301" i="11" s="1"/>
  <c r="P224" i="11"/>
  <c r="O223" i="11"/>
  <c r="R249" i="11" s="1"/>
  <c r="J225" i="11"/>
  <c r="K224" i="11"/>
  <c r="J250" i="11" s="1"/>
  <c r="K105" i="11"/>
  <c r="J135" i="11" s="1"/>
  <c r="J106" i="11"/>
  <c r="K165" i="11"/>
  <c r="J193" i="11" s="1"/>
  <c r="J166" i="11"/>
  <c r="P168" i="11"/>
  <c r="P106" i="11"/>
  <c r="J50" i="11"/>
  <c r="K49" i="11"/>
  <c r="J78" i="11" s="1"/>
  <c r="P49" i="11"/>
  <c r="O48" i="11"/>
  <c r="R77" i="11" s="1"/>
  <c r="X14" i="8"/>
  <c r="AA70" i="8" s="1"/>
  <c r="P21" i="8"/>
  <c r="X20" i="8"/>
  <c r="AA74" i="8" s="1"/>
  <c r="Q26" i="8"/>
  <c r="Q77" i="8" s="1"/>
  <c r="Q27" i="7"/>
  <c r="Q71" i="7" s="1"/>
  <c r="P23" i="7"/>
  <c r="P69" i="7" s="1"/>
  <c r="P15" i="6"/>
  <c r="P88" i="6" s="1"/>
  <c r="X14" i="6"/>
  <c r="AA10" i="5"/>
  <c r="F11" i="5"/>
  <c r="G10" i="5"/>
  <c r="AB9" i="5"/>
  <c r="O136" i="5" s="1"/>
  <c r="AD9" i="5"/>
  <c r="O9" i="7"/>
  <c r="O62" i="7" s="1"/>
  <c r="M10" i="7"/>
  <c r="L10" i="7" s="1"/>
  <c r="N8" i="7"/>
  <c r="F14" i="8"/>
  <c r="AA14" i="8" s="1"/>
  <c r="G13" i="8"/>
  <c r="F46" i="7"/>
  <c r="P14" i="9"/>
  <c r="X13" i="9"/>
  <c r="AA43" i="9" s="1"/>
  <c r="L11" i="4"/>
  <c r="M11" i="4" s="1"/>
  <c r="O9" i="6"/>
  <c r="O85" i="6" s="1"/>
  <c r="M10" i="6"/>
  <c r="L10" i="6" s="1"/>
  <c r="F16" i="9"/>
  <c r="AA16" i="9" s="1"/>
  <c r="G15" i="9"/>
  <c r="Q22" i="6"/>
  <c r="Q92" i="6" s="1"/>
  <c r="D14" i="2"/>
  <c r="N167" i="11" l="1"/>
  <c r="L194" i="11"/>
  <c r="P194" i="11" s="1"/>
  <c r="D64" i="11"/>
  <c r="D36" i="11"/>
  <c r="F35" i="11"/>
  <c r="F64" i="11" s="1"/>
  <c r="C35" i="11"/>
  <c r="AB13" i="6"/>
  <c r="M144" i="6" s="1"/>
  <c r="L144" i="6"/>
  <c r="I12" i="1"/>
  <c r="L8" i="8"/>
  <c r="N8" i="8" s="1"/>
  <c r="M9" i="8"/>
  <c r="O8" i="8"/>
  <c r="L67" i="8"/>
  <c r="N7" i="8"/>
  <c r="N67" i="8" s="1"/>
  <c r="G167" i="11"/>
  <c r="G194" i="11"/>
  <c r="O166" i="11"/>
  <c r="R194" i="11" s="1"/>
  <c r="F14" i="6"/>
  <c r="AA14" i="6" s="1"/>
  <c r="L167" i="11"/>
  <c r="K194" i="11"/>
  <c r="C63" i="11"/>
  <c r="E34" i="11"/>
  <c r="E63" i="11" s="1"/>
  <c r="X277" i="11"/>
  <c r="S301" i="11"/>
  <c r="P278" i="11"/>
  <c r="D210" i="11"/>
  <c r="F43" i="4"/>
  <c r="N11" i="4"/>
  <c r="E91" i="11"/>
  <c r="E121" i="11" s="1"/>
  <c r="C121" i="11"/>
  <c r="AA347" i="3" s="1"/>
  <c r="D180" i="11"/>
  <c r="C152" i="11"/>
  <c r="D153" i="11"/>
  <c r="F152" i="11"/>
  <c r="F180" i="11" s="1"/>
  <c r="M167" i="11"/>
  <c r="M194" i="11"/>
  <c r="Q194" i="11" s="1"/>
  <c r="G13" i="6"/>
  <c r="N9" i="6"/>
  <c r="N85" i="6" s="1"/>
  <c r="D122" i="11"/>
  <c r="D93" i="11"/>
  <c r="F92" i="11"/>
  <c r="F122" i="11" s="1"/>
  <c r="C92" i="11"/>
  <c r="L225" i="11"/>
  <c r="K250" i="11"/>
  <c r="H375" i="11"/>
  <c r="H405" i="11"/>
  <c r="T373" i="11"/>
  <c r="Y373" i="11" s="1"/>
  <c r="G375" i="11"/>
  <c r="G405" i="11"/>
  <c r="H327" i="11"/>
  <c r="H349" i="11"/>
  <c r="T326" i="11"/>
  <c r="Y326" i="11" s="1"/>
  <c r="G327" i="11"/>
  <c r="G349" i="11"/>
  <c r="H278" i="11"/>
  <c r="H301" i="11"/>
  <c r="T277" i="11"/>
  <c r="Y277" i="11" s="1"/>
  <c r="N225" i="11"/>
  <c r="L251" i="11" s="1"/>
  <c r="P250" i="11"/>
  <c r="M225" i="11"/>
  <c r="M251" i="11" s="1"/>
  <c r="Q250" i="11"/>
  <c r="H225" i="11"/>
  <c r="H250" i="11"/>
  <c r="T224" i="11"/>
  <c r="Y224" i="11" s="1"/>
  <c r="G225" i="11"/>
  <c r="G250" i="11"/>
  <c r="H167" i="11"/>
  <c r="H194" i="11"/>
  <c r="T166" i="11"/>
  <c r="Y166" i="11" s="1"/>
  <c r="L374" i="11"/>
  <c r="K405" i="11"/>
  <c r="M376" i="11"/>
  <c r="M407" i="11"/>
  <c r="Q407" i="11" s="1"/>
  <c r="N376" i="11"/>
  <c r="L407" i="11"/>
  <c r="P407" i="11" s="1"/>
  <c r="N327" i="11"/>
  <c r="L349" i="11"/>
  <c r="P349" i="11" s="1"/>
  <c r="M327" i="11"/>
  <c r="M349" i="11"/>
  <c r="Q349" i="11" s="1"/>
  <c r="X327" i="11"/>
  <c r="S350" i="11"/>
  <c r="L327" i="11"/>
  <c r="K349" i="11"/>
  <c r="M278" i="11"/>
  <c r="M301" i="11"/>
  <c r="Q301" i="11" s="1"/>
  <c r="L278" i="11"/>
  <c r="K301" i="11"/>
  <c r="N278" i="11"/>
  <c r="L301" i="11"/>
  <c r="P301" i="11" s="1"/>
  <c r="X224" i="11"/>
  <c r="S250" i="11"/>
  <c r="X168" i="11"/>
  <c r="S196" i="11"/>
  <c r="L106" i="11"/>
  <c r="K135" i="11"/>
  <c r="G106" i="11"/>
  <c r="G135" i="11"/>
  <c r="X106" i="11"/>
  <c r="S136" i="11"/>
  <c r="M106" i="11"/>
  <c r="M135" i="11"/>
  <c r="Q135" i="11" s="1"/>
  <c r="H106" i="11"/>
  <c r="H135" i="11"/>
  <c r="T105" i="11"/>
  <c r="Y105" i="11" s="1"/>
  <c r="N106" i="11"/>
  <c r="L135" i="11"/>
  <c r="P135" i="11" s="1"/>
  <c r="N52" i="11"/>
  <c r="L80" i="11"/>
  <c r="P80" i="11" s="1"/>
  <c r="X48" i="11"/>
  <c r="S78" i="11"/>
  <c r="M52" i="11"/>
  <c r="M80" i="11"/>
  <c r="Q80" i="11" s="1"/>
  <c r="L50" i="11"/>
  <c r="K78" i="11"/>
  <c r="W21" i="9"/>
  <c r="Y17" i="9"/>
  <c r="Q46" i="9"/>
  <c r="Q20" i="9"/>
  <c r="U17" i="9"/>
  <c r="V20" i="9"/>
  <c r="V46" i="9"/>
  <c r="Z46" i="9" s="1"/>
  <c r="W30" i="8"/>
  <c r="Q71" i="8"/>
  <c r="V30" i="8"/>
  <c r="U16" i="8"/>
  <c r="V29" i="7"/>
  <c r="Y21" i="7"/>
  <c r="X20" i="7"/>
  <c r="W29" i="7"/>
  <c r="U24" i="7"/>
  <c r="T69" i="7"/>
  <c r="Q51" i="6"/>
  <c r="W36" i="6"/>
  <c r="W37" i="6" s="1"/>
  <c r="W38" i="6" s="1"/>
  <c r="U99" i="6"/>
  <c r="Y99" i="6" s="1"/>
  <c r="P51" i="6"/>
  <c r="X50" i="6"/>
  <c r="V36" i="6"/>
  <c r="V37" i="6" s="1"/>
  <c r="V38" i="6" s="1"/>
  <c r="V99" i="6"/>
  <c r="Z99" i="6" s="1"/>
  <c r="Q63" i="5"/>
  <c r="W48" i="5"/>
  <c r="U104" i="5"/>
  <c r="Y104" i="5" s="1"/>
  <c r="V19" i="5"/>
  <c r="P19" i="5"/>
  <c r="M18" i="5"/>
  <c r="W19" i="5"/>
  <c r="Q19" i="5"/>
  <c r="Q48" i="5"/>
  <c r="Q104" i="5"/>
  <c r="U17" i="5"/>
  <c r="P48" i="5"/>
  <c r="P104" i="5"/>
  <c r="V48" i="5"/>
  <c r="V104" i="5"/>
  <c r="Z104" i="5" s="1"/>
  <c r="P375" i="11"/>
  <c r="X374" i="11"/>
  <c r="Z282" i="11"/>
  <c r="AB16" i="9"/>
  <c r="M68" i="9" s="1"/>
  <c r="N68" i="9"/>
  <c r="L68" i="9" s="1"/>
  <c r="AB14" i="8"/>
  <c r="M110" i="8" s="1"/>
  <c r="N110" i="8"/>
  <c r="L110" i="8" s="1"/>
  <c r="AA46" i="7"/>
  <c r="N138" i="7" s="1"/>
  <c r="G46" i="7"/>
  <c r="N145" i="6"/>
  <c r="L145" i="6"/>
  <c r="AB14" i="6"/>
  <c r="M145" i="6" s="1"/>
  <c r="X9" i="3"/>
  <c r="E415" i="3" s="1"/>
  <c r="D415" i="3"/>
  <c r="W10" i="3"/>
  <c r="F416" i="3" s="1"/>
  <c r="P137" i="5"/>
  <c r="N137" i="5"/>
  <c r="Y16" i="5"/>
  <c r="X15" i="5"/>
  <c r="AA88" i="5" s="1"/>
  <c r="O374" i="11"/>
  <c r="R406" i="11" s="1"/>
  <c r="O327" i="11"/>
  <c r="R350" i="11" s="1"/>
  <c r="P328" i="11"/>
  <c r="K328" i="11"/>
  <c r="J351" i="11" s="1"/>
  <c r="J329" i="11"/>
  <c r="G279" i="11"/>
  <c r="G303" i="11" s="1"/>
  <c r="O278" i="11"/>
  <c r="R302" i="11" s="1"/>
  <c r="J280" i="11"/>
  <c r="K279" i="11"/>
  <c r="J303" i="11" s="1"/>
  <c r="J226" i="11"/>
  <c r="K225" i="11"/>
  <c r="J251" i="11" s="1"/>
  <c r="P225" i="11"/>
  <c r="O224" i="11"/>
  <c r="R250" i="11" s="1"/>
  <c r="K106" i="11"/>
  <c r="J136" i="11" s="1"/>
  <c r="J107" i="11"/>
  <c r="P169" i="11"/>
  <c r="J167" i="11"/>
  <c r="K166" i="11"/>
  <c r="J194" i="11" s="1"/>
  <c r="O106" i="11"/>
  <c r="R136" i="11" s="1"/>
  <c r="P107" i="11"/>
  <c r="J51" i="11"/>
  <c r="K50" i="11"/>
  <c r="J79" i="11" s="1"/>
  <c r="O49" i="11"/>
  <c r="R78" i="11" s="1"/>
  <c r="P50" i="11"/>
  <c r="X15" i="8"/>
  <c r="Q27" i="8"/>
  <c r="P22" i="8"/>
  <c r="P75" i="8" s="1"/>
  <c r="X21" i="8"/>
  <c r="O10" i="7"/>
  <c r="M11" i="7"/>
  <c r="P24" i="7"/>
  <c r="Q28" i="7"/>
  <c r="P16" i="6"/>
  <c r="X15" i="6"/>
  <c r="AA88" i="6" s="1"/>
  <c r="AA11" i="5"/>
  <c r="G11" i="5"/>
  <c r="F12" i="5"/>
  <c r="AB10" i="5"/>
  <c r="O137" i="5" s="1"/>
  <c r="AD10" i="5"/>
  <c r="N9" i="7"/>
  <c r="N62" i="7" s="1"/>
  <c r="F15" i="8"/>
  <c r="AA15" i="8" s="1"/>
  <c r="G14" i="8"/>
  <c r="F47" i="7"/>
  <c r="P15" i="9"/>
  <c r="P44" i="9" s="1"/>
  <c r="X14" i="9"/>
  <c r="M11" i="6"/>
  <c r="O10" i="6"/>
  <c r="N10" i="6"/>
  <c r="L12" i="4"/>
  <c r="M12" i="4" s="1"/>
  <c r="F17" i="9"/>
  <c r="AA17" i="9" s="1"/>
  <c r="G16" i="9"/>
  <c r="G14" i="6"/>
  <c r="F15" i="6"/>
  <c r="AA15" i="6" s="1"/>
  <c r="F4" i="1"/>
  <c r="F5" i="1"/>
  <c r="F6" i="1"/>
  <c r="F8" i="1"/>
  <c r="F9" i="1"/>
  <c r="F10" i="1"/>
  <c r="F11" i="1"/>
  <c r="F12" i="1"/>
  <c r="F21" i="1"/>
  <c r="F22" i="1"/>
  <c r="F23" i="1"/>
  <c r="F24" i="1"/>
  <c r="F25" i="1"/>
  <c r="F26" i="1"/>
  <c r="F31" i="1"/>
  <c r="F32" i="1"/>
  <c r="F33" i="1"/>
  <c r="F34" i="1"/>
  <c r="F35" i="1"/>
  <c r="F38" i="1"/>
  <c r="F39" i="1"/>
  <c r="F40" i="1"/>
  <c r="F41" i="1"/>
  <c r="F42" i="1"/>
  <c r="F43" i="1"/>
  <c r="F47" i="1"/>
  <c r="F48" i="1"/>
  <c r="F54" i="1"/>
  <c r="F55" i="1"/>
  <c r="F56" i="1"/>
  <c r="F57" i="1"/>
  <c r="F58" i="1"/>
  <c r="F59" i="1"/>
  <c r="F61" i="1"/>
  <c r="F62" i="1"/>
  <c r="F63" i="1"/>
  <c r="F64" i="1"/>
  <c r="F66" i="1"/>
  <c r="F67" i="1"/>
  <c r="F68" i="1"/>
  <c r="F69" i="1"/>
  <c r="F70" i="1"/>
  <c r="F71" i="1"/>
  <c r="F73" i="1"/>
  <c r="F74" i="1"/>
  <c r="F75" i="1"/>
  <c r="F76" i="1"/>
  <c r="F77" i="1"/>
  <c r="F78" i="1"/>
  <c r="F79" i="1"/>
  <c r="F80" i="1"/>
  <c r="F82" i="1"/>
  <c r="F83" i="1"/>
  <c r="F84" i="1"/>
  <c r="F85" i="1"/>
  <c r="F86" i="1"/>
  <c r="F87" i="1"/>
  <c r="F89" i="1"/>
  <c r="F93" i="1"/>
  <c r="F94" i="1"/>
  <c r="F95" i="1"/>
  <c r="F96" i="1"/>
  <c r="F98" i="1"/>
  <c r="F99" i="1"/>
  <c r="F100" i="1"/>
  <c r="F101" i="1"/>
  <c r="F102" i="1"/>
  <c r="F103" i="1"/>
  <c r="F104" i="1"/>
  <c r="F105" i="1"/>
  <c r="F107" i="1"/>
  <c r="F108" i="1"/>
  <c r="F109" i="1"/>
  <c r="F110" i="1"/>
  <c r="F111" i="1"/>
  <c r="F112" i="1"/>
  <c r="F114" i="1"/>
  <c r="F115" i="1"/>
  <c r="F116" i="1"/>
  <c r="F117" i="1"/>
  <c r="F118" i="1"/>
  <c r="F119" i="1"/>
  <c r="F120" i="1"/>
  <c r="F121" i="1"/>
  <c r="F123" i="1"/>
  <c r="F124" i="1"/>
  <c r="F125" i="1"/>
  <c r="F126" i="1"/>
  <c r="F127" i="1"/>
  <c r="F128" i="1"/>
  <c r="F129" i="1"/>
  <c r="F130" i="1"/>
  <c r="F132" i="1"/>
  <c r="F133" i="1"/>
  <c r="F134" i="1"/>
  <c r="F135" i="1"/>
  <c r="F136" i="1"/>
  <c r="F137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4" i="1"/>
  <c r="F155" i="1"/>
  <c r="F157" i="1"/>
  <c r="F158" i="1"/>
  <c r="F159" i="1"/>
  <c r="F160" i="1"/>
  <c r="F161" i="1"/>
  <c r="F164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2" i="1"/>
  <c r="F183" i="1"/>
  <c r="F184" i="1"/>
  <c r="F185" i="1"/>
  <c r="F186" i="1"/>
  <c r="F187" i="1"/>
  <c r="F188" i="1"/>
  <c r="F189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L226" i="11" l="1"/>
  <c r="K251" i="11"/>
  <c r="C122" i="11"/>
  <c r="E92" i="11"/>
  <c r="E122" i="11" s="1"/>
  <c r="L168" i="11"/>
  <c r="K195" i="11"/>
  <c r="D123" i="11"/>
  <c r="C93" i="11"/>
  <c r="D94" i="11"/>
  <c r="F93" i="11"/>
  <c r="F123" i="11" s="1"/>
  <c r="G168" i="11"/>
  <c r="G195" i="11"/>
  <c r="O167" i="11"/>
  <c r="R195" i="11" s="1"/>
  <c r="M168" i="11"/>
  <c r="M195" i="11"/>
  <c r="Q195" i="11" s="1"/>
  <c r="D181" i="11"/>
  <c r="F153" i="11"/>
  <c r="F181" i="11" s="1"/>
  <c r="D154" i="11"/>
  <c r="C153" i="11"/>
  <c r="M68" i="8"/>
  <c r="M10" i="8"/>
  <c r="O9" i="8"/>
  <c r="O68" i="8" s="1"/>
  <c r="L9" i="8"/>
  <c r="E152" i="11"/>
  <c r="E180" i="11" s="1"/>
  <c r="C180" i="11"/>
  <c r="I13" i="1"/>
  <c r="G14" i="1"/>
  <c r="I14" i="1" s="1"/>
  <c r="E35" i="11"/>
  <c r="E64" i="11" s="1"/>
  <c r="C64" i="11"/>
  <c r="C210" i="11"/>
  <c r="D211" i="11"/>
  <c r="F210" i="11"/>
  <c r="F236" i="11" s="1"/>
  <c r="D236" i="11"/>
  <c r="AB348" i="3"/>
  <c r="X278" i="11"/>
  <c r="S302" i="11"/>
  <c r="P279" i="11"/>
  <c r="D65" i="11"/>
  <c r="F36" i="11"/>
  <c r="F65" i="11" s="1"/>
  <c r="C36" i="11"/>
  <c r="D37" i="11"/>
  <c r="N12" i="4"/>
  <c r="D264" i="11"/>
  <c r="F44" i="4"/>
  <c r="N168" i="11"/>
  <c r="L195" i="11"/>
  <c r="P195" i="11" s="1"/>
  <c r="G376" i="11"/>
  <c r="G407" i="11"/>
  <c r="H376" i="11"/>
  <c r="H407" i="11"/>
  <c r="T375" i="11"/>
  <c r="Y375" i="11" s="1"/>
  <c r="H328" i="11"/>
  <c r="H350" i="11"/>
  <c r="T327" i="11"/>
  <c r="Y327" i="11" s="1"/>
  <c r="G328" i="11"/>
  <c r="G350" i="11"/>
  <c r="H279" i="11"/>
  <c r="H302" i="11"/>
  <c r="T278" i="11"/>
  <c r="Y278" i="11" s="1"/>
  <c r="N226" i="11"/>
  <c r="L252" i="11" s="1"/>
  <c r="P251" i="11"/>
  <c r="M226" i="11"/>
  <c r="M252" i="11" s="1"/>
  <c r="Q251" i="11"/>
  <c r="H226" i="11"/>
  <c r="H251" i="11"/>
  <c r="T225" i="11"/>
  <c r="Y225" i="11" s="1"/>
  <c r="G226" i="11"/>
  <c r="G251" i="11"/>
  <c r="H168" i="11"/>
  <c r="H195" i="11"/>
  <c r="T167" i="11"/>
  <c r="Y167" i="11" s="1"/>
  <c r="X375" i="11"/>
  <c r="S407" i="11"/>
  <c r="N377" i="11"/>
  <c r="L408" i="11"/>
  <c r="P408" i="11" s="1"/>
  <c r="M377" i="11"/>
  <c r="M408" i="11"/>
  <c r="Q408" i="11" s="1"/>
  <c r="L375" i="11"/>
  <c r="K406" i="11"/>
  <c r="X328" i="11"/>
  <c r="S351" i="11"/>
  <c r="L328" i="11"/>
  <c r="K350" i="11"/>
  <c r="M328" i="11"/>
  <c r="M350" i="11"/>
  <c r="Q350" i="11" s="1"/>
  <c r="N328" i="11"/>
  <c r="L350" i="11"/>
  <c r="P350" i="11" s="1"/>
  <c r="N279" i="11"/>
  <c r="L302" i="11"/>
  <c r="P302" i="11" s="1"/>
  <c r="L279" i="11"/>
  <c r="K302" i="11"/>
  <c r="M279" i="11"/>
  <c r="M302" i="11"/>
  <c r="Q302" i="11" s="1"/>
  <c r="X225" i="11"/>
  <c r="S251" i="11"/>
  <c r="X169" i="11"/>
  <c r="S197" i="11"/>
  <c r="X107" i="11"/>
  <c r="S137" i="11"/>
  <c r="H107" i="11"/>
  <c r="H136" i="11"/>
  <c r="T106" i="11"/>
  <c r="Y106" i="11" s="1"/>
  <c r="M107" i="11"/>
  <c r="M136" i="11"/>
  <c r="Q136" i="11" s="1"/>
  <c r="G107" i="11"/>
  <c r="G136" i="11"/>
  <c r="N107" i="11"/>
  <c r="L136" i="11"/>
  <c r="P136" i="11" s="1"/>
  <c r="L107" i="11"/>
  <c r="K136" i="11"/>
  <c r="X49" i="11"/>
  <c r="S79" i="11"/>
  <c r="L51" i="11"/>
  <c r="K79" i="11"/>
  <c r="M53" i="11"/>
  <c r="M81" i="11"/>
  <c r="Q81" i="11" s="1"/>
  <c r="N53" i="11"/>
  <c r="L81" i="11"/>
  <c r="P81" i="11" s="1"/>
  <c r="O375" i="11"/>
  <c r="R407" i="11" s="1"/>
  <c r="V21" i="9"/>
  <c r="U18" i="9"/>
  <c r="T45" i="9"/>
  <c r="Q21" i="9"/>
  <c r="AB45" i="9"/>
  <c r="Y18" i="9"/>
  <c r="W22" i="9"/>
  <c r="U47" i="9"/>
  <c r="Y47" i="9" s="1"/>
  <c r="U17" i="8"/>
  <c r="T71" i="8"/>
  <c r="V31" i="8"/>
  <c r="V79" i="8"/>
  <c r="Z79" i="8" s="1"/>
  <c r="X16" i="8"/>
  <c r="AA71" i="8" s="1"/>
  <c r="P71" i="8"/>
  <c r="W31" i="8"/>
  <c r="U79" i="8"/>
  <c r="Y79" i="8" s="1"/>
  <c r="U25" i="7"/>
  <c r="W30" i="7"/>
  <c r="U72" i="7"/>
  <c r="Y72" i="7" s="1"/>
  <c r="L11" i="7"/>
  <c r="L63" i="7" s="1"/>
  <c r="M63" i="7"/>
  <c r="Y22" i="7"/>
  <c r="AB68" i="7"/>
  <c r="X21" i="7"/>
  <c r="AA68" i="7" s="1"/>
  <c r="V30" i="7"/>
  <c r="V72" i="7"/>
  <c r="Z72" i="7" s="1"/>
  <c r="V100" i="6"/>
  <c r="Z100" i="6" s="1"/>
  <c r="L11" i="6"/>
  <c r="L86" i="6" s="1"/>
  <c r="M86" i="6"/>
  <c r="P52" i="6"/>
  <c r="P109" i="6"/>
  <c r="X51" i="6"/>
  <c r="AA109" i="6" s="1"/>
  <c r="U100" i="6"/>
  <c r="Y100" i="6" s="1"/>
  <c r="Q52" i="6"/>
  <c r="Q109" i="6"/>
  <c r="V49" i="5"/>
  <c r="W20" i="5"/>
  <c r="U89" i="5"/>
  <c r="Y89" i="5" s="1"/>
  <c r="P49" i="5"/>
  <c r="M19" i="5"/>
  <c r="P20" i="5"/>
  <c r="P89" i="5"/>
  <c r="U18" i="5"/>
  <c r="V20" i="5"/>
  <c r="V89" i="5"/>
  <c r="Z89" i="5" s="1"/>
  <c r="L18" i="5"/>
  <c r="Q49" i="5"/>
  <c r="W49" i="5"/>
  <c r="Q20" i="5"/>
  <c r="Q89" i="5"/>
  <c r="Q64" i="5"/>
  <c r="Q113" i="5"/>
  <c r="P376" i="11"/>
  <c r="AB17" i="9"/>
  <c r="M69" i="9" s="1"/>
  <c r="N69" i="9"/>
  <c r="L69" i="9" s="1"/>
  <c r="AB15" i="8"/>
  <c r="M111" i="8" s="1"/>
  <c r="N111" i="8"/>
  <c r="L111" i="8" s="1"/>
  <c r="AA47" i="7"/>
  <c r="N139" i="7" s="1"/>
  <c r="G47" i="7"/>
  <c r="N146" i="6"/>
  <c r="L146" i="6"/>
  <c r="AB15" i="6"/>
  <c r="M146" i="6" s="1"/>
  <c r="D416" i="3"/>
  <c r="X10" i="3"/>
  <c r="E416" i="3" s="1"/>
  <c r="D3" i="14"/>
  <c r="W11" i="3"/>
  <c r="F417" i="3" s="1"/>
  <c r="P138" i="5"/>
  <c r="N138" i="5"/>
  <c r="Y17" i="5"/>
  <c r="X16" i="5"/>
  <c r="D375" i="11"/>
  <c r="D407" i="11" s="1"/>
  <c r="J330" i="11"/>
  <c r="K329" i="11"/>
  <c r="J352" i="11" s="1"/>
  <c r="P329" i="11"/>
  <c r="O328" i="11"/>
  <c r="R351" i="11" s="1"/>
  <c r="J281" i="11"/>
  <c r="K280" i="11"/>
  <c r="J304" i="11" s="1"/>
  <c r="G280" i="11"/>
  <c r="G304" i="11" s="1"/>
  <c r="O279" i="11"/>
  <c r="R303" i="11" s="1"/>
  <c r="P226" i="11"/>
  <c r="O225" i="11"/>
  <c r="R251" i="11" s="1"/>
  <c r="J227" i="11"/>
  <c r="K226" i="11"/>
  <c r="J252" i="11" s="1"/>
  <c r="J108" i="11"/>
  <c r="K107" i="11"/>
  <c r="J137" i="11" s="1"/>
  <c r="K167" i="11"/>
  <c r="J195" i="11" s="1"/>
  <c r="J168" i="11"/>
  <c r="P170" i="11"/>
  <c r="P108" i="11"/>
  <c r="J52" i="11"/>
  <c r="K51" i="11"/>
  <c r="J80" i="11" s="1"/>
  <c r="P51" i="11"/>
  <c r="O50" i="11"/>
  <c r="R79" i="11" s="1"/>
  <c r="X22" i="8"/>
  <c r="AA75" i="8" s="1"/>
  <c r="P23" i="8"/>
  <c r="Q28" i="8"/>
  <c r="Q78" i="8" s="1"/>
  <c r="N10" i="7"/>
  <c r="O11" i="7"/>
  <c r="O63" i="7" s="1"/>
  <c r="M12" i="7"/>
  <c r="L12" i="7" s="1"/>
  <c r="Q29" i="7"/>
  <c r="Q72" i="7" s="1"/>
  <c r="P25" i="7"/>
  <c r="P70" i="7" s="1"/>
  <c r="P17" i="6"/>
  <c r="P89" i="6" s="1"/>
  <c r="X16" i="6"/>
  <c r="L17" i="5"/>
  <c r="AA12" i="5"/>
  <c r="G12" i="5"/>
  <c r="F13" i="5"/>
  <c r="AB11" i="5"/>
  <c r="O138" i="5" s="1"/>
  <c r="AD11" i="5"/>
  <c r="G15" i="8"/>
  <c r="F16" i="8"/>
  <c r="AA16" i="8" s="1"/>
  <c r="F48" i="7"/>
  <c r="P16" i="9"/>
  <c r="X15" i="9"/>
  <c r="AA44" i="9" s="1"/>
  <c r="L13" i="4"/>
  <c r="M13" i="4" s="1"/>
  <c r="O11" i="6"/>
  <c r="O86" i="6" s="1"/>
  <c r="M12" i="6"/>
  <c r="L12" i="6" s="1"/>
  <c r="F18" i="9"/>
  <c r="AA18" i="9" s="1"/>
  <c r="G17" i="9"/>
  <c r="G15" i="6"/>
  <c r="F16" i="6"/>
  <c r="AA16" i="6" s="1"/>
  <c r="F2" i="1"/>
  <c r="D288" i="11" l="1"/>
  <c r="AB349" i="3" s="1"/>
  <c r="D265" i="11"/>
  <c r="C264" i="11"/>
  <c r="F264" i="11"/>
  <c r="F288" i="11" s="1"/>
  <c r="M11" i="8"/>
  <c r="L10" i="8"/>
  <c r="N10" i="8" s="1"/>
  <c r="O10" i="8"/>
  <c r="E153" i="11"/>
  <c r="E181" i="11" s="1"/>
  <c r="C181" i="11"/>
  <c r="C65" i="11"/>
  <c r="E36" i="11"/>
  <c r="E65" i="11" s="1"/>
  <c r="D182" i="11"/>
  <c r="F154" i="11"/>
  <c r="F182" i="11" s="1"/>
  <c r="D155" i="11"/>
  <c r="C154" i="11"/>
  <c r="D313" i="11"/>
  <c r="F45" i="4"/>
  <c r="N13" i="4"/>
  <c r="P280" i="11"/>
  <c r="X279" i="11"/>
  <c r="S303" i="11"/>
  <c r="M169" i="11"/>
  <c r="M196" i="11"/>
  <c r="Q196" i="11" s="1"/>
  <c r="D66" i="11"/>
  <c r="C37" i="11"/>
  <c r="D38" i="11"/>
  <c r="F37" i="11"/>
  <c r="F66" i="11" s="1"/>
  <c r="G169" i="11"/>
  <c r="G196" i="11"/>
  <c r="O168" i="11"/>
  <c r="R196" i="11" s="1"/>
  <c r="D237" i="11"/>
  <c r="D212" i="11"/>
  <c r="C211" i="11"/>
  <c r="F211" i="11"/>
  <c r="F237" i="11" s="1"/>
  <c r="D124" i="11"/>
  <c r="D95" i="11"/>
  <c r="F94" i="11"/>
  <c r="F124" i="11" s="1"/>
  <c r="C94" i="11"/>
  <c r="AA348" i="3"/>
  <c r="E210" i="11"/>
  <c r="E236" i="11" s="1"/>
  <c r="C236" i="11"/>
  <c r="E93" i="11"/>
  <c r="E123" i="11" s="1"/>
  <c r="C123" i="11"/>
  <c r="L169" i="11"/>
  <c r="K196" i="11"/>
  <c r="N169" i="11"/>
  <c r="L196" i="11"/>
  <c r="P196" i="11" s="1"/>
  <c r="L68" i="8"/>
  <c r="N9" i="8"/>
  <c r="N68" i="8" s="1"/>
  <c r="L227" i="11"/>
  <c r="K252" i="11"/>
  <c r="G377" i="11"/>
  <c r="G408" i="11"/>
  <c r="H377" i="11"/>
  <c r="H408" i="11"/>
  <c r="T376" i="11"/>
  <c r="Y376" i="11" s="1"/>
  <c r="H329" i="11"/>
  <c r="H351" i="11"/>
  <c r="T328" i="11"/>
  <c r="Y328" i="11" s="1"/>
  <c r="G329" i="11"/>
  <c r="G351" i="11"/>
  <c r="H280" i="11"/>
  <c r="H303" i="11"/>
  <c r="T279" i="11"/>
  <c r="Y279" i="11" s="1"/>
  <c r="N227" i="11"/>
  <c r="L253" i="11" s="1"/>
  <c r="P252" i="11"/>
  <c r="M227" i="11"/>
  <c r="M253" i="11" s="1"/>
  <c r="Q252" i="11"/>
  <c r="H227" i="11"/>
  <c r="H252" i="11"/>
  <c r="T226" i="11"/>
  <c r="Y226" i="11" s="1"/>
  <c r="G227" i="11"/>
  <c r="G252" i="11"/>
  <c r="H169" i="11"/>
  <c r="H196" i="11"/>
  <c r="T168" i="11"/>
  <c r="Y168" i="11" s="1"/>
  <c r="N11" i="6"/>
  <c r="N86" i="6" s="1"/>
  <c r="F3" i="14"/>
  <c r="E3" i="14" s="1"/>
  <c r="L376" i="11"/>
  <c r="K407" i="11"/>
  <c r="M378" i="11"/>
  <c r="M409" i="11"/>
  <c r="Q409" i="11" s="1"/>
  <c r="N378" i="11"/>
  <c r="L409" i="11"/>
  <c r="P409" i="11" s="1"/>
  <c r="X376" i="11"/>
  <c r="S408" i="11"/>
  <c r="N329" i="11"/>
  <c r="L351" i="11"/>
  <c r="P351" i="11" s="1"/>
  <c r="M329" i="11"/>
  <c r="M351" i="11"/>
  <c r="Q351" i="11" s="1"/>
  <c r="L329" i="11"/>
  <c r="K351" i="11"/>
  <c r="X329" i="11"/>
  <c r="S352" i="11"/>
  <c r="M280" i="11"/>
  <c r="M303" i="11"/>
  <c r="Q303" i="11" s="1"/>
  <c r="L280" i="11"/>
  <c r="K303" i="11"/>
  <c r="N280" i="11"/>
  <c r="L303" i="11"/>
  <c r="P303" i="11" s="1"/>
  <c r="X226" i="11"/>
  <c r="S252" i="11"/>
  <c r="X170" i="11"/>
  <c r="S198" i="11"/>
  <c r="G108" i="11"/>
  <c r="O108" i="11" s="1"/>
  <c r="R138" i="11" s="1"/>
  <c r="G137" i="11"/>
  <c r="M108" i="11"/>
  <c r="M137" i="11"/>
  <c r="Q137" i="11" s="1"/>
  <c r="O107" i="11"/>
  <c r="R137" i="11" s="1"/>
  <c r="H108" i="11"/>
  <c r="H137" i="11"/>
  <c r="T107" i="11"/>
  <c r="Y107" i="11" s="1"/>
  <c r="X108" i="11"/>
  <c r="S138" i="11"/>
  <c r="L108" i="11"/>
  <c r="K137" i="11"/>
  <c r="N108" i="11"/>
  <c r="L137" i="11"/>
  <c r="P137" i="11" s="1"/>
  <c r="N54" i="11"/>
  <c r="L82" i="11"/>
  <c r="P82" i="11" s="1"/>
  <c r="M54" i="11"/>
  <c r="M82" i="11"/>
  <c r="Q82" i="11" s="1"/>
  <c r="L52" i="11"/>
  <c r="K80" i="11"/>
  <c r="X50" i="11"/>
  <c r="S80" i="11"/>
  <c r="O376" i="11"/>
  <c r="R408" i="11" s="1"/>
  <c r="P377" i="11"/>
  <c r="W23" i="9"/>
  <c r="Y19" i="9"/>
  <c r="Q47" i="9"/>
  <c r="Q22" i="9"/>
  <c r="U19" i="9"/>
  <c r="V22" i="9"/>
  <c r="V47" i="9"/>
  <c r="Z47" i="9" s="1"/>
  <c r="U80" i="8"/>
  <c r="Y80" i="8" s="1"/>
  <c r="V80" i="8"/>
  <c r="Z80" i="8" s="1"/>
  <c r="U18" i="8"/>
  <c r="T72" i="8"/>
  <c r="Y23" i="7"/>
  <c r="X22" i="7"/>
  <c r="V31" i="7"/>
  <c r="W31" i="7"/>
  <c r="U26" i="7"/>
  <c r="T70" i="7"/>
  <c r="U101" i="6"/>
  <c r="Y101" i="6" s="1"/>
  <c r="Q53" i="6"/>
  <c r="P53" i="6"/>
  <c r="X52" i="6"/>
  <c r="V101" i="6"/>
  <c r="Z101" i="6" s="1"/>
  <c r="Q65" i="5"/>
  <c r="P21" i="5"/>
  <c r="Q21" i="5"/>
  <c r="M20" i="5"/>
  <c r="M89" i="5"/>
  <c r="L19" i="5"/>
  <c r="L89" i="5" s="1"/>
  <c r="Q50" i="5"/>
  <c r="Q106" i="5" s="1"/>
  <c r="Q105" i="5"/>
  <c r="P50" i="5"/>
  <c r="P106" i="5" s="1"/>
  <c r="P105" i="5"/>
  <c r="V21" i="5"/>
  <c r="W21" i="5"/>
  <c r="W50" i="5"/>
  <c r="U106" i="5" s="1"/>
  <c r="Y106" i="5" s="1"/>
  <c r="U105" i="5"/>
  <c r="Y105" i="5" s="1"/>
  <c r="U19" i="5"/>
  <c r="V50" i="5"/>
  <c r="V105" i="5"/>
  <c r="Z105" i="5" s="1"/>
  <c r="AB18" i="9"/>
  <c r="M71" i="9" s="1"/>
  <c r="N71" i="9"/>
  <c r="L71" i="9" s="1"/>
  <c r="AB16" i="8"/>
  <c r="M112" i="8" s="1"/>
  <c r="N112" i="8"/>
  <c r="L112" i="8" s="1"/>
  <c r="AA48" i="7"/>
  <c r="N141" i="7" s="1"/>
  <c r="G48" i="7"/>
  <c r="N147" i="6"/>
  <c r="L147" i="6"/>
  <c r="AB16" i="6"/>
  <c r="M147" i="6" s="1"/>
  <c r="D417" i="3"/>
  <c r="X11" i="3"/>
  <c r="E417" i="3" s="1"/>
  <c r="J14" i="1"/>
  <c r="G15" i="1"/>
  <c r="I15" i="1" s="1"/>
  <c r="W12" i="3"/>
  <c r="P140" i="5"/>
  <c r="N140" i="5"/>
  <c r="M108" i="5"/>
  <c r="L52" i="5"/>
  <c r="Y18" i="5"/>
  <c r="X17" i="5"/>
  <c r="F375" i="11"/>
  <c r="F407" i="11" s="1"/>
  <c r="C375" i="11"/>
  <c r="D376" i="11"/>
  <c r="D408" i="11" s="1"/>
  <c r="O377" i="11"/>
  <c r="R409" i="11" s="1"/>
  <c r="C374" i="11"/>
  <c r="F374" i="11"/>
  <c r="F406" i="11" s="1"/>
  <c r="O329" i="11"/>
  <c r="R352" i="11" s="1"/>
  <c r="P330" i="11"/>
  <c r="K330" i="11"/>
  <c r="J353" i="11" s="1"/>
  <c r="G281" i="11"/>
  <c r="G305" i="11" s="1"/>
  <c r="O280" i="11"/>
  <c r="R304" i="11" s="1"/>
  <c r="K281" i="11"/>
  <c r="J305" i="11" s="1"/>
  <c r="J282" i="11"/>
  <c r="J228" i="11"/>
  <c r="K227" i="11"/>
  <c r="J253" i="11" s="1"/>
  <c r="P227" i="11"/>
  <c r="O226" i="11"/>
  <c r="R252" i="11" s="1"/>
  <c r="J109" i="11"/>
  <c r="K108" i="11"/>
  <c r="J138" i="11" s="1"/>
  <c r="P171" i="11"/>
  <c r="J169" i="11"/>
  <c r="K168" i="11"/>
  <c r="J196" i="11" s="1"/>
  <c r="P109" i="11"/>
  <c r="K52" i="11"/>
  <c r="J81" i="11" s="1"/>
  <c r="J53" i="11"/>
  <c r="F48" i="11"/>
  <c r="F77" i="11" s="1"/>
  <c r="C48" i="11"/>
  <c r="D49" i="11"/>
  <c r="D78" i="11" s="1"/>
  <c r="O51" i="11"/>
  <c r="R80" i="11" s="1"/>
  <c r="P52" i="11"/>
  <c r="Q29" i="8"/>
  <c r="X23" i="8"/>
  <c r="P24" i="8"/>
  <c r="P76" i="8" s="1"/>
  <c r="N11" i="7"/>
  <c r="N63" i="7" s="1"/>
  <c r="O12" i="7"/>
  <c r="M13" i="7"/>
  <c r="P26" i="7"/>
  <c r="Q30" i="7"/>
  <c r="X17" i="6"/>
  <c r="AA89" i="6" s="1"/>
  <c r="P18" i="6"/>
  <c r="L16" i="5"/>
  <c r="AA13" i="5"/>
  <c r="F14" i="5"/>
  <c r="G13" i="5"/>
  <c r="AB12" i="5"/>
  <c r="O140" i="5" s="1"/>
  <c r="AD12" i="5"/>
  <c r="F17" i="8"/>
  <c r="AA17" i="8" s="1"/>
  <c r="G16" i="8"/>
  <c r="F49" i="7"/>
  <c r="G49" i="7" s="1"/>
  <c r="P17" i="9"/>
  <c r="P45" i="9" s="1"/>
  <c r="X16" i="9"/>
  <c r="M13" i="6"/>
  <c r="O12" i="6"/>
  <c r="N12" i="6"/>
  <c r="L14" i="4"/>
  <c r="M14" i="4" s="1"/>
  <c r="F19" i="9"/>
  <c r="AA19" i="9" s="1"/>
  <c r="G18" i="9"/>
  <c r="F17" i="6"/>
  <c r="AA17" i="6" s="1"/>
  <c r="G16" i="6"/>
  <c r="E3" i="1"/>
  <c r="I4" i="1" s="1"/>
  <c r="E4" i="1"/>
  <c r="E5" i="1"/>
  <c r="E6" i="1"/>
  <c r="E8" i="1"/>
  <c r="E9" i="1"/>
  <c r="E10" i="1"/>
  <c r="E11" i="1"/>
  <c r="E21" i="1"/>
  <c r="E22" i="1"/>
  <c r="E23" i="1"/>
  <c r="E24" i="1"/>
  <c r="E25" i="1"/>
  <c r="E26" i="1"/>
  <c r="E31" i="1"/>
  <c r="E32" i="1"/>
  <c r="E33" i="1"/>
  <c r="E34" i="1"/>
  <c r="E35" i="1"/>
  <c r="E38" i="1"/>
  <c r="E39" i="1"/>
  <c r="E40" i="1"/>
  <c r="E41" i="1"/>
  <c r="E42" i="1"/>
  <c r="E43" i="1"/>
  <c r="E47" i="1"/>
  <c r="E48" i="1"/>
  <c r="E54" i="1"/>
  <c r="E55" i="1"/>
  <c r="E56" i="1"/>
  <c r="E57" i="1"/>
  <c r="E58" i="1"/>
  <c r="E59" i="1"/>
  <c r="E61" i="1"/>
  <c r="E62" i="1"/>
  <c r="E63" i="1"/>
  <c r="E64" i="1"/>
  <c r="E66" i="1"/>
  <c r="E67" i="1"/>
  <c r="E68" i="1"/>
  <c r="E69" i="1"/>
  <c r="E70" i="1"/>
  <c r="E71" i="1"/>
  <c r="E73" i="1"/>
  <c r="E74" i="1"/>
  <c r="E75" i="1"/>
  <c r="E76" i="1"/>
  <c r="E77" i="1"/>
  <c r="E78" i="1"/>
  <c r="E79" i="1"/>
  <c r="E80" i="1"/>
  <c r="E82" i="1"/>
  <c r="E83" i="1"/>
  <c r="E84" i="1"/>
  <c r="E85" i="1"/>
  <c r="E86" i="1"/>
  <c r="E87" i="1"/>
  <c r="E89" i="1"/>
  <c r="E90" i="1"/>
  <c r="E91" i="1"/>
  <c r="E92" i="1"/>
  <c r="E93" i="1"/>
  <c r="E94" i="1"/>
  <c r="E95" i="1"/>
  <c r="E96" i="1"/>
  <c r="E98" i="1"/>
  <c r="E99" i="1"/>
  <c r="E100" i="1"/>
  <c r="E101" i="1"/>
  <c r="E102" i="1"/>
  <c r="E103" i="1"/>
  <c r="E104" i="1"/>
  <c r="E105" i="1"/>
  <c r="E107" i="1"/>
  <c r="E108" i="1"/>
  <c r="E109" i="1"/>
  <c r="E110" i="1"/>
  <c r="E111" i="1"/>
  <c r="E112" i="1"/>
  <c r="E114" i="1"/>
  <c r="E115" i="1"/>
  <c r="E116" i="1"/>
  <c r="E117" i="1"/>
  <c r="E118" i="1"/>
  <c r="E119" i="1"/>
  <c r="E120" i="1"/>
  <c r="E121" i="1"/>
  <c r="E123" i="1"/>
  <c r="E124" i="1"/>
  <c r="E125" i="1"/>
  <c r="E126" i="1"/>
  <c r="E127" i="1"/>
  <c r="E128" i="1"/>
  <c r="E129" i="1"/>
  <c r="E130" i="1"/>
  <c r="E132" i="1"/>
  <c r="E133" i="1"/>
  <c r="E134" i="1"/>
  <c r="E135" i="1"/>
  <c r="E136" i="1"/>
  <c r="E137" i="1"/>
  <c r="E140" i="1"/>
  <c r="E141" i="1"/>
  <c r="E142" i="1"/>
  <c r="E143" i="1"/>
  <c r="E144" i="1"/>
  <c r="E145" i="1"/>
  <c r="E147" i="1"/>
  <c r="E148" i="1"/>
  <c r="E149" i="1"/>
  <c r="E150" i="1"/>
  <c r="E151" i="1"/>
  <c r="E152" i="1"/>
  <c r="E153" i="1"/>
  <c r="E154" i="1"/>
  <c r="E155" i="1"/>
  <c r="E157" i="1"/>
  <c r="E158" i="1"/>
  <c r="E159" i="1"/>
  <c r="E160" i="1"/>
  <c r="E161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G526" i="3" s="1"/>
  <c r="E182" i="1"/>
  <c r="E183" i="1"/>
  <c r="E184" i="1"/>
  <c r="E185" i="1"/>
  <c r="E186" i="1"/>
  <c r="E187" i="1"/>
  <c r="E188" i="1"/>
  <c r="E189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" i="1"/>
  <c r="X280" i="11" l="1"/>
  <c r="P281" i="11"/>
  <c r="S304" i="11"/>
  <c r="C124" i="11"/>
  <c r="E94" i="11"/>
  <c r="E124" i="11" s="1"/>
  <c r="D336" i="11"/>
  <c r="AB350" i="3" s="1"/>
  <c r="F313" i="11"/>
  <c r="F336" i="11" s="1"/>
  <c r="C313" i="11"/>
  <c r="D314" i="11"/>
  <c r="L170" i="11"/>
  <c r="K197" i="11"/>
  <c r="E154" i="11"/>
  <c r="E182" i="11" s="1"/>
  <c r="C182" i="11"/>
  <c r="D125" i="11"/>
  <c r="D96" i="11"/>
  <c r="F95" i="11"/>
  <c r="F125" i="11" s="1"/>
  <c r="C95" i="11"/>
  <c r="D183" i="11"/>
  <c r="D156" i="11"/>
  <c r="C155" i="11"/>
  <c r="F155" i="11"/>
  <c r="F183" i="11" s="1"/>
  <c r="E211" i="11"/>
  <c r="E237" i="11" s="1"/>
  <c r="C237" i="11"/>
  <c r="D238" i="11"/>
  <c r="C212" i="11"/>
  <c r="D213" i="11"/>
  <c r="F212" i="11"/>
  <c r="F238" i="11" s="1"/>
  <c r="V106" i="5"/>
  <c r="Z106" i="5" s="1"/>
  <c r="V51" i="5"/>
  <c r="M170" i="11"/>
  <c r="M197" i="11"/>
  <c r="Q197" i="11" s="1"/>
  <c r="L228" i="11"/>
  <c r="K253" i="11"/>
  <c r="G170" i="11"/>
  <c r="G197" i="11"/>
  <c r="O169" i="11"/>
  <c r="R197" i="11" s="1"/>
  <c r="L11" i="8"/>
  <c r="M69" i="8"/>
  <c r="O11" i="8"/>
  <c r="O69" i="8" s="1"/>
  <c r="M12" i="8"/>
  <c r="D67" i="11"/>
  <c r="C38" i="11"/>
  <c r="D39" i="11"/>
  <c r="F38" i="11"/>
  <c r="F67" i="11" s="1"/>
  <c r="E37" i="11"/>
  <c r="E66" i="11" s="1"/>
  <c r="C66" i="11"/>
  <c r="E264" i="11"/>
  <c r="E288" i="11" s="1"/>
  <c r="C288" i="11"/>
  <c r="AA349" i="3" s="1"/>
  <c r="N170" i="11"/>
  <c r="L197" i="11"/>
  <c r="P197" i="11" s="1"/>
  <c r="D289" i="11"/>
  <c r="F265" i="11"/>
  <c r="F289" i="11" s="1"/>
  <c r="D266" i="11"/>
  <c r="C265" i="11"/>
  <c r="F46" i="4"/>
  <c r="N14" i="4"/>
  <c r="D360" i="11"/>
  <c r="G378" i="11"/>
  <c r="G409" i="11"/>
  <c r="H378" i="11"/>
  <c r="H409" i="11"/>
  <c r="T377" i="11"/>
  <c r="Y377" i="11" s="1"/>
  <c r="H330" i="11"/>
  <c r="H352" i="11"/>
  <c r="T329" i="11"/>
  <c r="Y329" i="11" s="1"/>
  <c r="G330" i="11"/>
  <c r="G353" i="11" s="1"/>
  <c r="G352" i="11"/>
  <c r="H281" i="11"/>
  <c r="H304" i="11"/>
  <c r="T280" i="11"/>
  <c r="Y280" i="11" s="1"/>
  <c r="N228" i="11"/>
  <c r="L254" i="11" s="1"/>
  <c r="P253" i="11"/>
  <c r="M228" i="11"/>
  <c r="M254" i="11" s="1"/>
  <c r="Q253" i="11"/>
  <c r="H228" i="11"/>
  <c r="H253" i="11"/>
  <c r="T227" i="11"/>
  <c r="Y227" i="11" s="1"/>
  <c r="G228" i="11"/>
  <c r="G253" i="11"/>
  <c r="H170" i="11"/>
  <c r="H197" i="11"/>
  <c r="T169" i="11"/>
  <c r="Y169" i="11" s="1"/>
  <c r="G3" i="14"/>
  <c r="E374" i="11"/>
  <c r="E406" i="11" s="1"/>
  <c r="C406" i="11"/>
  <c r="AA352" i="3" s="1"/>
  <c r="E375" i="11"/>
  <c r="E407" i="11" s="1"/>
  <c r="C407" i="11"/>
  <c r="X377" i="11"/>
  <c r="S409" i="11"/>
  <c r="N379" i="11"/>
  <c r="L410" i="11"/>
  <c r="P410" i="11" s="1"/>
  <c r="M379" i="11"/>
  <c r="M410" i="11"/>
  <c r="Q410" i="11" s="1"/>
  <c r="L377" i="11"/>
  <c r="K408" i="11"/>
  <c r="X330" i="11"/>
  <c r="S353" i="11"/>
  <c r="L330" i="11"/>
  <c r="K353" i="11" s="1"/>
  <c r="K352" i="11"/>
  <c r="M330" i="11"/>
  <c r="M353" i="11" s="1"/>
  <c r="Q353" i="11" s="1"/>
  <c r="M352" i="11"/>
  <c r="Q352" i="11" s="1"/>
  <c r="N330" i="11"/>
  <c r="L353" i="11" s="1"/>
  <c r="P353" i="11" s="1"/>
  <c r="L352" i="11"/>
  <c r="P352" i="11" s="1"/>
  <c r="N281" i="11"/>
  <c r="L304" i="11"/>
  <c r="P304" i="11" s="1"/>
  <c r="L281" i="11"/>
  <c r="K304" i="11"/>
  <c r="M281" i="11"/>
  <c r="M304" i="11"/>
  <c r="Q304" i="11" s="1"/>
  <c r="X227" i="11"/>
  <c r="S253" i="11"/>
  <c r="X171" i="11"/>
  <c r="S199" i="11"/>
  <c r="X109" i="11"/>
  <c r="S139" i="11"/>
  <c r="H109" i="11"/>
  <c r="H138" i="11"/>
  <c r="T108" i="11"/>
  <c r="Y108" i="11" s="1"/>
  <c r="N109" i="11"/>
  <c r="L138" i="11"/>
  <c r="P138" i="11" s="1"/>
  <c r="M109" i="11"/>
  <c r="M138" i="11"/>
  <c r="Q138" i="11" s="1"/>
  <c r="L109" i="11"/>
  <c r="K138" i="11"/>
  <c r="G109" i="11"/>
  <c r="G138" i="11"/>
  <c r="X51" i="11"/>
  <c r="S81" i="11"/>
  <c r="E48" i="11"/>
  <c r="E77" i="11" s="1"/>
  <c r="C77" i="11"/>
  <c r="P378" i="11"/>
  <c r="L53" i="11"/>
  <c r="K81" i="11"/>
  <c r="M55" i="11"/>
  <c r="M84" i="11" s="1"/>
  <c r="Q84" i="11" s="1"/>
  <c r="M83" i="11"/>
  <c r="Q83" i="11" s="1"/>
  <c r="N55" i="11"/>
  <c r="L84" i="11" s="1"/>
  <c r="P84" i="11" s="1"/>
  <c r="L83" i="11"/>
  <c r="P83" i="11" s="1"/>
  <c r="V23" i="9"/>
  <c r="U20" i="9"/>
  <c r="T46" i="9"/>
  <c r="Q23" i="9"/>
  <c r="AB46" i="9"/>
  <c r="Y20" i="9"/>
  <c r="W24" i="9"/>
  <c r="U48" i="9"/>
  <c r="Y48" i="9" s="1"/>
  <c r="U19" i="8"/>
  <c r="T73" i="8"/>
  <c r="V35" i="8"/>
  <c r="V82" i="8"/>
  <c r="Z82" i="8" s="1"/>
  <c r="W35" i="8"/>
  <c r="U82" i="8"/>
  <c r="Y82" i="8" s="1"/>
  <c r="L13" i="7"/>
  <c r="L64" i="7" s="1"/>
  <c r="M64" i="7"/>
  <c r="U27" i="7"/>
  <c r="W32" i="7"/>
  <c r="U73" i="7"/>
  <c r="Y73" i="7" s="1"/>
  <c r="V32" i="7"/>
  <c r="V73" i="7"/>
  <c r="Z73" i="7" s="1"/>
  <c r="Y24" i="7"/>
  <c r="AB69" i="7"/>
  <c r="X23" i="7"/>
  <c r="AA69" i="7" s="1"/>
  <c r="L13" i="6"/>
  <c r="L87" i="6" s="1"/>
  <c r="M87" i="6"/>
  <c r="V39" i="6"/>
  <c r="P54" i="6"/>
  <c r="P110" i="6"/>
  <c r="X53" i="6"/>
  <c r="AA110" i="6" s="1"/>
  <c r="Q54" i="6"/>
  <c r="Q110" i="6"/>
  <c r="W39" i="6"/>
  <c r="U20" i="5"/>
  <c r="T89" i="5"/>
  <c r="M21" i="5"/>
  <c r="L20" i="5"/>
  <c r="W52" i="5"/>
  <c r="W22" i="5"/>
  <c r="U90" i="5"/>
  <c r="Y90" i="5" s="1"/>
  <c r="Q22" i="5"/>
  <c r="Q90" i="5"/>
  <c r="V22" i="5"/>
  <c r="V90" i="5"/>
  <c r="Z90" i="5" s="1"/>
  <c r="P22" i="5"/>
  <c r="P90" i="5"/>
  <c r="P52" i="5"/>
  <c r="Q66" i="5"/>
  <c r="Q114" i="5"/>
  <c r="AB19" i="9"/>
  <c r="M72" i="9" s="1"/>
  <c r="N72" i="9"/>
  <c r="L72" i="9" s="1"/>
  <c r="AB17" i="8"/>
  <c r="M113" i="8" s="1"/>
  <c r="N113" i="8"/>
  <c r="L113" i="8" s="1"/>
  <c r="AA49" i="7"/>
  <c r="N142" i="7" s="1"/>
  <c r="F50" i="7"/>
  <c r="G50" i="7" s="1"/>
  <c r="N148" i="6"/>
  <c r="L148" i="6"/>
  <c r="AB17" i="6"/>
  <c r="M148" i="6" s="1"/>
  <c r="V245" i="3"/>
  <c r="V233" i="3"/>
  <c r="G554" i="3"/>
  <c r="V220" i="3"/>
  <c r="G547" i="3"/>
  <c r="V208" i="3"/>
  <c r="V194" i="3"/>
  <c r="G529" i="3"/>
  <c r="V181" i="3"/>
  <c r="G520" i="3"/>
  <c r="V168" i="3"/>
  <c r="V152" i="3"/>
  <c r="V139" i="3"/>
  <c r="G489" i="3"/>
  <c r="V124" i="3"/>
  <c r="G480" i="3"/>
  <c r="V110" i="3"/>
  <c r="C16" i="14" s="1"/>
  <c r="G471" i="3"/>
  <c r="V97" i="3"/>
  <c r="G463" i="3"/>
  <c r="V83" i="3"/>
  <c r="G454" i="3"/>
  <c r="V69" i="3"/>
  <c r="C11" i="14" s="1"/>
  <c r="G443" i="3"/>
  <c r="V55" i="3"/>
  <c r="G429" i="3"/>
  <c r="V33" i="3"/>
  <c r="C6" i="14" s="1"/>
  <c r="G415" i="3"/>
  <c r="V9" i="3"/>
  <c r="G568" i="3"/>
  <c r="V244" i="3"/>
  <c r="V231" i="3"/>
  <c r="V219" i="3"/>
  <c r="G546" i="3"/>
  <c r="V207" i="3"/>
  <c r="G537" i="3"/>
  <c r="V193" i="3"/>
  <c r="V180" i="3"/>
  <c r="V167" i="3"/>
  <c r="G508" i="3"/>
  <c r="V151" i="3"/>
  <c r="G499" i="3"/>
  <c r="V138" i="3"/>
  <c r="V123" i="3"/>
  <c r="G479" i="3"/>
  <c r="V109" i="3"/>
  <c r="V96" i="3"/>
  <c r="V82" i="3"/>
  <c r="G453" i="3"/>
  <c r="V68" i="3"/>
  <c r="V54" i="3"/>
  <c r="V32" i="3"/>
  <c r="V8" i="3"/>
  <c r="V243" i="3"/>
  <c r="G559" i="3"/>
  <c r="V230" i="3"/>
  <c r="G552" i="3"/>
  <c r="V218" i="3"/>
  <c r="V204" i="3"/>
  <c r="V192" i="3"/>
  <c r="G528" i="3"/>
  <c r="V179" i="3"/>
  <c r="G519" i="3"/>
  <c r="V166" i="3"/>
  <c r="V150" i="3"/>
  <c r="V135" i="3"/>
  <c r="G488" i="3"/>
  <c r="V122" i="3"/>
  <c r="V108" i="3"/>
  <c r="G469" i="3"/>
  <c r="V94" i="3"/>
  <c r="C14" i="14" s="1"/>
  <c r="G461" i="3"/>
  <c r="V81" i="3"/>
  <c r="V67" i="3"/>
  <c r="G442" i="3"/>
  <c r="V53" i="3"/>
  <c r="G428" i="3"/>
  <c r="V31" i="3"/>
  <c r="G414" i="3"/>
  <c r="V7" i="3"/>
  <c r="G582" i="3"/>
  <c r="V268" i="3"/>
  <c r="G580" i="3"/>
  <c r="V266" i="3"/>
  <c r="G573" i="3"/>
  <c r="V254" i="3"/>
  <c r="G566" i="3"/>
  <c r="V242" i="3"/>
  <c r="V229" i="3"/>
  <c r="V217" i="3"/>
  <c r="G542" i="3"/>
  <c r="V203" i="3"/>
  <c r="G535" i="3"/>
  <c r="V191" i="3"/>
  <c r="V177" i="3"/>
  <c r="V165" i="3"/>
  <c r="G507" i="3"/>
  <c r="V149" i="3"/>
  <c r="G496" i="3"/>
  <c r="V134" i="3"/>
  <c r="V121" i="3"/>
  <c r="G478" i="3"/>
  <c r="V107" i="3"/>
  <c r="V93" i="3"/>
  <c r="V80" i="3"/>
  <c r="G452" i="3"/>
  <c r="V66" i="3"/>
  <c r="V52" i="3"/>
  <c r="V30" i="3"/>
  <c r="V6" i="3"/>
  <c r="V255" i="3"/>
  <c r="V277" i="3"/>
  <c r="V253" i="3"/>
  <c r="V241" i="3"/>
  <c r="G558" i="3"/>
  <c r="V228" i="3"/>
  <c r="G551" i="3"/>
  <c r="V216" i="3"/>
  <c r="V202" i="3"/>
  <c r="V190" i="3"/>
  <c r="G524" i="3"/>
  <c r="V176" i="3"/>
  <c r="G517" i="3"/>
  <c r="V164" i="3"/>
  <c r="V148" i="3"/>
  <c r="V133" i="3"/>
  <c r="G486" i="3"/>
  <c r="V119" i="3"/>
  <c r="C17" i="14" s="1"/>
  <c r="V106" i="3"/>
  <c r="V92" i="3"/>
  <c r="G459" i="3"/>
  <c r="V78" i="3"/>
  <c r="C12" i="14" s="1"/>
  <c r="V65" i="3"/>
  <c r="V46" i="3"/>
  <c r="V29" i="3"/>
  <c r="G413" i="3"/>
  <c r="V5" i="3"/>
  <c r="G575" i="3"/>
  <c r="V256" i="3"/>
  <c r="V265" i="3"/>
  <c r="G586" i="3"/>
  <c r="V276" i="3"/>
  <c r="G579" i="3"/>
  <c r="V264" i="3"/>
  <c r="G572" i="3"/>
  <c r="V252" i="3"/>
  <c r="G565" i="3"/>
  <c r="V240" i="3"/>
  <c r="V227" i="3"/>
  <c r="V215" i="3"/>
  <c r="G541" i="3"/>
  <c r="V201" i="3"/>
  <c r="G534" i="3"/>
  <c r="V189" i="3"/>
  <c r="V175" i="3"/>
  <c r="V163" i="3"/>
  <c r="G505" i="3"/>
  <c r="V147" i="3"/>
  <c r="G494" i="3"/>
  <c r="V132" i="3"/>
  <c r="G485" i="3"/>
  <c r="V118" i="3"/>
  <c r="G477" i="3"/>
  <c r="V105" i="3"/>
  <c r="G468" i="3"/>
  <c r="V91" i="3"/>
  <c r="V77" i="3"/>
  <c r="G451" i="3"/>
  <c r="V64" i="3"/>
  <c r="V45" i="3"/>
  <c r="V24" i="3"/>
  <c r="V267" i="3"/>
  <c r="G557" i="3"/>
  <c r="V226" i="3"/>
  <c r="G550" i="3"/>
  <c r="V214" i="3"/>
  <c r="V200" i="3"/>
  <c r="V188" i="3"/>
  <c r="G523" i="3"/>
  <c r="V174" i="3"/>
  <c r="G513" i="3"/>
  <c r="V159" i="3"/>
  <c r="C22" i="14" s="1"/>
  <c r="V146" i="3"/>
  <c r="V131" i="3"/>
  <c r="V117" i="3"/>
  <c r="G475" i="3"/>
  <c r="V103" i="3"/>
  <c r="C15" i="14" s="1"/>
  <c r="V90" i="3"/>
  <c r="V76" i="3"/>
  <c r="G449" i="3"/>
  <c r="V62" i="3"/>
  <c r="C10" i="14" s="1"/>
  <c r="V41" i="3"/>
  <c r="G423" i="3"/>
  <c r="V23" i="3"/>
  <c r="X12" i="3"/>
  <c r="G589" i="3"/>
  <c r="V280" i="3"/>
  <c r="V251" i="3"/>
  <c r="G564" i="3"/>
  <c r="V238" i="3"/>
  <c r="G540" i="3"/>
  <c r="V199" i="3"/>
  <c r="G532" i="3"/>
  <c r="V186" i="3"/>
  <c r="V173" i="3"/>
  <c r="V158" i="3"/>
  <c r="G504" i="3"/>
  <c r="V145" i="3"/>
  <c r="G493" i="3"/>
  <c r="V130" i="3"/>
  <c r="G483" i="3"/>
  <c r="V116" i="3"/>
  <c r="V102" i="3"/>
  <c r="G467" i="3"/>
  <c r="V89" i="3"/>
  <c r="V75" i="3"/>
  <c r="G447" i="3"/>
  <c r="V61" i="3"/>
  <c r="G433" i="3"/>
  <c r="V40" i="3"/>
  <c r="V22" i="3"/>
  <c r="J15" i="1"/>
  <c r="G16" i="1"/>
  <c r="I16" i="1" s="1"/>
  <c r="W13" i="3"/>
  <c r="F418" i="3" s="1"/>
  <c r="V281" i="3"/>
  <c r="G587" i="3"/>
  <c r="V278" i="3"/>
  <c r="V237" i="3"/>
  <c r="G556" i="3"/>
  <c r="V224" i="3"/>
  <c r="G549" i="3"/>
  <c r="V212" i="3"/>
  <c r="V198" i="3"/>
  <c r="G531" i="3"/>
  <c r="V185" i="3"/>
  <c r="G522" i="3"/>
  <c r="V172" i="3"/>
  <c r="G512" i="3"/>
  <c r="V157" i="3"/>
  <c r="G502" i="3"/>
  <c r="V143" i="3"/>
  <c r="C20" i="14" s="1"/>
  <c r="G491" i="3"/>
  <c r="V128" i="3"/>
  <c r="C18" i="14" s="1"/>
  <c r="V115" i="3"/>
  <c r="G474" i="3"/>
  <c r="V101" i="3"/>
  <c r="V88" i="3"/>
  <c r="G458" i="3"/>
  <c r="V74" i="3"/>
  <c r="G446" i="3"/>
  <c r="V60" i="3"/>
  <c r="V39" i="3"/>
  <c r="G422" i="3"/>
  <c r="V21" i="3"/>
  <c r="V279" i="3"/>
  <c r="V239" i="3"/>
  <c r="G571" i="3"/>
  <c r="V250" i="3"/>
  <c r="V273" i="3"/>
  <c r="J2" i="1"/>
  <c r="G412" i="3"/>
  <c r="G570" i="3"/>
  <c r="V248" i="3"/>
  <c r="G563" i="3"/>
  <c r="V236" i="3"/>
  <c r="V223" i="3"/>
  <c r="V211" i="3"/>
  <c r="G539" i="3"/>
  <c r="V197" i="3"/>
  <c r="V184" i="3"/>
  <c r="V171" i="3"/>
  <c r="V156" i="3"/>
  <c r="G501" i="3"/>
  <c r="V142" i="3"/>
  <c r="V127" i="3"/>
  <c r="G482" i="3"/>
  <c r="V114" i="3"/>
  <c r="V100" i="3"/>
  <c r="G466" i="3"/>
  <c r="V87" i="3"/>
  <c r="V73" i="3"/>
  <c r="V59" i="3"/>
  <c r="G432" i="3"/>
  <c r="V38" i="3"/>
  <c r="V20" i="3"/>
  <c r="V257" i="3"/>
  <c r="V263" i="3"/>
  <c r="G585" i="3"/>
  <c r="V274" i="3"/>
  <c r="V225" i="3"/>
  <c r="V249" i="3"/>
  <c r="G577" i="3"/>
  <c r="V260" i="3"/>
  <c r="V271" i="3"/>
  <c r="V247" i="3"/>
  <c r="G555" i="3"/>
  <c r="V222" i="3"/>
  <c r="V196" i="3"/>
  <c r="G530" i="3"/>
  <c r="V183" i="3"/>
  <c r="G521" i="3"/>
  <c r="V170" i="3"/>
  <c r="G511" i="3"/>
  <c r="V155" i="3"/>
  <c r="V141" i="3"/>
  <c r="G490" i="3"/>
  <c r="V126" i="3"/>
  <c r="V113" i="3"/>
  <c r="G472" i="3"/>
  <c r="V99" i="3"/>
  <c r="G464" i="3"/>
  <c r="V85" i="3"/>
  <c r="C13" i="14" s="1"/>
  <c r="G457" i="3"/>
  <c r="V72" i="3"/>
  <c r="G444" i="3"/>
  <c r="V57" i="3"/>
  <c r="C9" i="14" s="1"/>
  <c r="V37" i="3"/>
  <c r="V19" i="3"/>
  <c r="V269" i="3"/>
  <c r="V275" i="3"/>
  <c r="G578" i="3"/>
  <c r="V262" i="3"/>
  <c r="V213" i="3"/>
  <c r="V261" i="3"/>
  <c r="G584" i="3"/>
  <c r="V272" i="3"/>
  <c r="V283" i="3"/>
  <c r="V259" i="3"/>
  <c r="V235" i="3"/>
  <c r="G548" i="3"/>
  <c r="V210" i="3"/>
  <c r="G590" i="3"/>
  <c r="V282" i="3"/>
  <c r="G583" i="3"/>
  <c r="V270" i="3"/>
  <c r="G576" i="3"/>
  <c r="V258" i="3"/>
  <c r="G569" i="3"/>
  <c r="V246" i="3"/>
  <c r="G562" i="3"/>
  <c r="V234" i="3"/>
  <c r="V221" i="3"/>
  <c r="V209" i="3"/>
  <c r="G538" i="3"/>
  <c r="V195" i="3"/>
  <c r="V182" i="3"/>
  <c r="V169" i="3"/>
  <c r="G509" i="3"/>
  <c r="V153" i="3"/>
  <c r="C21" i="14" s="1"/>
  <c r="G500" i="3"/>
  <c r="V140" i="3"/>
  <c r="V125" i="3"/>
  <c r="V112" i="3"/>
  <c r="V98" i="3"/>
  <c r="V84" i="3"/>
  <c r="G456" i="3"/>
  <c r="V71" i="3"/>
  <c r="V56" i="3"/>
  <c r="V36" i="3"/>
  <c r="G416" i="3"/>
  <c r="V10" i="3"/>
  <c r="C3" i="14" s="1"/>
  <c r="P141" i="5"/>
  <c r="N141" i="5"/>
  <c r="L53" i="5"/>
  <c r="L108" i="5" s="1"/>
  <c r="Y19" i="5"/>
  <c r="AB89" i="5" s="1"/>
  <c r="X18" i="5"/>
  <c r="D377" i="11"/>
  <c r="D409" i="11" s="1"/>
  <c r="C376" i="11"/>
  <c r="F376" i="11"/>
  <c r="F408" i="11" s="1"/>
  <c r="K282" i="11"/>
  <c r="J306" i="11" s="1"/>
  <c r="G282" i="11"/>
  <c r="G306" i="11" s="1"/>
  <c r="O281" i="11"/>
  <c r="R305" i="11" s="1"/>
  <c r="P228" i="11"/>
  <c r="O227" i="11"/>
  <c r="R253" i="11" s="1"/>
  <c r="J229" i="11"/>
  <c r="K228" i="11"/>
  <c r="J254" i="11" s="1"/>
  <c r="K109" i="11"/>
  <c r="J139" i="11" s="1"/>
  <c r="J110" i="11"/>
  <c r="K169" i="11"/>
  <c r="J197" i="11" s="1"/>
  <c r="J170" i="11"/>
  <c r="P172" i="11"/>
  <c r="P110" i="11"/>
  <c r="O109" i="11"/>
  <c r="R139" i="11" s="1"/>
  <c r="J54" i="11"/>
  <c r="K53" i="11"/>
  <c r="J82" i="11" s="1"/>
  <c r="O52" i="11"/>
  <c r="R81" i="11" s="1"/>
  <c r="P53" i="11"/>
  <c r="C49" i="11"/>
  <c r="D50" i="11"/>
  <c r="D79" i="11" s="1"/>
  <c r="F49" i="11"/>
  <c r="F78" i="11" s="1"/>
  <c r="P25" i="8"/>
  <c r="X24" i="8"/>
  <c r="AA76" i="8" s="1"/>
  <c r="Q30" i="8"/>
  <c r="Q79" i="8" s="1"/>
  <c r="N12" i="7"/>
  <c r="O13" i="7"/>
  <c r="O64" i="7" s="1"/>
  <c r="M14" i="7"/>
  <c r="L14" i="7" s="1"/>
  <c r="Q31" i="7"/>
  <c r="Q73" i="7" s="1"/>
  <c r="P27" i="7"/>
  <c r="P71" i="7" s="1"/>
  <c r="X18" i="6"/>
  <c r="P19" i="6"/>
  <c r="P90" i="6" s="1"/>
  <c r="L15" i="5"/>
  <c r="L88" i="5" s="1"/>
  <c r="AA14" i="5"/>
  <c r="G14" i="5"/>
  <c r="F15" i="5"/>
  <c r="AB13" i="5"/>
  <c r="O141" i="5" s="1"/>
  <c r="AD13" i="5"/>
  <c r="F18" i="8"/>
  <c r="AA18" i="8" s="1"/>
  <c r="G17" i="8"/>
  <c r="P18" i="9"/>
  <c r="X17" i="9"/>
  <c r="AA45" i="9" s="1"/>
  <c r="O13" i="6"/>
  <c r="O87" i="6" s="1"/>
  <c r="M14" i="6"/>
  <c r="L14" i="6" s="1"/>
  <c r="F20" i="9"/>
  <c r="AA20" i="9" s="1"/>
  <c r="G19" i="9"/>
  <c r="G17" i="6"/>
  <c r="F18" i="6"/>
  <c r="AA18" i="6" s="1"/>
  <c r="M37" i="1"/>
  <c r="M38" i="1" s="1"/>
  <c r="J10" i="1"/>
  <c r="E44" i="1"/>
  <c r="E49" i="1"/>
  <c r="M48" i="1"/>
  <c r="M49" i="1" s="1"/>
  <c r="E27" i="1"/>
  <c r="M26" i="1"/>
  <c r="M27" i="1" s="1"/>
  <c r="J4" i="1"/>
  <c r="J11" i="1"/>
  <c r="J8" i="1"/>
  <c r="J6" i="1"/>
  <c r="D68" i="11" l="1"/>
  <c r="F39" i="11"/>
  <c r="F68" i="11" s="1"/>
  <c r="D40" i="11"/>
  <c r="C39" i="11"/>
  <c r="E38" i="11"/>
  <c r="E67" i="11" s="1"/>
  <c r="C67" i="11"/>
  <c r="C183" i="11"/>
  <c r="E155" i="11"/>
  <c r="E183" i="11" s="1"/>
  <c r="D184" i="11"/>
  <c r="F156" i="11"/>
  <c r="F184" i="11" s="1"/>
  <c r="C156" i="11"/>
  <c r="D157" i="11"/>
  <c r="L69" i="8"/>
  <c r="N11" i="8"/>
  <c r="N69" i="8" s="1"/>
  <c r="D126" i="11"/>
  <c r="C96" i="11"/>
  <c r="F96" i="11"/>
  <c r="F126" i="11" s="1"/>
  <c r="D97" i="11"/>
  <c r="D392" i="11"/>
  <c r="AB351" i="3" s="1"/>
  <c r="D361" i="11"/>
  <c r="C360" i="11"/>
  <c r="F360" i="11"/>
  <c r="F392" i="11" s="1"/>
  <c r="G171" i="11"/>
  <c r="G198" i="11"/>
  <c r="O170" i="11"/>
  <c r="R198" i="11" s="1"/>
  <c r="E265" i="11"/>
  <c r="E289" i="11" s="1"/>
  <c r="C289" i="11"/>
  <c r="L229" i="11"/>
  <c r="K254" i="11"/>
  <c r="L171" i="11"/>
  <c r="K198" i="11"/>
  <c r="E95" i="11"/>
  <c r="E125" i="11" s="1"/>
  <c r="C125" i="11"/>
  <c r="D290" i="11"/>
  <c r="F266" i="11"/>
  <c r="F290" i="11" s="1"/>
  <c r="D267" i="11"/>
  <c r="C266" i="11"/>
  <c r="D337" i="11"/>
  <c r="C314" i="11"/>
  <c r="F314" i="11"/>
  <c r="F337" i="11" s="1"/>
  <c r="D315" i="11"/>
  <c r="I3" i="1"/>
  <c r="O330" i="11"/>
  <c r="R353" i="11" s="1"/>
  <c r="M171" i="11"/>
  <c r="M198" i="11"/>
  <c r="Q198" i="11" s="1"/>
  <c r="E313" i="11"/>
  <c r="E336" i="11" s="1"/>
  <c r="C336" i="11"/>
  <c r="AA350" i="3" s="1"/>
  <c r="J5" i="1"/>
  <c r="I5" i="1"/>
  <c r="V107" i="5"/>
  <c r="Z107" i="5" s="1"/>
  <c r="V52" i="5"/>
  <c r="V53" i="5" s="1"/>
  <c r="L12" i="8"/>
  <c r="N12" i="8" s="1"/>
  <c r="M13" i="8"/>
  <c r="O12" i="8"/>
  <c r="N171" i="11"/>
  <c r="L198" i="11"/>
  <c r="P198" i="11" s="1"/>
  <c r="D239" i="11"/>
  <c r="D214" i="11"/>
  <c r="C213" i="11"/>
  <c r="F213" i="11"/>
  <c r="F239" i="11" s="1"/>
  <c r="C238" i="11"/>
  <c r="E212" i="11"/>
  <c r="E238" i="11" s="1"/>
  <c r="S305" i="11"/>
  <c r="P282" i="11"/>
  <c r="X281" i="11"/>
  <c r="G379" i="11"/>
  <c r="G410" i="11"/>
  <c r="H379" i="11"/>
  <c r="H410" i="11"/>
  <c r="T378" i="11"/>
  <c r="Y378" i="11" s="1"/>
  <c r="H353" i="11"/>
  <c r="T330" i="11"/>
  <c r="Y330" i="11" s="1"/>
  <c r="H282" i="11"/>
  <c r="H305" i="11"/>
  <c r="T281" i="11"/>
  <c r="Y281" i="11" s="1"/>
  <c r="N229" i="11"/>
  <c r="L255" i="11" s="1"/>
  <c r="P254" i="11"/>
  <c r="M229" i="11"/>
  <c r="M255" i="11" s="1"/>
  <c r="Q254" i="11"/>
  <c r="H229" i="11"/>
  <c r="H254" i="11"/>
  <c r="T228" i="11"/>
  <c r="Y228" i="11" s="1"/>
  <c r="G229" i="11"/>
  <c r="G254" i="11"/>
  <c r="H171" i="11"/>
  <c r="H198" i="11"/>
  <c r="T170" i="11"/>
  <c r="Y170" i="11" s="1"/>
  <c r="N13" i="6"/>
  <c r="N87" i="6" s="1"/>
  <c r="L378" i="11"/>
  <c r="K409" i="11"/>
  <c r="M380" i="11"/>
  <c r="M411" i="11"/>
  <c r="Q411" i="11" s="1"/>
  <c r="N380" i="11"/>
  <c r="L411" i="11"/>
  <c r="P411" i="11" s="1"/>
  <c r="E376" i="11"/>
  <c r="E408" i="11" s="1"/>
  <c r="C408" i="11"/>
  <c r="X378" i="11"/>
  <c r="S410" i="11"/>
  <c r="O378" i="11"/>
  <c r="R410" i="11" s="1"/>
  <c r="P379" i="11"/>
  <c r="P380" i="11" s="1"/>
  <c r="M282" i="11"/>
  <c r="M306" i="11" s="1"/>
  <c r="Q306" i="11" s="1"/>
  <c r="M305" i="11"/>
  <c r="Q305" i="11" s="1"/>
  <c r="L282" i="11"/>
  <c r="K306" i="11" s="1"/>
  <c r="K305" i="11"/>
  <c r="N282" i="11"/>
  <c r="L306" i="11" s="1"/>
  <c r="P306" i="11" s="1"/>
  <c r="L305" i="11"/>
  <c r="P305" i="11" s="1"/>
  <c r="X228" i="11"/>
  <c r="S254" i="11"/>
  <c r="X172" i="11"/>
  <c r="S200" i="11"/>
  <c r="X110" i="11"/>
  <c r="S140" i="11"/>
  <c r="L110" i="11"/>
  <c r="K139" i="11"/>
  <c r="M110" i="11"/>
  <c r="M139" i="11"/>
  <c r="Q139" i="11" s="1"/>
  <c r="N110" i="11"/>
  <c r="L139" i="11"/>
  <c r="P139" i="11" s="1"/>
  <c r="H110" i="11"/>
  <c r="H139" i="11"/>
  <c r="T109" i="11"/>
  <c r="Y109" i="11" s="1"/>
  <c r="G110" i="11"/>
  <c r="O110" i="11" s="1"/>
  <c r="R140" i="11" s="1"/>
  <c r="G139" i="11"/>
  <c r="E49" i="11"/>
  <c r="E78" i="11" s="1"/>
  <c r="C78" i="11"/>
  <c r="L54" i="11"/>
  <c r="K82" i="11"/>
  <c r="X52" i="11"/>
  <c r="S82" i="11"/>
  <c r="W25" i="9"/>
  <c r="Y21" i="9"/>
  <c r="Q48" i="9"/>
  <c r="Q24" i="9"/>
  <c r="U21" i="9"/>
  <c r="V24" i="9"/>
  <c r="V48" i="9"/>
  <c r="Z48" i="9" s="1"/>
  <c r="W36" i="8"/>
  <c r="V36" i="8"/>
  <c r="U20" i="8"/>
  <c r="Y25" i="7"/>
  <c r="X24" i="7"/>
  <c r="V33" i="7"/>
  <c r="W33" i="7"/>
  <c r="U28" i="7"/>
  <c r="T71" i="7"/>
  <c r="W40" i="6"/>
  <c r="U102" i="6"/>
  <c r="Y102" i="6" s="1"/>
  <c r="Q56" i="6"/>
  <c r="Q111" i="6"/>
  <c r="P56" i="6"/>
  <c r="P111" i="6"/>
  <c r="X54" i="6"/>
  <c r="AA111" i="6" s="1"/>
  <c r="V40" i="6"/>
  <c r="V102" i="6"/>
  <c r="Z102" i="6" s="1"/>
  <c r="W23" i="5"/>
  <c r="Q67" i="5"/>
  <c r="Q23" i="5"/>
  <c r="P53" i="5"/>
  <c r="W53" i="5"/>
  <c r="P23" i="5"/>
  <c r="M22" i="5"/>
  <c r="M90" i="5"/>
  <c r="L21" i="5"/>
  <c r="L90" i="5" s="1"/>
  <c r="V23" i="5"/>
  <c r="U21" i="5"/>
  <c r="AB20" i="9"/>
  <c r="M73" i="9" s="1"/>
  <c r="N73" i="9"/>
  <c r="L73" i="9" s="1"/>
  <c r="AB18" i="8"/>
  <c r="M114" i="8" s="1"/>
  <c r="N114" i="8"/>
  <c r="L114" i="8" s="1"/>
  <c r="AA50" i="7"/>
  <c r="F51" i="7"/>
  <c r="G51" i="7" s="1"/>
  <c r="AB18" i="6"/>
  <c r="M150" i="6" s="1"/>
  <c r="L150" i="6"/>
  <c r="N150" i="6"/>
  <c r="D418" i="3"/>
  <c r="X13" i="3"/>
  <c r="E418" i="3" s="1"/>
  <c r="J16" i="1"/>
  <c r="W14" i="3"/>
  <c r="G17" i="1"/>
  <c r="I17" i="1" s="1"/>
  <c r="V25" i="3"/>
  <c r="G434" i="3"/>
  <c r="V42" i="3"/>
  <c r="C7" i="14" s="1"/>
  <c r="G438" i="3"/>
  <c r="V47" i="3"/>
  <c r="N142" i="5"/>
  <c r="P142" i="5"/>
  <c r="M109" i="5"/>
  <c r="L54" i="5"/>
  <c r="Y20" i="5"/>
  <c r="X19" i="5"/>
  <c r="AA89" i="5" s="1"/>
  <c r="D378" i="11"/>
  <c r="D410" i="11" s="1"/>
  <c r="C377" i="11"/>
  <c r="F377" i="11"/>
  <c r="F409" i="11" s="1"/>
  <c r="J230" i="11"/>
  <c r="K229" i="11"/>
  <c r="J255" i="11" s="1"/>
  <c r="P229" i="11"/>
  <c r="O228" i="11"/>
  <c r="R254" i="11" s="1"/>
  <c r="J111" i="11"/>
  <c r="K110" i="11"/>
  <c r="J140" i="11" s="1"/>
  <c r="P173" i="11"/>
  <c r="J171" i="11"/>
  <c r="K170" i="11"/>
  <c r="J198" i="11" s="1"/>
  <c r="P111" i="11"/>
  <c r="J55" i="11"/>
  <c r="K54" i="11"/>
  <c r="J83" i="11" s="1"/>
  <c r="O53" i="11"/>
  <c r="R82" i="11" s="1"/>
  <c r="P54" i="11"/>
  <c r="D51" i="11"/>
  <c r="D80" i="11" s="1"/>
  <c r="F50" i="11"/>
  <c r="F79" i="11" s="1"/>
  <c r="C50" i="11"/>
  <c r="P26" i="8"/>
  <c r="P77" i="8" s="1"/>
  <c r="X25" i="8"/>
  <c r="N13" i="7"/>
  <c r="N64" i="7" s="1"/>
  <c r="M15" i="7"/>
  <c r="O14" i="7"/>
  <c r="P28" i="7"/>
  <c r="Q32" i="7"/>
  <c r="P20" i="6"/>
  <c r="X19" i="6"/>
  <c r="AA90" i="6" s="1"/>
  <c r="L14" i="5"/>
  <c r="AA15" i="5"/>
  <c r="F16" i="5"/>
  <c r="G15" i="5"/>
  <c r="AB14" i="5"/>
  <c r="O142" i="5" s="1"/>
  <c r="AD14" i="5"/>
  <c r="G18" i="8"/>
  <c r="F19" i="8"/>
  <c r="AA19" i="8" s="1"/>
  <c r="P19" i="9"/>
  <c r="P46" i="9" s="1"/>
  <c r="X18" i="9"/>
  <c r="O14" i="6"/>
  <c r="M15" i="6"/>
  <c r="N14" i="6"/>
  <c r="M5" i="9"/>
  <c r="F21" i="9"/>
  <c r="AA21" i="9" s="1"/>
  <c r="G20" i="9"/>
  <c r="G18" i="6"/>
  <c r="F19" i="6"/>
  <c r="AA19" i="6" s="1"/>
  <c r="E45" i="1"/>
  <c r="E50" i="1"/>
  <c r="E28" i="1"/>
  <c r="X282" i="11" l="1"/>
  <c r="S306" i="11"/>
  <c r="E360" i="11"/>
  <c r="E392" i="11" s="1"/>
  <c r="C392" i="11"/>
  <c r="AA351" i="3" s="1"/>
  <c r="D393" i="11"/>
  <c r="F361" i="11"/>
  <c r="F393" i="11" s="1"/>
  <c r="D362" i="11"/>
  <c r="C361" i="11"/>
  <c r="D338" i="11"/>
  <c r="D316" i="11"/>
  <c r="C315" i="11"/>
  <c r="F315" i="11"/>
  <c r="F338" i="11" s="1"/>
  <c r="D127" i="11"/>
  <c r="C97" i="11"/>
  <c r="F97" i="11"/>
  <c r="F127" i="11" s="1"/>
  <c r="D98" i="11"/>
  <c r="C337" i="11"/>
  <c r="E314" i="11"/>
  <c r="E337" i="11" s="1"/>
  <c r="E213" i="11"/>
  <c r="E239" i="11" s="1"/>
  <c r="C239" i="11"/>
  <c r="E96" i="11"/>
  <c r="E126" i="11" s="1"/>
  <c r="C126" i="11"/>
  <c r="D240" i="11"/>
  <c r="F214" i="11"/>
  <c r="F240" i="11" s="1"/>
  <c r="C214" i="11"/>
  <c r="D215" i="11"/>
  <c r="E266" i="11"/>
  <c r="E290" i="11" s="1"/>
  <c r="C290" i="11"/>
  <c r="D291" i="11"/>
  <c r="D268" i="11"/>
  <c r="F267" i="11"/>
  <c r="F291" i="11" s="1"/>
  <c r="C267" i="11"/>
  <c r="N172" i="11"/>
  <c r="L199" i="11"/>
  <c r="P199" i="11" s="1"/>
  <c r="D185" i="11"/>
  <c r="D158" i="11"/>
  <c r="C157" i="11"/>
  <c r="F157" i="11"/>
  <c r="F185" i="11" s="1"/>
  <c r="O282" i="11"/>
  <c r="R306" i="11" s="1"/>
  <c r="C184" i="11"/>
  <c r="E156" i="11"/>
  <c r="E184" i="11" s="1"/>
  <c r="L13" i="8"/>
  <c r="N13" i="8" s="1"/>
  <c r="M14" i="8"/>
  <c r="O13" i="8"/>
  <c r="V54" i="5"/>
  <c r="V55" i="5" s="1"/>
  <c r="V108" i="5"/>
  <c r="Z108" i="5" s="1"/>
  <c r="L172" i="11"/>
  <c r="K199" i="11"/>
  <c r="L230" i="11"/>
  <c r="K256" i="11" s="1"/>
  <c r="K255" i="11"/>
  <c r="E39" i="11"/>
  <c r="E68" i="11" s="1"/>
  <c r="C68" i="11"/>
  <c r="D69" i="11"/>
  <c r="C40" i="11"/>
  <c r="D41" i="11"/>
  <c r="F40" i="11"/>
  <c r="F69" i="11" s="1"/>
  <c r="M172" i="11"/>
  <c r="M199" i="11"/>
  <c r="Q199" i="11" s="1"/>
  <c r="G172" i="11"/>
  <c r="G199" i="11"/>
  <c r="O171" i="11"/>
  <c r="R199" i="11" s="1"/>
  <c r="G380" i="11"/>
  <c r="G411" i="11"/>
  <c r="H380" i="11"/>
  <c r="H411" i="11"/>
  <c r="T379" i="11"/>
  <c r="Y379" i="11" s="1"/>
  <c r="H306" i="11"/>
  <c r="T282" i="11"/>
  <c r="Y282" i="11" s="1"/>
  <c r="N230" i="11"/>
  <c r="P255" i="11"/>
  <c r="M230" i="11"/>
  <c r="Q255" i="11"/>
  <c r="H230" i="11"/>
  <c r="H255" i="11"/>
  <c r="T229" i="11"/>
  <c r="Y229" i="11" s="1"/>
  <c r="G230" i="11"/>
  <c r="G256" i="11" s="1"/>
  <c r="G255" i="11"/>
  <c r="H172" i="11"/>
  <c r="H199" i="11"/>
  <c r="T171" i="11"/>
  <c r="Y171" i="11" s="1"/>
  <c r="X380" i="11"/>
  <c r="S412" i="11"/>
  <c r="O379" i="11"/>
  <c r="R411" i="11" s="1"/>
  <c r="E377" i="11"/>
  <c r="E409" i="11" s="1"/>
  <c r="C409" i="11"/>
  <c r="N381" i="11"/>
  <c r="L412" i="11"/>
  <c r="P412" i="11" s="1"/>
  <c r="M381" i="11"/>
  <c r="M412" i="11"/>
  <c r="Q412" i="11" s="1"/>
  <c r="X379" i="11"/>
  <c r="S411" i="11"/>
  <c r="L379" i="11"/>
  <c r="K410" i="11"/>
  <c r="X229" i="11"/>
  <c r="S255" i="11"/>
  <c r="X173" i="11"/>
  <c r="S201" i="11"/>
  <c r="H111" i="11"/>
  <c r="H140" i="11"/>
  <c r="T110" i="11"/>
  <c r="Y110" i="11" s="1"/>
  <c r="N111" i="11"/>
  <c r="L140" i="11"/>
  <c r="P140" i="11" s="1"/>
  <c r="M111" i="11"/>
  <c r="M140" i="11"/>
  <c r="Q140" i="11" s="1"/>
  <c r="L111" i="11"/>
  <c r="K140" i="11"/>
  <c r="X111" i="11"/>
  <c r="S141" i="11"/>
  <c r="G111" i="11"/>
  <c r="G140" i="11"/>
  <c r="E50" i="11"/>
  <c r="E79" i="11" s="1"/>
  <c r="C79" i="11"/>
  <c r="X53" i="11"/>
  <c r="S83" i="11"/>
  <c r="L55" i="11"/>
  <c r="K84" i="11" s="1"/>
  <c r="K83" i="11"/>
  <c r="V25" i="9"/>
  <c r="U22" i="9"/>
  <c r="T47" i="9"/>
  <c r="Q25" i="9"/>
  <c r="AB47" i="9"/>
  <c r="Y22" i="9"/>
  <c r="L5" i="9"/>
  <c r="L37" i="9" s="1"/>
  <c r="AA343" i="3" s="1"/>
  <c r="M37" i="9"/>
  <c r="AB343" i="3" s="1"/>
  <c r="W26" i="9"/>
  <c r="U49" i="9"/>
  <c r="Y49" i="9" s="1"/>
  <c r="U21" i="8"/>
  <c r="T74" i="8"/>
  <c r="V37" i="8"/>
  <c r="V84" i="8"/>
  <c r="Z84" i="8" s="1"/>
  <c r="W37" i="8"/>
  <c r="U84" i="8"/>
  <c r="Y84" i="8" s="1"/>
  <c r="W34" i="7"/>
  <c r="U74" i="7"/>
  <c r="Y74" i="7" s="1"/>
  <c r="V34" i="7"/>
  <c r="V74" i="7"/>
  <c r="Z74" i="7" s="1"/>
  <c r="L15" i="7"/>
  <c r="L65" i="7" s="1"/>
  <c r="M65" i="7"/>
  <c r="U29" i="7"/>
  <c r="Y26" i="7"/>
  <c r="AB70" i="7"/>
  <c r="X25" i="7"/>
  <c r="AA70" i="7" s="1"/>
  <c r="V41" i="6"/>
  <c r="P57" i="6"/>
  <c r="X56" i="6"/>
  <c r="L15" i="6"/>
  <c r="L88" i="6" s="1"/>
  <c r="M88" i="6"/>
  <c r="Q57" i="6"/>
  <c r="W41" i="6"/>
  <c r="W54" i="5"/>
  <c r="U108" i="5"/>
  <c r="Y108" i="5" s="1"/>
  <c r="P108" i="5"/>
  <c r="P54" i="5"/>
  <c r="U22" i="5"/>
  <c r="T90" i="5"/>
  <c r="Q24" i="5"/>
  <c r="Q91" i="5"/>
  <c r="V24" i="5"/>
  <c r="V91" i="5"/>
  <c r="Z91" i="5" s="1"/>
  <c r="M23" i="5"/>
  <c r="L22" i="5"/>
  <c r="Q68" i="5"/>
  <c r="P24" i="5"/>
  <c r="P91" i="5"/>
  <c r="W24" i="5"/>
  <c r="U91" i="5"/>
  <c r="Y91" i="5" s="1"/>
  <c r="AB21" i="9"/>
  <c r="M74" i="9" s="1"/>
  <c r="N74" i="9"/>
  <c r="L74" i="9" s="1"/>
  <c r="AB19" i="8"/>
  <c r="M116" i="8" s="1"/>
  <c r="N116" i="8"/>
  <c r="L116" i="8" s="1"/>
  <c r="AA51" i="7"/>
  <c r="F52" i="7"/>
  <c r="G52" i="7" s="1"/>
  <c r="N143" i="7"/>
  <c r="AB19" i="6"/>
  <c r="M151" i="6" s="1"/>
  <c r="N151" i="6"/>
  <c r="L151" i="6"/>
  <c r="G425" i="3"/>
  <c r="V26" i="3"/>
  <c r="C5" i="14" s="1"/>
  <c r="V48" i="3"/>
  <c r="J17" i="1"/>
  <c r="G18" i="1"/>
  <c r="W15" i="3"/>
  <c r="F419" i="3" s="1"/>
  <c r="X14" i="3"/>
  <c r="V43" i="3"/>
  <c r="G435" i="3"/>
  <c r="N143" i="5"/>
  <c r="P143" i="5"/>
  <c r="L55" i="5"/>
  <c r="L109" i="5" s="1"/>
  <c r="Y21" i="5"/>
  <c r="X20" i="5"/>
  <c r="P381" i="11"/>
  <c r="O380" i="11"/>
  <c r="R412" i="11" s="1"/>
  <c r="F378" i="11"/>
  <c r="F410" i="11" s="1"/>
  <c r="D379" i="11"/>
  <c r="D411" i="11" s="1"/>
  <c r="C378" i="11"/>
  <c r="P230" i="11"/>
  <c r="O229" i="11"/>
  <c r="R255" i="11" s="1"/>
  <c r="K230" i="11"/>
  <c r="J256" i="11" s="1"/>
  <c r="K111" i="11"/>
  <c r="J141" i="11" s="1"/>
  <c r="J112" i="11"/>
  <c r="K171" i="11"/>
  <c r="J199" i="11" s="1"/>
  <c r="J172" i="11"/>
  <c r="P174" i="11"/>
  <c r="P112" i="11"/>
  <c r="O111" i="11"/>
  <c r="R141" i="11" s="1"/>
  <c r="K55" i="11"/>
  <c r="J84" i="11" s="1"/>
  <c r="O54" i="11"/>
  <c r="R83" i="11" s="1"/>
  <c r="P55" i="11"/>
  <c r="C51" i="11"/>
  <c r="F51" i="11"/>
  <c r="F80" i="11" s="1"/>
  <c r="D52" i="11"/>
  <c r="D81" i="11" s="1"/>
  <c r="Q32" i="8"/>
  <c r="Q81" i="8" s="1"/>
  <c r="P27" i="8"/>
  <c r="X26" i="8"/>
  <c r="AA77" i="8" s="1"/>
  <c r="N14" i="7"/>
  <c r="O15" i="7"/>
  <c r="O65" i="7" s="1"/>
  <c r="M16" i="7"/>
  <c r="L16" i="7" s="1"/>
  <c r="Q33" i="7"/>
  <c r="Q74" i="7" s="1"/>
  <c r="P29" i="7"/>
  <c r="P72" i="7" s="1"/>
  <c r="X20" i="6"/>
  <c r="P21" i="6"/>
  <c r="P91" i="6" s="1"/>
  <c r="L13" i="5"/>
  <c r="L87" i="5" s="1"/>
  <c r="F17" i="5"/>
  <c r="AA16" i="5"/>
  <c r="G16" i="5"/>
  <c r="AB15" i="5"/>
  <c r="O143" i="5" s="1"/>
  <c r="AD15" i="5"/>
  <c r="F20" i="8"/>
  <c r="AA20" i="8" s="1"/>
  <c r="G19" i="8"/>
  <c r="P20" i="9"/>
  <c r="X19" i="9"/>
  <c r="AA46" i="9" s="1"/>
  <c r="O5" i="9"/>
  <c r="O37" i="9" s="1"/>
  <c r="M6" i="9"/>
  <c r="L6" i="9" s="1"/>
  <c r="M16" i="6"/>
  <c r="L16" i="6" s="1"/>
  <c r="O15" i="6"/>
  <c r="O88" i="6" s="1"/>
  <c r="F22" i="9"/>
  <c r="AA22" i="9" s="1"/>
  <c r="G21" i="9"/>
  <c r="F20" i="6"/>
  <c r="AA20" i="6" s="1"/>
  <c r="G19" i="6"/>
  <c r="E51" i="1"/>
  <c r="E53" i="1"/>
  <c r="E29" i="1"/>
  <c r="M70" i="8" l="1"/>
  <c r="M15" i="8"/>
  <c r="O14" i="8"/>
  <c r="O70" i="8" s="1"/>
  <c r="L14" i="8"/>
  <c r="I18" i="1"/>
  <c r="G19" i="1"/>
  <c r="G20" i="1" s="1"/>
  <c r="G21" i="1" s="1"/>
  <c r="G22" i="1" s="1"/>
  <c r="G23" i="1" s="1"/>
  <c r="G24" i="1" s="1"/>
  <c r="G25" i="1" s="1"/>
  <c r="G26" i="1" s="1"/>
  <c r="G27" i="1" s="1"/>
  <c r="G28" i="1" s="1"/>
  <c r="N5" i="9"/>
  <c r="N37" i="9" s="1"/>
  <c r="D128" i="11"/>
  <c r="F98" i="11"/>
  <c r="F128" i="11" s="1"/>
  <c r="C98" i="11"/>
  <c r="D99" i="11"/>
  <c r="G173" i="11"/>
  <c r="G200" i="11"/>
  <c r="O172" i="11"/>
  <c r="R200" i="11" s="1"/>
  <c r="E157" i="11"/>
  <c r="E185" i="11" s="1"/>
  <c r="C185" i="11"/>
  <c r="D186" i="11"/>
  <c r="F158" i="11"/>
  <c r="F186" i="11" s="1"/>
  <c r="C158" i="11"/>
  <c r="D159" i="11"/>
  <c r="E97" i="11"/>
  <c r="E127" i="11" s="1"/>
  <c r="C127" i="11"/>
  <c r="M173" i="11"/>
  <c r="M200" i="11"/>
  <c r="Q200" i="11" s="1"/>
  <c r="D70" i="11"/>
  <c r="C41" i="11"/>
  <c r="D42" i="11"/>
  <c r="F41" i="11"/>
  <c r="F70" i="11" s="1"/>
  <c r="N173" i="11"/>
  <c r="L200" i="11"/>
  <c r="P200" i="11" s="1"/>
  <c r="E315" i="11"/>
  <c r="E338" i="11" s="1"/>
  <c r="C338" i="11"/>
  <c r="E40" i="11"/>
  <c r="E69" i="11" s="1"/>
  <c r="C69" i="11"/>
  <c r="E267" i="11"/>
  <c r="E291" i="11" s="1"/>
  <c r="C291" i="11"/>
  <c r="D339" i="11"/>
  <c r="D317" i="11"/>
  <c r="C316" i="11"/>
  <c r="F316" i="11"/>
  <c r="F339" i="11" s="1"/>
  <c r="D292" i="11"/>
  <c r="C268" i="11"/>
  <c r="D269" i="11"/>
  <c r="F268" i="11"/>
  <c r="F292" i="11" s="1"/>
  <c r="C393" i="11"/>
  <c r="E361" i="11"/>
  <c r="E393" i="11" s="1"/>
  <c r="D394" i="11"/>
  <c r="C362" i="11"/>
  <c r="D363" i="11"/>
  <c r="F362" i="11"/>
  <c r="F394" i="11" s="1"/>
  <c r="D241" i="11"/>
  <c r="D216" i="11"/>
  <c r="C215" i="11"/>
  <c r="F215" i="11"/>
  <c r="F241" i="11" s="1"/>
  <c r="L173" i="11"/>
  <c r="K200" i="11"/>
  <c r="E214" i="11"/>
  <c r="E240" i="11" s="1"/>
  <c r="C240" i="11"/>
  <c r="V56" i="5"/>
  <c r="V57" i="5" s="1"/>
  <c r="V109" i="5"/>
  <c r="Z109" i="5" s="1"/>
  <c r="L256" i="11"/>
  <c r="P256" i="11" s="1"/>
  <c r="M256" i="11"/>
  <c r="Q256" i="11" s="1"/>
  <c r="G381" i="11"/>
  <c r="G412" i="11"/>
  <c r="H381" i="11"/>
  <c r="H412" i="11"/>
  <c r="T380" i="11"/>
  <c r="Y380" i="11" s="1"/>
  <c r="H256" i="11"/>
  <c r="T230" i="11"/>
  <c r="Y230" i="11" s="1"/>
  <c r="H173" i="11"/>
  <c r="H200" i="11"/>
  <c r="T172" i="11"/>
  <c r="Y172" i="11" s="1"/>
  <c r="X381" i="11"/>
  <c r="S413" i="11"/>
  <c r="M382" i="11"/>
  <c r="M413" i="11"/>
  <c r="Q413" i="11" s="1"/>
  <c r="N382" i="11"/>
  <c r="L413" i="11"/>
  <c r="P413" i="11" s="1"/>
  <c r="E378" i="11"/>
  <c r="E410" i="11" s="1"/>
  <c r="C410" i="11"/>
  <c r="L380" i="11"/>
  <c r="K411" i="11"/>
  <c r="X230" i="11"/>
  <c r="S256" i="11"/>
  <c r="X174" i="11"/>
  <c r="S202" i="11"/>
  <c r="L112" i="11"/>
  <c r="K141" i="11"/>
  <c r="M112" i="11"/>
  <c r="M141" i="11"/>
  <c r="Q141" i="11" s="1"/>
  <c r="N112" i="11"/>
  <c r="L141" i="11"/>
  <c r="P141" i="11" s="1"/>
  <c r="X112" i="11"/>
  <c r="S142" i="11"/>
  <c r="G112" i="11"/>
  <c r="G141" i="11"/>
  <c r="H112" i="11"/>
  <c r="H141" i="11"/>
  <c r="T111" i="11"/>
  <c r="Y111" i="11" s="1"/>
  <c r="X54" i="11"/>
  <c r="S84" i="11"/>
  <c r="E51" i="11"/>
  <c r="E80" i="11" s="1"/>
  <c r="C80" i="11"/>
  <c r="W27" i="9"/>
  <c r="Y23" i="9"/>
  <c r="Q49" i="9"/>
  <c r="Q26" i="9"/>
  <c r="U23" i="9"/>
  <c r="V26" i="9"/>
  <c r="V49" i="9"/>
  <c r="Z49" i="9" s="1"/>
  <c r="W39" i="8"/>
  <c r="V39" i="8"/>
  <c r="U22" i="8"/>
  <c r="Y27" i="7"/>
  <c r="X26" i="7"/>
  <c r="U30" i="7"/>
  <c r="T72" i="7"/>
  <c r="V35" i="7"/>
  <c r="W35" i="7"/>
  <c r="W43" i="6"/>
  <c r="U103" i="6"/>
  <c r="Y103" i="6" s="1"/>
  <c r="Q58" i="6"/>
  <c r="Q113" i="6"/>
  <c r="P58" i="6"/>
  <c r="P113" i="6"/>
  <c r="X57" i="6"/>
  <c r="AA113" i="6" s="1"/>
  <c r="N15" i="6"/>
  <c r="N88" i="6" s="1"/>
  <c r="V43" i="6"/>
  <c r="V103" i="6"/>
  <c r="Z103" i="6" s="1"/>
  <c r="V25" i="5"/>
  <c r="W25" i="5"/>
  <c r="Q25" i="5"/>
  <c r="P25" i="5"/>
  <c r="U23" i="5"/>
  <c r="Y22" i="5"/>
  <c r="AB90" i="5"/>
  <c r="Q69" i="5"/>
  <c r="Q115" i="5"/>
  <c r="P55" i="5"/>
  <c r="M24" i="5"/>
  <c r="M91" i="5"/>
  <c r="L23" i="5"/>
  <c r="L91" i="5" s="1"/>
  <c r="W55" i="5"/>
  <c r="AB22" i="9"/>
  <c r="M75" i="9" s="1"/>
  <c r="N75" i="9"/>
  <c r="L75" i="9" s="1"/>
  <c r="AB20" i="8"/>
  <c r="M117" i="8" s="1"/>
  <c r="N117" i="8"/>
  <c r="L117" i="8" s="1"/>
  <c r="AA52" i="7"/>
  <c r="F53" i="7"/>
  <c r="G53" i="7" s="1"/>
  <c r="N144" i="7"/>
  <c r="AB20" i="6"/>
  <c r="M152" i="6" s="1"/>
  <c r="N152" i="6"/>
  <c r="L152" i="6"/>
  <c r="X15" i="3"/>
  <c r="E419" i="3" s="1"/>
  <c r="D419" i="3"/>
  <c r="V49" i="3"/>
  <c r="C8" i="14" s="1"/>
  <c r="G439" i="3"/>
  <c r="W16" i="3"/>
  <c r="F420" i="3" s="1"/>
  <c r="J18" i="1"/>
  <c r="V27" i="3"/>
  <c r="G426" i="3"/>
  <c r="V51" i="3"/>
  <c r="G441" i="3"/>
  <c r="N144" i="5"/>
  <c r="P144" i="5"/>
  <c r="M110" i="5"/>
  <c r="L56" i="5"/>
  <c r="X21" i="5"/>
  <c r="AA90" i="5" s="1"/>
  <c r="F379" i="11"/>
  <c r="F411" i="11" s="1"/>
  <c r="D380" i="11"/>
  <c r="D412" i="11" s="1"/>
  <c r="C379" i="11"/>
  <c r="O381" i="11"/>
  <c r="R413" i="11" s="1"/>
  <c r="P382" i="11"/>
  <c r="O230" i="11"/>
  <c r="R256" i="11" s="1"/>
  <c r="J113" i="11"/>
  <c r="K112" i="11"/>
  <c r="J142" i="11" s="1"/>
  <c r="J173" i="11"/>
  <c r="K172" i="11"/>
  <c r="J200" i="11" s="1"/>
  <c r="P113" i="11"/>
  <c r="D53" i="11"/>
  <c r="D82" i="11" s="1"/>
  <c r="F52" i="11"/>
  <c r="F81" i="11" s="1"/>
  <c r="C52" i="11"/>
  <c r="O55" i="11"/>
  <c r="R84" i="11" s="1"/>
  <c r="P28" i="8"/>
  <c r="P78" i="8" s="1"/>
  <c r="X27" i="8"/>
  <c r="Q33" i="8"/>
  <c r="N15" i="7"/>
  <c r="N65" i="7" s="1"/>
  <c r="M17" i="7"/>
  <c r="O16" i="7"/>
  <c r="P30" i="7"/>
  <c r="Q34" i="7"/>
  <c r="P22" i="6"/>
  <c r="X21" i="6"/>
  <c r="AA91" i="6" s="1"/>
  <c r="L12" i="5"/>
  <c r="AA17" i="5"/>
  <c r="G17" i="5"/>
  <c r="F18" i="5"/>
  <c r="AB16" i="5"/>
  <c r="O144" i="5" s="1"/>
  <c r="AD16" i="5"/>
  <c r="F21" i="8"/>
  <c r="AA21" i="8" s="1"/>
  <c r="G20" i="8"/>
  <c r="P21" i="9"/>
  <c r="P47" i="9" s="1"/>
  <c r="X20" i="9"/>
  <c r="M17" i="6"/>
  <c r="O16" i="6"/>
  <c r="N16" i="6"/>
  <c r="N6" i="9"/>
  <c r="O6" i="9"/>
  <c r="M7" i="9"/>
  <c r="F23" i="9"/>
  <c r="AA23" i="9" s="1"/>
  <c r="G22" i="9"/>
  <c r="F21" i="6"/>
  <c r="AA21" i="6" s="1"/>
  <c r="G20" i="6"/>
  <c r="E30" i="1"/>
  <c r="I19" i="1" l="1"/>
  <c r="E268" i="11"/>
  <c r="E292" i="11" s="1"/>
  <c r="C292" i="11"/>
  <c r="D187" i="11"/>
  <c r="F159" i="11"/>
  <c r="F187" i="11" s="1"/>
  <c r="C159" i="11"/>
  <c r="D160" i="11"/>
  <c r="E158" i="11"/>
  <c r="E186" i="11" s="1"/>
  <c r="C186" i="11"/>
  <c r="E316" i="11"/>
  <c r="E339" i="11" s="1"/>
  <c r="C339" i="11"/>
  <c r="D340" i="11"/>
  <c r="F317" i="11"/>
  <c r="F340" i="11" s="1"/>
  <c r="C317" i="11"/>
  <c r="D318" i="11"/>
  <c r="V58" i="5"/>
  <c r="V59" i="5" s="1"/>
  <c r="V110" i="5"/>
  <c r="Z110" i="5" s="1"/>
  <c r="G174" i="11"/>
  <c r="G201" i="11"/>
  <c r="O173" i="11"/>
  <c r="R201" i="11" s="1"/>
  <c r="L174" i="11"/>
  <c r="K202" i="11" s="1"/>
  <c r="K201" i="11"/>
  <c r="D129" i="11"/>
  <c r="D100" i="11"/>
  <c r="C99" i="11"/>
  <c r="F99" i="11"/>
  <c r="F129" i="11" s="1"/>
  <c r="D293" i="11"/>
  <c r="C269" i="11"/>
  <c r="F269" i="11"/>
  <c r="F293" i="11" s="1"/>
  <c r="D270" i="11"/>
  <c r="E98" i="11"/>
  <c r="E128" i="11" s="1"/>
  <c r="C128" i="11"/>
  <c r="E215" i="11"/>
  <c r="E241" i="11" s="1"/>
  <c r="C241" i="11"/>
  <c r="D242" i="11"/>
  <c r="F216" i="11"/>
  <c r="F242" i="11" s="1"/>
  <c r="C216" i="11"/>
  <c r="D217" i="11"/>
  <c r="N174" i="11"/>
  <c r="L202" i="11" s="1"/>
  <c r="P202" i="11" s="1"/>
  <c r="L201" i="11"/>
  <c r="P201" i="11" s="1"/>
  <c r="D395" i="11"/>
  <c r="C363" i="11"/>
  <c r="F363" i="11"/>
  <c r="F395" i="11" s="1"/>
  <c r="D364" i="11"/>
  <c r="D71" i="11"/>
  <c r="D43" i="11"/>
  <c r="C42" i="11"/>
  <c r="F42" i="11"/>
  <c r="F71" i="11" s="1"/>
  <c r="E362" i="11"/>
  <c r="E394" i="11" s="1"/>
  <c r="C394" i="11"/>
  <c r="E41" i="11"/>
  <c r="E70" i="11" s="1"/>
  <c r="C70" i="11"/>
  <c r="L70" i="8"/>
  <c r="N14" i="8"/>
  <c r="N70" i="8" s="1"/>
  <c r="M16" i="8"/>
  <c r="O15" i="8"/>
  <c r="L15" i="8"/>
  <c r="N15" i="8" s="1"/>
  <c r="M174" i="11"/>
  <c r="M202" i="11" s="1"/>
  <c r="Q202" i="11" s="1"/>
  <c r="M201" i="11"/>
  <c r="Q201" i="11" s="1"/>
  <c r="G382" i="11"/>
  <c r="G413" i="11"/>
  <c r="H382" i="11"/>
  <c r="H413" i="11"/>
  <c r="T381" i="11"/>
  <c r="Y381" i="11" s="1"/>
  <c r="H174" i="11"/>
  <c r="H201" i="11"/>
  <c r="T173" i="11"/>
  <c r="Y173" i="11" s="1"/>
  <c r="X382" i="11"/>
  <c r="S414" i="11"/>
  <c r="L381" i="11"/>
  <c r="K412" i="11"/>
  <c r="E379" i="11"/>
  <c r="E411" i="11" s="1"/>
  <c r="C411" i="11"/>
  <c r="N383" i="11"/>
  <c r="L414" i="11"/>
  <c r="P414" i="11" s="1"/>
  <c r="M383" i="11"/>
  <c r="M414" i="11"/>
  <c r="Q414" i="11" s="1"/>
  <c r="G113" i="11"/>
  <c r="G142" i="11"/>
  <c r="X113" i="11"/>
  <c r="S143" i="11"/>
  <c r="N113" i="11"/>
  <c r="L142" i="11"/>
  <c r="P142" i="11" s="1"/>
  <c r="M113" i="11"/>
  <c r="M142" i="11"/>
  <c r="Q142" i="11" s="1"/>
  <c r="O112" i="11"/>
  <c r="R142" i="11" s="1"/>
  <c r="H113" i="11"/>
  <c r="H142" i="11"/>
  <c r="T112" i="11"/>
  <c r="Y112" i="11" s="1"/>
  <c r="L113" i="11"/>
  <c r="K142" i="11"/>
  <c r="E52" i="11"/>
  <c r="E81" i="11" s="1"/>
  <c r="C81" i="11"/>
  <c r="V27" i="9"/>
  <c r="U24" i="9"/>
  <c r="T48" i="9"/>
  <c r="Q27" i="9"/>
  <c r="AB48" i="9"/>
  <c r="Y24" i="9"/>
  <c r="L7" i="9"/>
  <c r="L38" i="9" s="1"/>
  <c r="M38" i="9"/>
  <c r="W28" i="9"/>
  <c r="U50" i="9"/>
  <c r="Y50" i="9" s="1"/>
  <c r="Q82" i="8"/>
  <c r="U23" i="8"/>
  <c r="T75" i="8"/>
  <c r="V40" i="8"/>
  <c r="W40" i="8"/>
  <c r="W36" i="7"/>
  <c r="U75" i="7"/>
  <c r="Y75" i="7" s="1"/>
  <c r="V36" i="7"/>
  <c r="V75" i="7"/>
  <c r="Z75" i="7" s="1"/>
  <c r="U31" i="7"/>
  <c r="L17" i="7"/>
  <c r="L66" i="7" s="1"/>
  <c r="M66" i="7"/>
  <c r="Y28" i="7"/>
  <c r="AB71" i="7"/>
  <c r="X27" i="7"/>
  <c r="AA71" i="7" s="1"/>
  <c r="V44" i="6"/>
  <c r="V105" i="6"/>
  <c r="Z105" i="6" s="1"/>
  <c r="P59" i="6"/>
  <c r="X58" i="6"/>
  <c r="Q59" i="6"/>
  <c r="X22" i="6"/>
  <c r="AA92" i="6" s="1"/>
  <c r="P92" i="6"/>
  <c r="L17" i="6"/>
  <c r="L89" i="6" s="1"/>
  <c r="M89" i="6"/>
  <c r="W44" i="6"/>
  <c r="U105" i="6"/>
  <c r="Y105" i="6" s="1"/>
  <c r="Q26" i="5"/>
  <c r="Q92" i="5"/>
  <c r="W26" i="5"/>
  <c r="U92" i="5"/>
  <c r="Y92" i="5" s="1"/>
  <c r="P26" i="5"/>
  <c r="P92" i="5"/>
  <c r="V26" i="5"/>
  <c r="V92" i="5"/>
  <c r="Z92" i="5" s="1"/>
  <c r="M25" i="5"/>
  <c r="L24" i="5"/>
  <c r="U24" i="5"/>
  <c r="T91" i="5"/>
  <c r="W56" i="5"/>
  <c r="U109" i="5"/>
  <c r="Y109" i="5" s="1"/>
  <c r="P109" i="5"/>
  <c r="P56" i="5"/>
  <c r="AB23" i="9"/>
  <c r="M76" i="9" s="1"/>
  <c r="N76" i="9"/>
  <c r="L76" i="9" s="1"/>
  <c r="AB21" i="8"/>
  <c r="M118" i="8" s="1"/>
  <c r="N118" i="8"/>
  <c r="L118" i="8" s="1"/>
  <c r="AA53" i="7"/>
  <c r="F54" i="7"/>
  <c r="G54" i="7" s="1"/>
  <c r="N145" i="7"/>
  <c r="AB21" i="6"/>
  <c r="M153" i="6" s="1"/>
  <c r="N153" i="6"/>
  <c r="L153" i="6"/>
  <c r="D420" i="3"/>
  <c r="X16" i="3"/>
  <c r="E420" i="3" s="1"/>
  <c r="D4" i="14"/>
  <c r="V28" i="3"/>
  <c r="G427" i="3"/>
  <c r="W17" i="3"/>
  <c r="F421" i="3" s="1"/>
  <c r="I20" i="1"/>
  <c r="P145" i="5"/>
  <c r="N145" i="5"/>
  <c r="L57" i="5"/>
  <c r="L110" i="5" s="1"/>
  <c r="Y23" i="5"/>
  <c r="AB91" i="5" s="1"/>
  <c r="X22" i="5"/>
  <c r="O382" i="11"/>
  <c r="R414" i="11" s="1"/>
  <c r="P383" i="11"/>
  <c r="F380" i="11"/>
  <c r="F412" i="11" s="1"/>
  <c r="D381" i="11"/>
  <c r="D413" i="11" s="1"/>
  <c r="C380" i="11"/>
  <c r="K113" i="11"/>
  <c r="J143" i="11" s="1"/>
  <c r="J114" i="11"/>
  <c r="J174" i="11"/>
  <c r="K173" i="11"/>
  <c r="J201" i="11" s="1"/>
  <c r="O113" i="11"/>
  <c r="R143" i="11" s="1"/>
  <c r="P114" i="11"/>
  <c r="D54" i="11"/>
  <c r="D83" i="11" s="1"/>
  <c r="F53" i="11"/>
  <c r="F82" i="11" s="1"/>
  <c r="C53" i="11"/>
  <c r="X28" i="8"/>
  <c r="AA78" i="8" s="1"/>
  <c r="P29" i="8"/>
  <c r="N16" i="7"/>
  <c r="O17" i="7"/>
  <c r="O66" i="7" s="1"/>
  <c r="M18" i="7"/>
  <c r="L18" i="7" s="1"/>
  <c r="Q35" i="7"/>
  <c r="Q75" i="7" s="1"/>
  <c r="P31" i="7"/>
  <c r="P73" i="7" s="1"/>
  <c r="L11" i="5"/>
  <c r="L86" i="5" s="1"/>
  <c r="AA18" i="5"/>
  <c r="F19" i="5"/>
  <c r="G18" i="5"/>
  <c r="AB17" i="5"/>
  <c r="O145" i="5" s="1"/>
  <c r="AD17" i="5"/>
  <c r="F22" i="8"/>
  <c r="AA22" i="8" s="1"/>
  <c r="G21" i="8"/>
  <c r="P22" i="9"/>
  <c r="X21" i="9"/>
  <c r="AA47" i="9" s="1"/>
  <c r="O7" i="9"/>
  <c r="O38" i="9" s="1"/>
  <c r="M8" i="9"/>
  <c r="O17" i="6"/>
  <c r="O89" i="6" s="1"/>
  <c r="M18" i="6"/>
  <c r="L18" i="6" s="1"/>
  <c r="F24" i="9"/>
  <c r="AA24" i="9" s="1"/>
  <c r="G23" i="9"/>
  <c r="G21" i="6"/>
  <c r="F22" i="6"/>
  <c r="AA22" i="6" s="1"/>
  <c r="D396" i="11" l="1"/>
  <c r="F364" i="11"/>
  <c r="F396" i="11" s="1"/>
  <c r="D365" i="11"/>
  <c r="C364" i="11"/>
  <c r="E363" i="11"/>
  <c r="E395" i="11" s="1"/>
  <c r="C395" i="11"/>
  <c r="G202" i="11"/>
  <c r="O174" i="11"/>
  <c r="R202" i="11" s="1"/>
  <c r="D243" i="11"/>
  <c r="F217" i="11"/>
  <c r="F243" i="11" s="1"/>
  <c r="C217" i="11"/>
  <c r="D218" i="11"/>
  <c r="V60" i="5"/>
  <c r="V61" i="5" s="1"/>
  <c r="V111" i="5"/>
  <c r="Z111" i="5" s="1"/>
  <c r="D341" i="11"/>
  <c r="D319" i="11"/>
  <c r="F318" i="11"/>
  <c r="F341" i="11" s="1"/>
  <c r="C318" i="11"/>
  <c r="E317" i="11"/>
  <c r="E340" i="11" s="1"/>
  <c r="C340" i="11"/>
  <c r="E216" i="11"/>
  <c r="E242" i="11" s="1"/>
  <c r="C242" i="11"/>
  <c r="O16" i="8"/>
  <c r="O71" i="8" s="1"/>
  <c r="M17" i="8"/>
  <c r="L16" i="8"/>
  <c r="M71" i="8"/>
  <c r="D294" i="11"/>
  <c r="C270" i="11"/>
  <c r="F270" i="11"/>
  <c r="F294" i="11" s="1"/>
  <c r="D271" i="11"/>
  <c r="D188" i="11"/>
  <c r="D161" i="11"/>
  <c r="C160" i="11"/>
  <c r="F160" i="11"/>
  <c r="F188" i="11" s="1"/>
  <c r="E269" i="11"/>
  <c r="E293" i="11" s="1"/>
  <c r="C293" i="11"/>
  <c r="C187" i="11"/>
  <c r="E159" i="11"/>
  <c r="E187" i="11" s="1"/>
  <c r="E42" i="11"/>
  <c r="E71" i="11" s="1"/>
  <c r="C71" i="11"/>
  <c r="E99" i="11"/>
  <c r="E129" i="11" s="1"/>
  <c r="C129" i="11"/>
  <c r="D72" i="11"/>
  <c r="D44" i="11"/>
  <c r="C43" i="11"/>
  <c r="F43" i="11"/>
  <c r="F72" i="11" s="1"/>
  <c r="D130" i="11"/>
  <c r="C100" i="11"/>
  <c r="D101" i="11"/>
  <c r="F100" i="11"/>
  <c r="F130" i="11" s="1"/>
  <c r="G383" i="11"/>
  <c r="G414" i="11"/>
  <c r="H383" i="11"/>
  <c r="H414" i="11"/>
  <c r="T382" i="11"/>
  <c r="Y382" i="11" s="1"/>
  <c r="H202" i="11"/>
  <c r="T174" i="11"/>
  <c r="Y174" i="11" s="1"/>
  <c r="N17" i="6"/>
  <c r="N89" i="6" s="1"/>
  <c r="F4" i="14"/>
  <c r="E4" i="14" s="1"/>
  <c r="M384" i="11"/>
  <c r="M415" i="11"/>
  <c r="Q415" i="11" s="1"/>
  <c r="N384" i="11"/>
  <c r="L415" i="11"/>
  <c r="P415" i="11" s="1"/>
  <c r="E380" i="11"/>
  <c r="E412" i="11" s="1"/>
  <c r="C412" i="11"/>
  <c r="L382" i="11"/>
  <c r="K413" i="11"/>
  <c r="X383" i="11"/>
  <c r="S415" i="11"/>
  <c r="H114" i="11"/>
  <c r="H143" i="11"/>
  <c r="T113" i="11"/>
  <c r="Y113" i="11" s="1"/>
  <c r="M114" i="11"/>
  <c r="M143" i="11"/>
  <c r="Q143" i="11" s="1"/>
  <c r="N114" i="11"/>
  <c r="L143" i="11"/>
  <c r="P143" i="11" s="1"/>
  <c r="L114" i="11"/>
  <c r="K143" i="11"/>
  <c r="X114" i="11"/>
  <c r="S144" i="11"/>
  <c r="G114" i="11"/>
  <c r="O114" i="11" s="1"/>
  <c r="R144" i="11" s="1"/>
  <c r="G143" i="11"/>
  <c r="E53" i="11"/>
  <c r="E82" i="11" s="1"/>
  <c r="C82" i="11"/>
  <c r="W29" i="9"/>
  <c r="Y25" i="9"/>
  <c r="Q50" i="9"/>
  <c r="Q28" i="9"/>
  <c r="U25" i="9"/>
  <c r="L8" i="9"/>
  <c r="L39" i="9" s="1"/>
  <c r="M39" i="9"/>
  <c r="N7" i="9"/>
  <c r="N38" i="9" s="1"/>
  <c r="V28" i="9"/>
  <c r="V50" i="9"/>
  <c r="Z50" i="9" s="1"/>
  <c r="Q35" i="8"/>
  <c r="Q36" i="8" s="1"/>
  <c r="Q37" i="8" s="1"/>
  <c r="Q83" i="8"/>
  <c r="W41" i="8"/>
  <c r="U86" i="8"/>
  <c r="Y86" i="8" s="1"/>
  <c r="V41" i="8"/>
  <c r="V86" i="8"/>
  <c r="Z86" i="8" s="1"/>
  <c r="U24" i="8"/>
  <c r="Y29" i="7"/>
  <c r="X28" i="7"/>
  <c r="U32" i="7"/>
  <c r="T73" i="7"/>
  <c r="V37" i="7"/>
  <c r="W37" i="7"/>
  <c r="W45" i="6"/>
  <c r="Q60" i="6"/>
  <c r="Q114" i="6"/>
  <c r="P60" i="6"/>
  <c r="P114" i="6"/>
  <c r="X59" i="6"/>
  <c r="AA114" i="6" s="1"/>
  <c r="V45" i="6"/>
  <c r="M26" i="5"/>
  <c r="M92" i="5"/>
  <c r="L25" i="5"/>
  <c r="L92" i="5" s="1"/>
  <c r="V27" i="5"/>
  <c r="P27" i="5"/>
  <c r="W57" i="5"/>
  <c r="Q116" i="5"/>
  <c r="W27" i="5"/>
  <c r="V72" i="5"/>
  <c r="V118" i="5" s="1"/>
  <c r="Z118" i="5" s="1"/>
  <c r="V117" i="5"/>
  <c r="Z117" i="5" s="1"/>
  <c r="U25" i="5"/>
  <c r="P57" i="5"/>
  <c r="Q27" i="5"/>
  <c r="AB24" i="9"/>
  <c r="M78" i="9" s="1"/>
  <c r="N78" i="9"/>
  <c r="L78" i="9" s="1"/>
  <c r="AB22" i="8"/>
  <c r="M119" i="8" s="1"/>
  <c r="N119" i="8"/>
  <c r="L119" i="8" s="1"/>
  <c r="AA54" i="7"/>
  <c r="N146" i="7"/>
  <c r="AB22" i="6"/>
  <c r="M154" i="6" s="1"/>
  <c r="N154" i="6"/>
  <c r="L154" i="6"/>
  <c r="X17" i="3"/>
  <c r="E421" i="3" s="1"/>
  <c r="D421" i="3"/>
  <c r="I21" i="1"/>
  <c r="W18" i="3"/>
  <c r="J20" i="1"/>
  <c r="P146" i="5"/>
  <c r="N146" i="5"/>
  <c r="M111" i="5"/>
  <c r="L58" i="5"/>
  <c r="Y24" i="5"/>
  <c r="X23" i="5"/>
  <c r="AA91" i="5" s="1"/>
  <c r="F381" i="11"/>
  <c r="F413" i="11" s="1"/>
  <c r="D382" i="11"/>
  <c r="D414" i="11" s="1"/>
  <c r="C381" i="11"/>
  <c r="P384" i="11"/>
  <c r="O383" i="11"/>
  <c r="R415" i="11" s="1"/>
  <c r="J115" i="11"/>
  <c r="K114" i="11"/>
  <c r="J144" i="11" s="1"/>
  <c r="K174" i="11"/>
  <c r="J202" i="11" s="1"/>
  <c r="P115" i="11"/>
  <c r="C54" i="11"/>
  <c r="D55" i="11"/>
  <c r="D84" i="11" s="1"/>
  <c r="F54" i="11"/>
  <c r="F83" i="11" s="1"/>
  <c r="X29" i="8"/>
  <c r="P30" i="8"/>
  <c r="P79" i="8" s="1"/>
  <c r="N17" i="7"/>
  <c r="N66" i="7" s="1"/>
  <c r="M19" i="7"/>
  <c r="O18" i="7"/>
  <c r="P32" i="7"/>
  <c r="Q36" i="7"/>
  <c r="L10" i="5"/>
  <c r="AA19" i="5"/>
  <c r="G19" i="5"/>
  <c r="F20" i="5"/>
  <c r="AB18" i="5"/>
  <c r="O146" i="5" s="1"/>
  <c r="AD18" i="5"/>
  <c r="F23" i="8"/>
  <c r="AA23" i="8" s="1"/>
  <c r="G22" i="8"/>
  <c r="P23" i="9"/>
  <c r="P48" i="9" s="1"/>
  <c r="X22" i="9"/>
  <c r="O18" i="6"/>
  <c r="M19" i="6"/>
  <c r="N18" i="6"/>
  <c r="M9" i="9"/>
  <c r="O8" i="9"/>
  <c r="O39" i="9" s="1"/>
  <c r="F25" i="9"/>
  <c r="AA25" i="9" s="1"/>
  <c r="G24" i="9"/>
  <c r="G22" i="6"/>
  <c r="F23" i="6"/>
  <c r="AA23" i="6" s="1"/>
  <c r="D73" i="11" l="1"/>
  <c r="F44" i="11"/>
  <c r="F73" i="11" s="1"/>
  <c r="D45" i="11"/>
  <c r="C44" i="11"/>
  <c r="E318" i="11"/>
  <c r="E341" i="11" s="1"/>
  <c r="C341" i="11"/>
  <c r="G4" i="14"/>
  <c r="D342" i="11"/>
  <c r="D320" i="11"/>
  <c r="C319" i="11"/>
  <c r="F319" i="11"/>
  <c r="F342" i="11" s="1"/>
  <c r="V62" i="5"/>
  <c r="V63" i="5" s="1"/>
  <c r="V112" i="5"/>
  <c r="Z112" i="5" s="1"/>
  <c r="D244" i="11"/>
  <c r="F218" i="11"/>
  <c r="F244" i="11" s="1"/>
  <c r="C218" i="11"/>
  <c r="D219" i="11"/>
  <c r="E160" i="11"/>
  <c r="E188" i="11" s="1"/>
  <c r="C188" i="11"/>
  <c r="E217" i="11"/>
  <c r="E243" i="11" s="1"/>
  <c r="C243" i="11"/>
  <c r="D189" i="11"/>
  <c r="C161" i="11"/>
  <c r="F161" i="11"/>
  <c r="F189" i="11" s="1"/>
  <c r="D162" i="11"/>
  <c r="D295" i="11"/>
  <c r="C271" i="11"/>
  <c r="D272" i="11"/>
  <c r="F271" i="11"/>
  <c r="F295" i="11" s="1"/>
  <c r="E270" i="11"/>
  <c r="E294" i="11" s="1"/>
  <c r="C294" i="11"/>
  <c r="D131" i="11"/>
  <c r="D102" i="11"/>
  <c r="C101" i="11"/>
  <c r="F101" i="11"/>
  <c r="F131" i="11" s="1"/>
  <c r="E100" i="11"/>
  <c r="E130" i="11" s="1"/>
  <c r="C130" i="11"/>
  <c r="C396" i="11"/>
  <c r="E364" i="11"/>
  <c r="E396" i="11" s="1"/>
  <c r="L71" i="8"/>
  <c r="N16" i="8"/>
  <c r="N71" i="8" s="1"/>
  <c r="D397" i="11"/>
  <c r="C365" i="11"/>
  <c r="F365" i="11"/>
  <c r="F397" i="11" s="1"/>
  <c r="D366" i="11"/>
  <c r="L17" i="8"/>
  <c r="M72" i="8"/>
  <c r="M18" i="8"/>
  <c r="O17" i="8"/>
  <c r="O72" i="8" s="1"/>
  <c r="E43" i="11"/>
  <c r="E72" i="11" s="1"/>
  <c r="C72" i="11"/>
  <c r="G384" i="11"/>
  <c r="G415" i="11"/>
  <c r="H384" i="11"/>
  <c r="H415" i="11"/>
  <c r="T383" i="11"/>
  <c r="Y383" i="11" s="1"/>
  <c r="X384" i="11"/>
  <c r="S416" i="11"/>
  <c r="E381" i="11"/>
  <c r="E413" i="11" s="1"/>
  <c r="C413" i="11"/>
  <c r="L383" i="11"/>
  <c r="K414" i="11"/>
  <c r="N385" i="11"/>
  <c r="L416" i="11"/>
  <c r="P416" i="11" s="1"/>
  <c r="M385" i="11"/>
  <c r="M416" i="11"/>
  <c r="Q416" i="11" s="1"/>
  <c r="N8" i="9"/>
  <c r="N39" i="9" s="1"/>
  <c r="L115" i="11"/>
  <c r="K145" i="11" s="1"/>
  <c r="K144" i="11"/>
  <c r="N115" i="11"/>
  <c r="L145" i="11" s="1"/>
  <c r="P145" i="11" s="1"/>
  <c r="L144" i="11"/>
  <c r="P144" i="11" s="1"/>
  <c r="X115" i="11"/>
  <c r="S145" i="11"/>
  <c r="M115" i="11"/>
  <c r="M145" i="11" s="1"/>
  <c r="Q145" i="11" s="1"/>
  <c r="M144" i="11"/>
  <c r="Q144" i="11" s="1"/>
  <c r="G115" i="11"/>
  <c r="G145" i="11" s="1"/>
  <c r="G144" i="11"/>
  <c r="H115" i="11"/>
  <c r="H144" i="11"/>
  <c r="T114" i="11"/>
  <c r="Y114" i="11" s="1"/>
  <c r="E54" i="11"/>
  <c r="E83" i="11" s="1"/>
  <c r="C83" i="11"/>
  <c r="U26" i="9"/>
  <c r="T49" i="9"/>
  <c r="L9" i="9"/>
  <c r="L40" i="9" s="1"/>
  <c r="M40" i="9"/>
  <c r="Q29" i="9"/>
  <c r="V29" i="9"/>
  <c r="AB49" i="9"/>
  <c r="Y26" i="9"/>
  <c r="W30" i="9"/>
  <c r="U51" i="9"/>
  <c r="Y51" i="9" s="1"/>
  <c r="V42" i="8"/>
  <c r="U25" i="8"/>
  <c r="T76" i="8"/>
  <c r="W42" i="8"/>
  <c r="W39" i="7"/>
  <c r="U76" i="7"/>
  <c r="Y76" i="7" s="1"/>
  <c r="L19" i="7"/>
  <c r="L67" i="7" s="1"/>
  <c r="M67" i="7"/>
  <c r="V39" i="7"/>
  <c r="V76" i="7"/>
  <c r="Z76" i="7" s="1"/>
  <c r="U33" i="7"/>
  <c r="Y30" i="7"/>
  <c r="AB72" i="7"/>
  <c r="X29" i="7"/>
  <c r="AA72" i="7" s="1"/>
  <c r="P61" i="6"/>
  <c r="X60" i="6"/>
  <c r="V46" i="6"/>
  <c r="V106" i="6"/>
  <c r="Z106" i="6" s="1"/>
  <c r="Q61" i="6"/>
  <c r="L19" i="6"/>
  <c r="L90" i="6" s="1"/>
  <c r="M90" i="6"/>
  <c r="W46" i="6"/>
  <c r="U106" i="6"/>
  <c r="Y106" i="6" s="1"/>
  <c r="W28" i="5"/>
  <c r="U93" i="5"/>
  <c r="Y93" i="5" s="1"/>
  <c r="Q72" i="5"/>
  <c r="Q118" i="5" s="1"/>
  <c r="Q117" i="5"/>
  <c r="W58" i="5"/>
  <c r="U110" i="5"/>
  <c r="Y110" i="5" s="1"/>
  <c r="P28" i="5"/>
  <c r="P93" i="5"/>
  <c r="U26" i="5"/>
  <c r="T92" i="5"/>
  <c r="V28" i="5"/>
  <c r="V93" i="5"/>
  <c r="Z93" i="5" s="1"/>
  <c r="Q28" i="5"/>
  <c r="Q93" i="5"/>
  <c r="V73" i="5"/>
  <c r="P58" i="5"/>
  <c r="P110" i="5"/>
  <c r="M27" i="5"/>
  <c r="L26" i="5"/>
  <c r="AB25" i="9"/>
  <c r="M79" i="9" s="1"/>
  <c r="N79" i="9"/>
  <c r="L79" i="9" s="1"/>
  <c r="AB23" i="8"/>
  <c r="M120" i="8" s="1"/>
  <c r="N120" i="8"/>
  <c r="L120" i="8" s="1"/>
  <c r="N147" i="7"/>
  <c r="AB23" i="6"/>
  <c r="M155" i="6" s="1"/>
  <c r="N155" i="6"/>
  <c r="L155" i="6"/>
  <c r="X18" i="3"/>
  <c r="J21" i="1"/>
  <c r="I22" i="1"/>
  <c r="W19" i="3"/>
  <c r="P147" i="5"/>
  <c r="N147" i="5"/>
  <c r="L59" i="5"/>
  <c r="L111" i="5" s="1"/>
  <c r="Y25" i="5"/>
  <c r="AB92" i="5" s="1"/>
  <c r="X24" i="5"/>
  <c r="P385" i="11"/>
  <c r="O384" i="11"/>
  <c r="R416" i="11" s="1"/>
  <c r="F382" i="11"/>
  <c r="F414" i="11" s="1"/>
  <c r="D383" i="11"/>
  <c r="D415" i="11" s="1"/>
  <c r="C382" i="11"/>
  <c r="K115" i="11"/>
  <c r="J145" i="11" s="1"/>
  <c r="F55" i="11"/>
  <c r="F84" i="11" s="1"/>
  <c r="C55" i="11"/>
  <c r="Q84" i="8"/>
  <c r="X30" i="8"/>
  <c r="AA79" i="8" s="1"/>
  <c r="N18" i="7"/>
  <c r="O19" i="7"/>
  <c r="O67" i="7" s="1"/>
  <c r="M20" i="7"/>
  <c r="L20" i="7" s="1"/>
  <c r="Q37" i="7"/>
  <c r="Q76" i="7" s="1"/>
  <c r="AB36" i="7"/>
  <c r="M127" i="7" s="1"/>
  <c r="P33" i="7"/>
  <c r="P74" i="7" s="1"/>
  <c r="L9" i="5"/>
  <c r="L85" i="5" s="1"/>
  <c r="AA20" i="5"/>
  <c r="F21" i="5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G20" i="5"/>
  <c r="AB19" i="5"/>
  <c r="O147" i="5" s="1"/>
  <c r="AD19" i="5"/>
  <c r="F24" i="8"/>
  <c r="AA24" i="8" s="1"/>
  <c r="G23" i="8"/>
  <c r="P24" i="9"/>
  <c r="X23" i="9"/>
  <c r="AA48" i="9" s="1"/>
  <c r="O9" i="9"/>
  <c r="O40" i="9" s="1"/>
  <c r="M10" i="9"/>
  <c r="O19" i="6"/>
  <c r="O90" i="6" s="1"/>
  <c r="M20" i="6"/>
  <c r="L20" i="6" s="1"/>
  <c r="F26" i="9"/>
  <c r="AA26" i="9" s="1"/>
  <c r="G25" i="9"/>
  <c r="F24" i="6"/>
  <c r="AA24" i="6" s="1"/>
  <c r="G23" i="6"/>
  <c r="E365" i="11" l="1"/>
  <c r="E397" i="11" s="1"/>
  <c r="C397" i="11"/>
  <c r="D245" i="11"/>
  <c r="D220" i="11"/>
  <c r="F219" i="11"/>
  <c r="F245" i="11" s="1"/>
  <c r="C219" i="11"/>
  <c r="C244" i="11"/>
  <c r="E218" i="11"/>
  <c r="E244" i="11" s="1"/>
  <c r="E101" i="11"/>
  <c r="E131" i="11" s="1"/>
  <c r="C131" i="11"/>
  <c r="V64" i="5"/>
  <c r="V65" i="5" s="1"/>
  <c r="V113" i="5"/>
  <c r="Z113" i="5" s="1"/>
  <c r="D132" i="11"/>
  <c r="D103" i="11"/>
  <c r="F102" i="11"/>
  <c r="F132" i="11" s="1"/>
  <c r="C102" i="11"/>
  <c r="E319" i="11"/>
  <c r="E342" i="11" s="1"/>
  <c r="C342" i="11"/>
  <c r="D343" i="11"/>
  <c r="D321" i="11"/>
  <c r="C320" i="11"/>
  <c r="F320" i="11"/>
  <c r="F343" i="11" s="1"/>
  <c r="D296" i="11"/>
  <c r="C272" i="11"/>
  <c r="D273" i="11"/>
  <c r="F272" i="11"/>
  <c r="F296" i="11" s="1"/>
  <c r="C295" i="11"/>
  <c r="E271" i="11"/>
  <c r="E295" i="11" s="1"/>
  <c r="L18" i="8"/>
  <c r="M73" i="8"/>
  <c r="M19" i="8"/>
  <c r="O18" i="8"/>
  <c r="O73" i="8" s="1"/>
  <c r="E44" i="11"/>
  <c r="E73" i="11" s="1"/>
  <c r="C73" i="11"/>
  <c r="D190" i="11"/>
  <c r="C162" i="11"/>
  <c r="F162" i="11"/>
  <c r="F190" i="11" s="1"/>
  <c r="D163" i="11"/>
  <c r="D74" i="11"/>
  <c r="F45" i="11"/>
  <c r="F74" i="11" s="1"/>
  <c r="D46" i="11"/>
  <c r="C45" i="11"/>
  <c r="L72" i="8"/>
  <c r="N17" i="8"/>
  <c r="N72" i="8" s="1"/>
  <c r="D398" i="11"/>
  <c r="F366" i="11"/>
  <c r="F398" i="11" s="1"/>
  <c r="D367" i="11"/>
  <c r="C366" i="11"/>
  <c r="E161" i="11"/>
  <c r="E189" i="11" s="1"/>
  <c r="C189" i="11"/>
  <c r="G385" i="11"/>
  <c r="G416" i="11"/>
  <c r="H385" i="11"/>
  <c r="H416" i="11"/>
  <c r="T384" i="11"/>
  <c r="Y384" i="11" s="1"/>
  <c r="N19" i="6"/>
  <c r="N90" i="6" s="1"/>
  <c r="E382" i="11"/>
  <c r="E414" i="11" s="1"/>
  <c r="C414" i="11"/>
  <c r="M386" i="11"/>
  <c r="M418" i="11" s="1"/>
  <c r="Q418" i="11" s="1"/>
  <c r="M417" i="11"/>
  <c r="Q417" i="11" s="1"/>
  <c r="X385" i="11"/>
  <c r="S417" i="11"/>
  <c r="N386" i="11"/>
  <c r="L418" i="11" s="1"/>
  <c r="P418" i="11" s="1"/>
  <c r="L417" i="11"/>
  <c r="P417" i="11" s="1"/>
  <c r="L384" i="11"/>
  <c r="K415" i="11"/>
  <c r="N9" i="9"/>
  <c r="N40" i="9" s="1"/>
  <c r="O115" i="11"/>
  <c r="R145" i="11" s="1"/>
  <c r="H145" i="11"/>
  <c r="T115" i="11"/>
  <c r="Y115" i="11" s="1"/>
  <c r="E55" i="11"/>
  <c r="E84" i="11" s="1"/>
  <c r="C84" i="11"/>
  <c r="W31" i="9"/>
  <c r="U52" i="9" s="1"/>
  <c r="Y52" i="9" s="1"/>
  <c r="L10" i="9"/>
  <c r="N10" i="9" s="1"/>
  <c r="V30" i="9"/>
  <c r="V51" i="9"/>
  <c r="Z51" i="9" s="1"/>
  <c r="Y27" i="9"/>
  <c r="Q51" i="9"/>
  <c r="Q30" i="9"/>
  <c r="U27" i="9"/>
  <c r="W43" i="8"/>
  <c r="U87" i="8"/>
  <c r="Y87" i="8" s="1"/>
  <c r="U26" i="8"/>
  <c r="V43" i="8"/>
  <c r="V87" i="8"/>
  <c r="Z87" i="8" s="1"/>
  <c r="Y31" i="7"/>
  <c r="X30" i="7"/>
  <c r="U34" i="7"/>
  <c r="T74" i="7"/>
  <c r="V40" i="7"/>
  <c r="V78" i="7"/>
  <c r="Z78" i="7" s="1"/>
  <c r="W40" i="7"/>
  <c r="U78" i="7"/>
  <c r="Y78" i="7" s="1"/>
  <c r="W47" i="6"/>
  <c r="V47" i="6"/>
  <c r="Q62" i="6"/>
  <c r="Q115" i="6"/>
  <c r="P62" i="6"/>
  <c r="P115" i="6"/>
  <c r="X61" i="6"/>
  <c r="AA115" i="6" s="1"/>
  <c r="P29" i="5"/>
  <c r="P59" i="5"/>
  <c r="W59" i="5"/>
  <c r="V29" i="5"/>
  <c r="U27" i="5"/>
  <c r="M93" i="5"/>
  <c r="M28" i="5"/>
  <c r="L27" i="5"/>
  <c r="L93" i="5" s="1"/>
  <c r="V74" i="5"/>
  <c r="Q73" i="5"/>
  <c r="Q29" i="5"/>
  <c r="W29" i="5"/>
  <c r="AB26" i="9"/>
  <c r="M80" i="9" s="1"/>
  <c r="N80" i="9"/>
  <c r="L80" i="9" s="1"/>
  <c r="AB24" i="8"/>
  <c r="M121" i="8" s="1"/>
  <c r="N121" i="8"/>
  <c r="L121" i="8" s="1"/>
  <c r="AB24" i="6"/>
  <c r="M157" i="6" s="1"/>
  <c r="N157" i="6"/>
  <c r="L157" i="6"/>
  <c r="X19" i="3"/>
  <c r="W20" i="3"/>
  <c r="J22" i="1"/>
  <c r="I23" i="1"/>
  <c r="P149" i="5"/>
  <c r="N149" i="5"/>
  <c r="M112" i="5"/>
  <c r="L60" i="5"/>
  <c r="Y26" i="5"/>
  <c r="X25" i="5"/>
  <c r="AA92" i="5" s="1"/>
  <c r="F383" i="11"/>
  <c r="F415" i="11" s="1"/>
  <c r="D384" i="11"/>
  <c r="D416" i="11" s="1"/>
  <c r="C383" i="11"/>
  <c r="O385" i="11"/>
  <c r="R417" i="11" s="1"/>
  <c r="P386" i="11"/>
  <c r="S418" i="11" s="1"/>
  <c r="P32" i="8"/>
  <c r="P81" i="8" s="1"/>
  <c r="X31" i="8"/>
  <c r="AA80" i="8" s="1"/>
  <c r="N19" i="7"/>
  <c r="N67" i="7" s="1"/>
  <c r="O20" i="7"/>
  <c r="M21" i="7"/>
  <c r="P34" i="7"/>
  <c r="AB37" i="7"/>
  <c r="M128" i="7" s="1"/>
  <c r="L8" i="5"/>
  <c r="AA21" i="5"/>
  <c r="G21" i="5"/>
  <c r="AB20" i="5"/>
  <c r="O149" i="5" s="1"/>
  <c r="AD20" i="5"/>
  <c r="G24" i="8"/>
  <c r="F25" i="8"/>
  <c r="AA25" i="8" s="1"/>
  <c r="P25" i="9"/>
  <c r="P49" i="9" s="1"/>
  <c r="X24" i="9"/>
  <c r="O10" i="9"/>
  <c r="M11" i="9"/>
  <c r="N20" i="6"/>
  <c r="O20" i="6"/>
  <c r="M21" i="6"/>
  <c r="F27" i="9"/>
  <c r="AA27" i="9" s="1"/>
  <c r="G26" i="9"/>
  <c r="F25" i="6"/>
  <c r="AA25" i="6" s="1"/>
  <c r="G24" i="6"/>
  <c r="C190" i="11" l="1"/>
  <c r="E162" i="11"/>
  <c r="E190" i="11" s="1"/>
  <c r="D133" i="11"/>
  <c r="D104" i="11"/>
  <c r="C103" i="11"/>
  <c r="F103" i="11"/>
  <c r="F133" i="11" s="1"/>
  <c r="C132" i="11"/>
  <c r="E102" i="11"/>
  <c r="E132" i="11" s="1"/>
  <c r="D75" i="11"/>
  <c r="F46" i="11"/>
  <c r="F75" i="11" s="1"/>
  <c r="C46" i="11"/>
  <c r="E45" i="11"/>
  <c r="E74" i="11" s="1"/>
  <c r="C74" i="11"/>
  <c r="D191" i="11"/>
  <c r="F163" i="11"/>
  <c r="F191" i="11" s="1"/>
  <c r="C163" i="11"/>
  <c r="D164" i="11"/>
  <c r="V66" i="5"/>
  <c r="V67" i="5" s="1"/>
  <c r="V68" i="5" s="1"/>
  <c r="V114" i="5"/>
  <c r="Z114" i="5" s="1"/>
  <c r="D344" i="11"/>
  <c r="D322" i="11"/>
  <c r="C321" i="11"/>
  <c r="F321" i="11"/>
  <c r="F344" i="11" s="1"/>
  <c r="O19" i="8"/>
  <c r="L19" i="8"/>
  <c r="N19" i="8" s="1"/>
  <c r="M20" i="8"/>
  <c r="L73" i="8"/>
  <c r="N18" i="8"/>
  <c r="N73" i="8" s="1"/>
  <c r="C343" i="11"/>
  <c r="E320" i="11"/>
  <c r="E343" i="11" s="1"/>
  <c r="E219" i="11"/>
  <c r="E245" i="11" s="1"/>
  <c r="C245" i="11"/>
  <c r="C398" i="11"/>
  <c r="E366" i="11"/>
  <c r="E398" i="11" s="1"/>
  <c r="D246" i="11"/>
  <c r="F220" i="11"/>
  <c r="F246" i="11" s="1"/>
  <c r="C220" i="11"/>
  <c r="D221" i="11"/>
  <c r="D399" i="11"/>
  <c r="D368" i="11"/>
  <c r="F367" i="11"/>
  <c r="F399" i="11" s="1"/>
  <c r="C367" i="11"/>
  <c r="D297" i="11"/>
  <c r="C273" i="11"/>
  <c r="D274" i="11"/>
  <c r="F273" i="11"/>
  <c r="F297" i="11" s="1"/>
  <c r="E272" i="11"/>
  <c r="E296" i="11" s="1"/>
  <c r="C296" i="11"/>
  <c r="G386" i="11"/>
  <c r="G418" i="11" s="1"/>
  <c r="G417" i="11"/>
  <c r="H386" i="11"/>
  <c r="H417" i="11"/>
  <c r="T385" i="11"/>
  <c r="Y385" i="11" s="1"/>
  <c r="L385" i="11"/>
  <c r="K416" i="11"/>
  <c r="E383" i="11"/>
  <c r="E415" i="11" s="1"/>
  <c r="C415" i="11"/>
  <c r="U28" i="9"/>
  <c r="T50" i="9"/>
  <c r="Q31" i="9"/>
  <c r="Q52" i="9" s="1"/>
  <c r="AB50" i="9"/>
  <c r="Y28" i="9"/>
  <c r="V31" i="9"/>
  <c r="V52" i="9" s="1"/>
  <c r="Z52" i="9" s="1"/>
  <c r="L11" i="9"/>
  <c r="L41" i="9" s="1"/>
  <c r="M41" i="9"/>
  <c r="U27" i="8"/>
  <c r="T77" i="8"/>
  <c r="V44" i="8"/>
  <c r="W44" i="8"/>
  <c r="W42" i="7"/>
  <c r="U79" i="7"/>
  <c r="Y79" i="7" s="1"/>
  <c r="L21" i="7"/>
  <c r="L68" i="7" s="1"/>
  <c r="M68" i="7"/>
  <c r="U35" i="7"/>
  <c r="V42" i="7"/>
  <c r="V79" i="7"/>
  <c r="Z79" i="7" s="1"/>
  <c r="Y32" i="7"/>
  <c r="AB73" i="7"/>
  <c r="X31" i="7"/>
  <c r="AA73" i="7" s="1"/>
  <c r="P63" i="6"/>
  <c r="X62" i="6"/>
  <c r="Q63" i="6"/>
  <c r="L21" i="6"/>
  <c r="L91" i="6" s="1"/>
  <c r="M91" i="6"/>
  <c r="V48" i="6"/>
  <c r="V107" i="6"/>
  <c r="Z107" i="6" s="1"/>
  <c r="W48" i="6"/>
  <c r="U107" i="6"/>
  <c r="Y107" i="6" s="1"/>
  <c r="L28" i="5"/>
  <c r="M29" i="5"/>
  <c r="Q30" i="5"/>
  <c r="Q94" i="5"/>
  <c r="W60" i="5"/>
  <c r="U111" i="5"/>
  <c r="Y111" i="5" s="1"/>
  <c r="W30" i="5"/>
  <c r="U94" i="5"/>
  <c r="Y94" i="5" s="1"/>
  <c r="Q74" i="5"/>
  <c r="P60" i="5"/>
  <c r="P111" i="5"/>
  <c r="V75" i="5"/>
  <c r="V119" i="5"/>
  <c r="Z119" i="5" s="1"/>
  <c r="U28" i="5"/>
  <c r="T93" i="5"/>
  <c r="V30" i="5"/>
  <c r="V94" i="5"/>
  <c r="Z94" i="5" s="1"/>
  <c r="P30" i="5"/>
  <c r="P94" i="5"/>
  <c r="X386" i="11"/>
  <c r="AB27" i="9"/>
  <c r="M81" i="9" s="1"/>
  <c r="N81" i="9"/>
  <c r="L81" i="9" s="1"/>
  <c r="AB25" i="8"/>
  <c r="M123" i="8" s="1"/>
  <c r="N123" i="8"/>
  <c r="L123" i="8" s="1"/>
  <c r="AB25" i="6"/>
  <c r="M158" i="6" s="1"/>
  <c r="L158" i="6"/>
  <c r="N158" i="6"/>
  <c r="X20" i="3"/>
  <c r="W21" i="3"/>
  <c r="F422" i="3" s="1"/>
  <c r="I24" i="1"/>
  <c r="J23" i="1"/>
  <c r="P150" i="5"/>
  <c r="N150" i="5"/>
  <c r="L61" i="5"/>
  <c r="L112" i="5" s="1"/>
  <c r="Y27" i="5"/>
  <c r="AB93" i="5" s="1"/>
  <c r="X26" i="5"/>
  <c r="F384" i="11"/>
  <c r="F416" i="11" s="1"/>
  <c r="D385" i="11"/>
  <c r="D417" i="11" s="1"/>
  <c r="C384" i="11"/>
  <c r="P33" i="8"/>
  <c r="X32" i="8"/>
  <c r="AA81" i="8" s="1"/>
  <c r="N20" i="7"/>
  <c r="O21" i="7"/>
  <c r="O68" i="7" s="1"/>
  <c r="M22" i="7"/>
  <c r="P35" i="7"/>
  <c r="P75" i="7" s="1"/>
  <c r="AB38" i="7"/>
  <c r="M129" i="7" s="1"/>
  <c r="Q39" i="7"/>
  <c r="Q78" i="7" s="1"/>
  <c r="L6" i="5"/>
  <c r="L7" i="5"/>
  <c r="L84" i="5" s="1"/>
  <c r="AB21" i="5"/>
  <c r="O150" i="5" s="1"/>
  <c r="AD21" i="5"/>
  <c r="F26" i="8"/>
  <c r="AA26" i="8" s="1"/>
  <c r="G25" i="8"/>
  <c r="P26" i="9"/>
  <c r="X25" i="9"/>
  <c r="AA49" i="9" s="1"/>
  <c r="O21" i="6"/>
  <c r="O91" i="6" s="1"/>
  <c r="M22" i="6"/>
  <c r="O11" i="9"/>
  <c r="O41" i="9" s="1"/>
  <c r="M12" i="9"/>
  <c r="F28" i="9"/>
  <c r="AA28" i="9" s="1"/>
  <c r="G27" i="9"/>
  <c r="G25" i="6"/>
  <c r="F26" i="6"/>
  <c r="AA26" i="6" s="1"/>
  <c r="E321" i="11" l="1"/>
  <c r="E344" i="11" s="1"/>
  <c r="C344" i="11"/>
  <c r="D247" i="11"/>
  <c r="F221" i="11"/>
  <c r="F247" i="11" s="1"/>
  <c r="C221" i="11"/>
  <c r="D222" i="11"/>
  <c r="C246" i="11"/>
  <c r="E220" i="11"/>
  <c r="E246" i="11" s="1"/>
  <c r="E46" i="11"/>
  <c r="E75" i="11" s="1"/>
  <c r="C75" i="11"/>
  <c r="N21" i="6"/>
  <c r="N91" i="6" s="1"/>
  <c r="E273" i="11"/>
  <c r="E297" i="11" s="1"/>
  <c r="C297" i="11"/>
  <c r="E367" i="11"/>
  <c r="E399" i="11" s="1"/>
  <c r="C399" i="11"/>
  <c r="V69" i="5"/>
  <c r="V70" i="5" s="1"/>
  <c r="V116" i="5" s="1"/>
  <c r="Z116" i="5" s="1"/>
  <c r="V115" i="5"/>
  <c r="Z115" i="5" s="1"/>
  <c r="E103" i="11"/>
  <c r="E133" i="11" s="1"/>
  <c r="C133" i="11"/>
  <c r="D345" i="11"/>
  <c r="D323" i="11"/>
  <c r="F322" i="11"/>
  <c r="F345" i="11" s="1"/>
  <c r="C322" i="11"/>
  <c r="D400" i="11"/>
  <c r="C368" i="11"/>
  <c r="F368" i="11"/>
  <c r="F400" i="11" s="1"/>
  <c r="D369" i="11"/>
  <c r="E163" i="11"/>
  <c r="E191" i="11" s="1"/>
  <c r="C191" i="11"/>
  <c r="L20" i="8"/>
  <c r="M74" i="8"/>
  <c r="O20" i="8"/>
  <c r="O74" i="8" s="1"/>
  <c r="M21" i="8"/>
  <c r="D134" i="11"/>
  <c r="F104" i="11"/>
  <c r="F134" i="11" s="1"/>
  <c r="C104" i="11"/>
  <c r="D105" i="11"/>
  <c r="D192" i="11"/>
  <c r="D165" i="11"/>
  <c r="F164" i="11"/>
  <c r="F192" i="11" s="1"/>
  <c r="C164" i="11"/>
  <c r="O386" i="11"/>
  <c r="R418" i="11" s="1"/>
  <c r="D298" i="11"/>
  <c r="C274" i="11"/>
  <c r="F274" i="11"/>
  <c r="F298" i="11" s="1"/>
  <c r="D275" i="11"/>
  <c r="T386" i="11"/>
  <c r="Y386" i="11" s="1"/>
  <c r="H418" i="11"/>
  <c r="E384" i="11"/>
  <c r="E416" i="11" s="1"/>
  <c r="C416" i="11"/>
  <c r="L386" i="11"/>
  <c r="K418" i="11" s="1"/>
  <c r="K417" i="11"/>
  <c r="L12" i="9"/>
  <c r="L42" i="9" s="1"/>
  <c r="M42" i="9"/>
  <c r="N11" i="9"/>
  <c r="N41" i="9" s="1"/>
  <c r="Y29" i="9"/>
  <c r="U29" i="9"/>
  <c r="P82" i="8"/>
  <c r="W45" i="8"/>
  <c r="U88" i="8"/>
  <c r="Y88" i="8" s="1"/>
  <c r="V45" i="8"/>
  <c r="V88" i="8"/>
  <c r="Z88" i="8" s="1"/>
  <c r="U28" i="8"/>
  <c r="V43" i="7"/>
  <c r="U36" i="7"/>
  <c r="T75" i="7"/>
  <c r="Y33" i="7"/>
  <c r="X32" i="7"/>
  <c r="L22" i="7"/>
  <c r="W43" i="7"/>
  <c r="W49" i="6"/>
  <c r="L22" i="6"/>
  <c r="L92" i="6" s="1"/>
  <c r="M92" i="6"/>
  <c r="V49" i="6"/>
  <c r="Q65" i="6"/>
  <c r="Q116" i="6"/>
  <c r="P65" i="6"/>
  <c r="X65" i="6" s="1"/>
  <c r="P116" i="6"/>
  <c r="X63" i="6"/>
  <c r="AA116" i="6" s="1"/>
  <c r="P61" i="5"/>
  <c r="W31" i="5"/>
  <c r="V31" i="5"/>
  <c r="W61" i="5"/>
  <c r="P31" i="5"/>
  <c r="U29" i="5"/>
  <c r="Q31" i="5"/>
  <c r="Q75" i="5"/>
  <c r="Q119" i="5"/>
  <c r="M94" i="5"/>
  <c r="M30" i="5"/>
  <c r="L29" i="5"/>
  <c r="L94" i="5" s="1"/>
  <c r="V76" i="5"/>
  <c r="V120" i="5" s="1"/>
  <c r="Z120" i="5" s="1"/>
  <c r="AB28" i="9"/>
  <c r="M82" i="9" s="1"/>
  <c r="N82" i="9"/>
  <c r="L82" i="9" s="1"/>
  <c r="AB26" i="8"/>
  <c r="M124" i="8" s="1"/>
  <c r="N124" i="8"/>
  <c r="L124" i="8" s="1"/>
  <c r="AB26" i="6"/>
  <c r="M159" i="6" s="1"/>
  <c r="N159" i="6"/>
  <c r="L159" i="6"/>
  <c r="W22" i="3"/>
  <c r="J24" i="1"/>
  <c r="I25" i="1"/>
  <c r="D422" i="3"/>
  <c r="X21" i="3"/>
  <c r="E422" i="3" s="1"/>
  <c r="M113" i="5"/>
  <c r="L62" i="5"/>
  <c r="Y28" i="5"/>
  <c r="X27" i="5"/>
  <c r="AA93" i="5" s="1"/>
  <c r="F385" i="11"/>
  <c r="F417" i="11" s="1"/>
  <c r="D386" i="11"/>
  <c r="D418" i="11" s="1"/>
  <c r="C385" i="11"/>
  <c r="Q39" i="8"/>
  <c r="X33" i="8"/>
  <c r="AA82" i="8" s="1"/>
  <c r="N21" i="7"/>
  <c r="N68" i="7" s="1"/>
  <c r="M23" i="7"/>
  <c r="O22" i="7"/>
  <c r="Q40" i="7"/>
  <c r="AB39" i="7"/>
  <c r="M130" i="7" s="1"/>
  <c r="P36" i="7"/>
  <c r="AA22" i="5"/>
  <c r="G22" i="5"/>
  <c r="F27" i="8"/>
  <c r="AA27" i="8" s="1"/>
  <c r="G26" i="8"/>
  <c r="P27" i="9"/>
  <c r="P50" i="9" s="1"/>
  <c r="X26" i="9"/>
  <c r="M13" i="9"/>
  <c r="O12" i="9"/>
  <c r="O42" i="9" s="1"/>
  <c r="O22" i="6"/>
  <c r="O92" i="6" s="1"/>
  <c r="M23" i="6"/>
  <c r="F29" i="9"/>
  <c r="AA29" i="9" s="1"/>
  <c r="G28" i="9"/>
  <c r="G26" i="6"/>
  <c r="F27" i="6"/>
  <c r="AA27" i="6" s="1"/>
  <c r="E164" i="11" l="1"/>
  <c r="E192" i="11" s="1"/>
  <c r="C192" i="11"/>
  <c r="D135" i="11"/>
  <c r="F105" i="11"/>
  <c r="F135" i="11" s="1"/>
  <c r="D106" i="11"/>
  <c r="C105" i="11"/>
  <c r="E104" i="11"/>
  <c r="E134" i="11" s="1"/>
  <c r="C134" i="11"/>
  <c r="O21" i="8"/>
  <c r="M22" i="8"/>
  <c r="L21" i="8"/>
  <c r="N21" i="8" s="1"/>
  <c r="D346" i="11"/>
  <c r="F323" i="11"/>
  <c r="F346" i="11" s="1"/>
  <c r="C323" i="11"/>
  <c r="D324" i="11"/>
  <c r="L74" i="8"/>
  <c r="N20" i="8"/>
  <c r="N74" i="8" s="1"/>
  <c r="D193" i="11"/>
  <c r="F165" i="11"/>
  <c r="F193" i="11" s="1"/>
  <c r="D166" i="11"/>
  <c r="C165" i="11"/>
  <c r="D248" i="11"/>
  <c r="D223" i="11"/>
  <c r="C222" i="11"/>
  <c r="F222" i="11"/>
  <c r="F248" i="11" s="1"/>
  <c r="E274" i="11"/>
  <c r="E298" i="11" s="1"/>
  <c r="C298" i="11"/>
  <c r="Q79" i="7"/>
  <c r="Q41" i="7"/>
  <c r="Q80" i="7" s="1"/>
  <c r="N22" i="6"/>
  <c r="N92" i="6" s="1"/>
  <c r="D401" i="11"/>
  <c r="F369" i="11"/>
  <c r="F401" i="11" s="1"/>
  <c r="D370" i="11"/>
  <c r="C369" i="11"/>
  <c r="E221" i="11"/>
  <c r="E247" i="11" s="1"/>
  <c r="C247" i="11"/>
  <c r="E368" i="11"/>
  <c r="E400" i="11" s="1"/>
  <c r="C400" i="11"/>
  <c r="D299" i="11"/>
  <c r="C275" i="11"/>
  <c r="D276" i="11"/>
  <c r="F275" i="11"/>
  <c r="F299" i="11" s="1"/>
  <c r="E322" i="11"/>
  <c r="E345" i="11" s="1"/>
  <c r="C345" i="11"/>
  <c r="E385" i="11"/>
  <c r="E417" i="11" s="1"/>
  <c r="C417" i="11"/>
  <c r="L13" i="9"/>
  <c r="L43" i="9" s="1"/>
  <c r="M43" i="9"/>
  <c r="N12" i="9"/>
  <c r="N42" i="9" s="1"/>
  <c r="U30" i="9"/>
  <c r="T51" i="9"/>
  <c r="AB51" i="9"/>
  <c r="Y30" i="9"/>
  <c r="P35" i="8"/>
  <c r="P36" i="8" s="1"/>
  <c r="P37" i="8" s="1"/>
  <c r="P83" i="8"/>
  <c r="V46" i="8"/>
  <c r="U29" i="8"/>
  <c r="T78" i="8"/>
  <c r="W46" i="8"/>
  <c r="W44" i="7"/>
  <c r="U81" i="7"/>
  <c r="Y81" i="7" s="1"/>
  <c r="Y34" i="7"/>
  <c r="AB74" i="7"/>
  <c r="X33" i="7"/>
  <c r="AA74" i="7" s="1"/>
  <c r="U37" i="7"/>
  <c r="L23" i="7"/>
  <c r="L69" i="7" s="1"/>
  <c r="M69" i="7"/>
  <c r="V44" i="7"/>
  <c r="V81" i="7"/>
  <c r="Z81" i="7" s="1"/>
  <c r="P66" i="6"/>
  <c r="X66" i="6" s="1"/>
  <c r="P118" i="6"/>
  <c r="AA118" i="6"/>
  <c r="L23" i="6"/>
  <c r="L93" i="6" s="1"/>
  <c r="M93" i="6"/>
  <c r="Q66" i="6"/>
  <c r="Q118" i="6"/>
  <c r="V50" i="6"/>
  <c r="V108" i="6"/>
  <c r="Z108" i="6" s="1"/>
  <c r="W50" i="6"/>
  <c r="U108" i="6"/>
  <c r="Y108" i="6" s="1"/>
  <c r="V32" i="5"/>
  <c r="V95" i="5"/>
  <c r="Z95" i="5" s="1"/>
  <c r="W62" i="5"/>
  <c r="U112" i="5"/>
  <c r="Y112" i="5" s="1"/>
  <c r="M31" i="5"/>
  <c r="L30" i="5"/>
  <c r="Q76" i="5"/>
  <c r="Q120" i="5" s="1"/>
  <c r="W32" i="5"/>
  <c r="U95" i="5"/>
  <c r="Y95" i="5" s="1"/>
  <c r="U30" i="5"/>
  <c r="T94" i="5"/>
  <c r="P95" i="5"/>
  <c r="P32" i="5"/>
  <c r="Q32" i="5"/>
  <c r="Q95" i="5"/>
  <c r="P62" i="5"/>
  <c r="P112" i="5"/>
  <c r="AB29" i="9"/>
  <c r="M83" i="9" s="1"/>
  <c r="N83" i="9"/>
  <c r="L83" i="9" s="1"/>
  <c r="AB27" i="8"/>
  <c r="M125" i="8" s="1"/>
  <c r="N125" i="8"/>
  <c r="L125" i="8" s="1"/>
  <c r="AB27" i="6"/>
  <c r="M160" i="6" s="1"/>
  <c r="L160" i="6"/>
  <c r="N160" i="6"/>
  <c r="W23" i="3"/>
  <c r="F423" i="3" s="1"/>
  <c r="J25" i="1"/>
  <c r="I26" i="1"/>
  <c r="X22" i="3"/>
  <c r="P151" i="5"/>
  <c r="N151" i="5"/>
  <c r="L63" i="5"/>
  <c r="L113" i="5" s="1"/>
  <c r="Y29" i="5"/>
  <c r="AB94" i="5" s="1"/>
  <c r="X28" i="5"/>
  <c r="F386" i="11"/>
  <c r="F418" i="11" s="1"/>
  <c r="C386" i="11"/>
  <c r="AA83" i="8"/>
  <c r="Q40" i="8"/>
  <c r="Q86" i="8" s="1"/>
  <c r="N22" i="7"/>
  <c r="O23" i="7"/>
  <c r="O69" i="7" s="1"/>
  <c r="M24" i="7"/>
  <c r="P37" i="7"/>
  <c r="P76" i="7" s="1"/>
  <c r="AB40" i="7"/>
  <c r="M131" i="7" s="1"/>
  <c r="AA23" i="5"/>
  <c r="G23" i="5"/>
  <c r="AB22" i="5"/>
  <c r="O151" i="5" s="1"/>
  <c r="AD22" i="5"/>
  <c r="G27" i="8"/>
  <c r="F28" i="8"/>
  <c r="AA28" i="8" s="1"/>
  <c r="P28" i="9"/>
  <c r="X27" i="9"/>
  <c r="AA50" i="9" s="1"/>
  <c r="O23" i="6"/>
  <c r="O93" i="6" s="1"/>
  <c r="M24" i="6"/>
  <c r="M14" i="9"/>
  <c r="O13" i="9"/>
  <c r="O43" i="9" s="1"/>
  <c r="F30" i="9"/>
  <c r="AA30" i="9" s="1"/>
  <c r="G29" i="9"/>
  <c r="F28" i="6"/>
  <c r="AA28" i="6" s="1"/>
  <c r="G27" i="6"/>
  <c r="J163" i="1"/>
  <c r="E165" i="11" l="1"/>
  <c r="E193" i="11" s="1"/>
  <c r="C193" i="11"/>
  <c r="D194" i="11"/>
  <c r="D167" i="11"/>
  <c r="F166" i="11"/>
  <c r="F194" i="11" s="1"/>
  <c r="C166" i="11"/>
  <c r="D300" i="11"/>
  <c r="F276" i="11"/>
  <c r="F300" i="11" s="1"/>
  <c r="D277" i="11"/>
  <c r="C276" i="11"/>
  <c r="E323" i="11"/>
  <c r="E346" i="11" s="1"/>
  <c r="C346" i="11"/>
  <c r="L22" i="8"/>
  <c r="M23" i="8"/>
  <c r="M75" i="8"/>
  <c r="O22" i="8"/>
  <c r="O75" i="8" s="1"/>
  <c r="D347" i="11"/>
  <c r="D325" i="11"/>
  <c r="C324" i="11"/>
  <c r="F324" i="11"/>
  <c r="F347" i="11" s="1"/>
  <c r="E275" i="11"/>
  <c r="E299" i="11" s="1"/>
  <c r="C299" i="11"/>
  <c r="E369" i="11"/>
  <c r="E401" i="11" s="1"/>
  <c r="C401" i="11"/>
  <c r="E105" i="11"/>
  <c r="E135" i="11" s="1"/>
  <c r="C135" i="11"/>
  <c r="D402" i="11"/>
  <c r="C370" i="11"/>
  <c r="D371" i="11"/>
  <c r="F370" i="11"/>
  <c r="F402" i="11" s="1"/>
  <c r="D136" i="11"/>
  <c r="D107" i="11"/>
  <c r="C106" i="11"/>
  <c r="F106" i="11"/>
  <c r="F136" i="11" s="1"/>
  <c r="C248" i="11"/>
  <c r="E222" i="11"/>
  <c r="E248" i="11" s="1"/>
  <c r="D249" i="11"/>
  <c r="D224" i="11"/>
  <c r="F223" i="11"/>
  <c r="F249" i="11" s="1"/>
  <c r="C223" i="11"/>
  <c r="N13" i="9"/>
  <c r="N43" i="9" s="1"/>
  <c r="E386" i="11"/>
  <c r="E418" i="11" s="1"/>
  <c r="C418" i="11"/>
  <c r="L14" i="9"/>
  <c r="Y31" i="9"/>
  <c r="AB52" i="9" s="1"/>
  <c r="U31" i="9"/>
  <c r="T52" i="9" s="1"/>
  <c r="U30" i="8"/>
  <c r="W47" i="8"/>
  <c r="U89" i="8"/>
  <c r="Y89" i="8" s="1"/>
  <c r="V47" i="8"/>
  <c r="V89" i="8"/>
  <c r="Z89" i="8" s="1"/>
  <c r="V45" i="7"/>
  <c r="U39" i="7"/>
  <c r="T76" i="7"/>
  <c r="Y35" i="7"/>
  <c r="X34" i="7"/>
  <c r="L24" i="7"/>
  <c r="W45" i="7"/>
  <c r="W51" i="6"/>
  <c r="L24" i="6"/>
  <c r="N24" i="6" s="1"/>
  <c r="Q67" i="6"/>
  <c r="V51" i="6"/>
  <c r="N23" i="6"/>
  <c r="N93" i="6" s="1"/>
  <c r="P67" i="6"/>
  <c r="X67" i="6" s="1"/>
  <c r="U31" i="5"/>
  <c r="P63" i="5"/>
  <c r="Q33" i="5"/>
  <c r="P33" i="5"/>
  <c r="W63" i="5"/>
  <c r="W33" i="5"/>
  <c r="M95" i="5"/>
  <c r="M32" i="5"/>
  <c r="L31" i="5"/>
  <c r="L95" i="5" s="1"/>
  <c r="V33" i="5"/>
  <c r="AB30" i="9"/>
  <c r="AB28" i="8"/>
  <c r="M126" i="8" s="1"/>
  <c r="N126" i="8"/>
  <c r="L126" i="8" s="1"/>
  <c r="AB28" i="6"/>
  <c r="M161" i="6" s="1"/>
  <c r="N161" i="6"/>
  <c r="L161" i="6"/>
  <c r="W24" i="3"/>
  <c r="J26" i="1"/>
  <c r="I27" i="1"/>
  <c r="X23" i="3"/>
  <c r="E423" i="3" s="1"/>
  <c r="D423" i="3"/>
  <c r="N152" i="5"/>
  <c r="P152" i="5"/>
  <c r="M114" i="5"/>
  <c r="L64" i="5"/>
  <c r="Y30" i="5"/>
  <c r="X29" i="5"/>
  <c r="AA94" i="5" s="1"/>
  <c r="P84" i="8"/>
  <c r="Q41" i="8"/>
  <c r="N23" i="7"/>
  <c r="N69" i="7" s="1"/>
  <c r="O24" i="7"/>
  <c r="M25" i="7"/>
  <c r="AB41" i="7"/>
  <c r="M132" i="7" s="1"/>
  <c r="AA24" i="5"/>
  <c r="G24" i="5"/>
  <c r="AB23" i="5"/>
  <c r="O152" i="5" s="1"/>
  <c r="AD23" i="5"/>
  <c r="G28" i="8"/>
  <c r="F29" i="8"/>
  <c r="AA29" i="8" s="1"/>
  <c r="P29" i="9"/>
  <c r="P51" i="9" s="1"/>
  <c r="X28" i="9"/>
  <c r="M15" i="9"/>
  <c r="O14" i="9"/>
  <c r="M25" i="6"/>
  <c r="O24" i="6"/>
  <c r="F31" i="9"/>
  <c r="G30" i="9"/>
  <c r="F29" i="6"/>
  <c r="AA29" i="6" s="1"/>
  <c r="G28" i="6"/>
  <c r="G166" i="1"/>
  <c r="I166" i="1" s="1"/>
  <c r="J165" i="1"/>
  <c r="D348" i="11" l="1"/>
  <c r="D326" i="11"/>
  <c r="F325" i="11"/>
  <c r="F348" i="11" s="1"/>
  <c r="C325" i="11"/>
  <c r="L23" i="8"/>
  <c r="N23" i="8" s="1"/>
  <c r="M24" i="8"/>
  <c r="O23" i="8"/>
  <c r="D403" i="11"/>
  <c r="C371" i="11"/>
  <c r="D372" i="11"/>
  <c r="F371" i="11"/>
  <c r="F403" i="11" s="1"/>
  <c r="L75" i="8"/>
  <c r="N22" i="8"/>
  <c r="N75" i="8" s="1"/>
  <c r="D137" i="11"/>
  <c r="C107" i="11"/>
  <c r="F107" i="11"/>
  <c r="F137" i="11" s="1"/>
  <c r="D108" i="11"/>
  <c r="E370" i="11"/>
  <c r="E402" i="11" s="1"/>
  <c r="C402" i="11"/>
  <c r="C347" i="11"/>
  <c r="E324" i="11"/>
  <c r="E347" i="11" s="1"/>
  <c r="E106" i="11"/>
  <c r="E136" i="11" s="1"/>
  <c r="C136" i="11"/>
  <c r="D250" i="11"/>
  <c r="C224" i="11"/>
  <c r="D225" i="11"/>
  <c r="F224" i="11"/>
  <c r="F250" i="11" s="1"/>
  <c r="D195" i="11"/>
  <c r="D168" i="11"/>
  <c r="C167" i="11"/>
  <c r="F167" i="11"/>
  <c r="F195" i="11" s="1"/>
  <c r="D301" i="11"/>
  <c r="D278" i="11"/>
  <c r="F277" i="11"/>
  <c r="F301" i="11" s="1"/>
  <c r="C277" i="11"/>
  <c r="E223" i="11"/>
  <c r="E249" i="11" s="1"/>
  <c r="C249" i="11"/>
  <c r="E276" i="11"/>
  <c r="E300" i="11" s="1"/>
  <c r="C300" i="11"/>
  <c r="E166" i="11"/>
  <c r="E194" i="11" s="1"/>
  <c r="C194" i="11"/>
  <c r="L15" i="9"/>
  <c r="L44" i="9" s="1"/>
  <c r="M44" i="9"/>
  <c r="N14" i="9"/>
  <c r="W48" i="8"/>
  <c r="U31" i="8"/>
  <c r="T79" i="8"/>
  <c r="V48" i="8"/>
  <c r="W46" i="7"/>
  <c r="U82" i="7"/>
  <c r="Y82" i="7" s="1"/>
  <c r="U40" i="7"/>
  <c r="T78" i="7"/>
  <c r="Y36" i="7"/>
  <c r="AB75" i="7"/>
  <c r="X35" i="7"/>
  <c r="AA75" i="7" s="1"/>
  <c r="L25" i="7"/>
  <c r="L70" i="7" s="1"/>
  <c r="M70" i="7"/>
  <c r="V46" i="7"/>
  <c r="V82" i="7"/>
  <c r="Z82" i="7" s="1"/>
  <c r="P119" i="6"/>
  <c r="AA119" i="6"/>
  <c r="P68" i="6"/>
  <c r="X68" i="6" s="1"/>
  <c r="V52" i="6"/>
  <c r="V109" i="6"/>
  <c r="Z109" i="6" s="1"/>
  <c r="L25" i="6"/>
  <c r="L94" i="6" s="1"/>
  <c r="M94" i="6"/>
  <c r="Q68" i="6"/>
  <c r="Q119" i="6"/>
  <c r="W52" i="6"/>
  <c r="U109" i="6"/>
  <c r="Y109" i="6" s="1"/>
  <c r="Q34" i="5"/>
  <c r="Q97" i="5" s="1"/>
  <c r="Q96" i="5"/>
  <c r="V34" i="5"/>
  <c r="V97" i="5" s="1"/>
  <c r="Z97" i="5" s="1"/>
  <c r="V96" i="5"/>
  <c r="Z96" i="5" s="1"/>
  <c r="W34" i="5"/>
  <c r="U97" i="5" s="1"/>
  <c r="Y97" i="5" s="1"/>
  <c r="U96" i="5"/>
  <c r="Y96" i="5" s="1"/>
  <c r="W64" i="5"/>
  <c r="U113" i="5"/>
  <c r="Y113" i="5" s="1"/>
  <c r="P64" i="5"/>
  <c r="P113" i="5"/>
  <c r="L32" i="5"/>
  <c r="M33" i="5"/>
  <c r="P96" i="5"/>
  <c r="P34" i="5"/>
  <c r="P97" i="5" s="1"/>
  <c r="U32" i="5"/>
  <c r="T95" i="5"/>
  <c r="AB29" i="8"/>
  <c r="M127" i="8" s="1"/>
  <c r="N127" i="8"/>
  <c r="L127" i="8" s="1"/>
  <c r="AB29" i="6"/>
  <c r="M162" i="6" s="1"/>
  <c r="N162" i="6"/>
  <c r="L162" i="6"/>
  <c r="W25" i="3"/>
  <c r="I28" i="1"/>
  <c r="J27" i="1"/>
  <c r="X24" i="3"/>
  <c r="N153" i="5"/>
  <c r="P153" i="5"/>
  <c r="G167" i="1"/>
  <c r="I167" i="1" s="1"/>
  <c r="W163" i="3"/>
  <c r="L65" i="5"/>
  <c r="L114" i="5" s="1"/>
  <c r="Y31" i="5"/>
  <c r="AB95" i="5" s="1"/>
  <c r="X30" i="5"/>
  <c r="AA84" i="8"/>
  <c r="Q42" i="8"/>
  <c r="Q87" i="8" s="1"/>
  <c r="N24" i="7"/>
  <c r="O25" i="7"/>
  <c r="O70" i="7" s="1"/>
  <c r="M26" i="7"/>
  <c r="P39" i="7"/>
  <c r="P78" i="7" s="1"/>
  <c r="X38" i="7"/>
  <c r="AA77" i="7" s="1"/>
  <c r="Q43" i="7"/>
  <c r="Q81" i="7" s="1"/>
  <c r="AB42" i="7"/>
  <c r="M134" i="7" s="1"/>
  <c r="AA25" i="5"/>
  <c r="G25" i="5"/>
  <c r="AB24" i="5"/>
  <c r="O153" i="5" s="1"/>
  <c r="AD24" i="5"/>
  <c r="G29" i="8"/>
  <c r="F30" i="8"/>
  <c r="AA30" i="8" s="1"/>
  <c r="P30" i="9"/>
  <c r="X29" i="9"/>
  <c r="AA51" i="9" s="1"/>
  <c r="M26" i="6"/>
  <c r="O25" i="6"/>
  <c r="O94" i="6" s="1"/>
  <c r="M16" i="9"/>
  <c r="O15" i="9"/>
  <c r="O44" i="9" s="1"/>
  <c r="N25" i="6"/>
  <c r="N94" i="6" s="1"/>
  <c r="G31" i="9"/>
  <c r="AA31" i="9"/>
  <c r="G29" i="6"/>
  <c r="F30" i="6"/>
  <c r="AA30" i="6" s="1"/>
  <c r="D138" i="11" l="1"/>
  <c r="F108" i="11"/>
  <c r="F138" i="11" s="1"/>
  <c r="C108" i="11"/>
  <c r="D109" i="11"/>
  <c r="E107" i="11"/>
  <c r="E137" i="11" s="1"/>
  <c r="C137" i="11"/>
  <c r="E277" i="11"/>
  <c r="E301" i="11" s="1"/>
  <c r="C301" i="11"/>
  <c r="D302" i="11"/>
  <c r="C278" i="11"/>
  <c r="F278" i="11"/>
  <c r="F302" i="11" s="1"/>
  <c r="D279" i="11"/>
  <c r="D404" i="11"/>
  <c r="D373" i="11"/>
  <c r="F372" i="11"/>
  <c r="F404" i="11" s="1"/>
  <c r="C372" i="11"/>
  <c r="E371" i="11"/>
  <c r="E403" i="11" s="1"/>
  <c r="C403" i="11"/>
  <c r="E167" i="11"/>
  <c r="E195" i="11" s="1"/>
  <c r="C195" i="11"/>
  <c r="N15" i="9"/>
  <c r="N44" i="9" s="1"/>
  <c r="D196" i="11"/>
  <c r="D169" i="11"/>
  <c r="F168" i="11"/>
  <c r="F196" i="11" s="1"/>
  <c r="C168" i="11"/>
  <c r="L24" i="8"/>
  <c r="O24" i="8"/>
  <c r="O76" i="8" s="1"/>
  <c r="M76" i="8"/>
  <c r="M25" i="8"/>
  <c r="E325" i="11"/>
  <c r="E348" i="11" s="1"/>
  <c r="C348" i="11"/>
  <c r="E224" i="11"/>
  <c r="E250" i="11" s="1"/>
  <c r="C250" i="11"/>
  <c r="D349" i="11"/>
  <c r="C326" i="11"/>
  <c r="D327" i="11"/>
  <c r="F326" i="11"/>
  <c r="F349" i="11" s="1"/>
  <c r="D251" i="11"/>
  <c r="C225" i="11"/>
  <c r="F225" i="11"/>
  <c r="F251" i="11" s="1"/>
  <c r="D226" i="11"/>
  <c r="L16" i="9"/>
  <c r="N16" i="9" s="1"/>
  <c r="U32" i="8"/>
  <c r="T80" i="8"/>
  <c r="V50" i="8"/>
  <c r="V90" i="8"/>
  <c r="Z90" i="8" s="1"/>
  <c r="W50" i="8"/>
  <c r="U90" i="8"/>
  <c r="Y90" i="8" s="1"/>
  <c r="V47" i="7"/>
  <c r="Y37" i="7"/>
  <c r="L127" i="7"/>
  <c r="X36" i="7"/>
  <c r="U41" i="7"/>
  <c r="T79" i="7"/>
  <c r="L26" i="7"/>
  <c r="W47" i="7"/>
  <c r="W53" i="6"/>
  <c r="V53" i="6"/>
  <c r="Q69" i="6"/>
  <c r="P69" i="6"/>
  <c r="X69" i="6" s="1"/>
  <c r="L26" i="6"/>
  <c r="N26" i="6" s="1"/>
  <c r="P65" i="5"/>
  <c r="U33" i="5"/>
  <c r="W65" i="5"/>
  <c r="M96" i="5"/>
  <c r="L33" i="5"/>
  <c r="L96" i="5" s="1"/>
  <c r="M34" i="5"/>
  <c r="AB31" i="9"/>
  <c r="M84" i="9" s="1"/>
  <c r="N84" i="9"/>
  <c r="L84" i="9" s="1"/>
  <c r="AB30" i="8"/>
  <c r="M128" i="8" s="1"/>
  <c r="N128" i="8"/>
  <c r="L128" i="8" s="1"/>
  <c r="AB30" i="6"/>
  <c r="M164" i="6" s="1"/>
  <c r="N164" i="6"/>
  <c r="L164" i="6"/>
  <c r="L66" i="5"/>
  <c r="W26" i="3"/>
  <c r="J28" i="1"/>
  <c r="G29" i="1"/>
  <c r="X25" i="3"/>
  <c r="X163" i="3"/>
  <c r="P154" i="5"/>
  <c r="N154" i="5"/>
  <c r="G168" i="1"/>
  <c r="I168" i="1" s="1"/>
  <c r="W164" i="3"/>
  <c r="Y32" i="5"/>
  <c r="X31" i="5"/>
  <c r="AA95" i="5" s="1"/>
  <c r="Q43" i="8"/>
  <c r="N25" i="7"/>
  <c r="N70" i="7" s="1"/>
  <c r="O26" i="7"/>
  <c r="M27" i="7"/>
  <c r="AB43" i="7"/>
  <c r="M135" i="7" s="1"/>
  <c r="Q44" i="7"/>
  <c r="P40" i="7"/>
  <c r="AA26" i="5"/>
  <c r="G26" i="5"/>
  <c r="AB25" i="5"/>
  <c r="O154" i="5" s="1"/>
  <c r="AD25" i="5"/>
  <c r="F31" i="8"/>
  <c r="AA31" i="8" s="1"/>
  <c r="G30" i="8"/>
  <c r="P31" i="9"/>
  <c r="X30" i="9"/>
  <c r="M17" i="9"/>
  <c r="O16" i="9"/>
  <c r="M27" i="6"/>
  <c r="O26" i="6"/>
  <c r="G30" i="6"/>
  <c r="F31" i="6"/>
  <c r="AA31" i="6" s="1"/>
  <c r="D350" i="11" l="1"/>
  <c r="D328" i="11"/>
  <c r="F327" i="11"/>
  <c r="F350" i="11" s="1"/>
  <c r="C327" i="11"/>
  <c r="D405" i="11"/>
  <c r="C373" i="11"/>
  <c r="F373" i="11"/>
  <c r="F405" i="11" s="1"/>
  <c r="E278" i="11"/>
  <c r="E302" i="11" s="1"/>
  <c r="C302" i="11"/>
  <c r="E326" i="11"/>
  <c r="E349" i="11" s="1"/>
  <c r="C349" i="11"/>
  <c r="P79" i="7"/>
  <c r="P41" i="7"/>
  <c r="P80" i="7" s="1"/>
  <c r="D252" i="11"/>
  <c r="F226" i="11"/>
  <c r="F252" i="11" s="1"/>
  <c r="C226" i="11"/>
  <c r="D227" i="11"/>
  <c r="I29" i="1"/>
  <c r="G30" i="1"/>
  <c r="I30" i="1" s="1"/>
  <c r="L25" i="8"/>
  <c r="N25" i="8" s="1"/>
  <c r="O25" i="8"/>
  <c r="M26" i="8"/>
  <c r="E225" i="11"/>
  <c r="E251" i="11" s="1"/>
  <c r="C251" i="11"/>
  <c r="E372" i="11"/>
  <c r="E404" i="11" s="1"/>
  <c r="C404" i="11"/>
  <c r="D303" i="11"/>
  <c r="D280" i="11"/>
  <c r="F279" i="11"/>
  <c r="F303" i="11" s="1"/>
  <c r="C279" i="11"/>
  <c r="L76" i="8"/>
  <c r="N24" i="8"/>
  <c r="N76" i="8" s="1"/>
  <c r="D139" i="11"/>
  <c r="F109" i="11"/>
  <c r="F139" i="11" s="1"/>
  <c r="C109" i="11"/>
  <c r="D110" i="11"/>
  <c r="E168" i="11"/>
  <c r="E196" i="11" s="1"/>
  <c r="C196" i="11"/>
  <c r="E108" i="11"/>
  <c r="E138" i="11" s="1"/>
  <c r="C138" i="11"/>
  <c r="D197" i="11"/>
  <c r="C169" i="11"/>
  <c r="F169" i="11"/>
  <c r="F197" i="11" s="1"/>
  <c r="D170" i="11"/>
  <c r="X31" i="9"/>
  <c r="AA52" i="9" s="1"/>
  <c r="P52" i="9"/>
  <c r="L17" i="9"/>
  <c r="L45" i="9" s="1"/>
  <c r="M45" i="9"/>
  <c r="W51" i="8"/>
  <c r="U92" i="8"/>
  <c r="Y92" i="8" s="1"/>
  <c r="V51" i="8"/>
  <c r="V92" i="8"/>
  <c r="Z92" i="8" s="1"/>
  <c r="U33" i="8"/>
  <c r="T81" i="8"/>
  <c r="W48" i="7"/>
  <c r="U83" i="7"/>
  <c r="Y83" i="7" s="1"/>
  <c r="L27" i="7"/>
  <c r="L71" i="7" s="1"/>
  <c r="M71" i="7"/>
  <c r="Y39" i="7"/>
  <c r="AB76" i="7"/>
  <c r="L128" i="7"/>
  <c r="X37" i="7"/>
  <c r="AA76" i="7" s="1"/>
  <c r="U42" i="7"/>
  <c r="T80" i="7"/>
  <c r="V48" i="7"/>
  <c r="V83" i="7"/>
  <c r="Z83" i="7" s="1"/>
  <c r="Q70" i="6"/>
  <c r="Q120" i="6"/>
  <c r="V54" i="6"/>
  <c r="V110" i="6"/>
  <c r="Z110" i="6" s="1"/>
  <c r="P120" i="6"/>
  <c r="AA120" i="6"/>
  <c r="P70" i="6"/>
  <c r="X70" i="6" s="1"/>
  <c r="L27" i="6"/>
  <c r="L95" i="6" s="1"/>
  <c r="M95" i="6"/>
  <c r="W54" i="6"/>
  <c r="U110" i="6"/>
  <c r="Y110" i="6" s="1"/>
  <c r="M97" i="5"/>
  <c r="L34" i="5"/>
  <c r="L97" i="5" s="1"/>
  <c r="U34" i="5"/>
  <c r="T96" i="5"/>
  <c r="W66" i="5"/>
  <c r="U114" i="5"/>
  <c r="Y114" i="5" s="1"/>
  <c r="P66" i="5"/>
  <c r="P114" i="5"/>
  <c r="AB31" i="8"/>
  <c r="M130" i="8" s="1"/>
  <c r="N130" i="8"/>
  <c r="L130" i="8" s="1"/>
  <c r="AB31" i="6"/>
  <c r="M165" i="6" s="1"/>
  <c r="N165" i="6"/>
  <c r="L165" i="6"/>
  <c r="M115" i="5"/>
  <c r="L67" i="5"/>
  <c r="O67" i="5"/>
  <c r="J29" i="1"/>
  <c r="W27" i="3"/>
  <c r="F425" i="3"/>
  <c r="D425" i="3"/>
  <c r="D5" i="14"/>
  <c r="X26" i="3"/>
  <c r="E425" i="3" s="1"/>
  <c r="X164" i="3"/>
  <c r="E517" i="3" s="1"/>
  <c r="D517" i="3"/>
  <c r="F517" i="3"/>
  <c r="N156" i="5"/>
  <c r="P156" i="5"/>
  <c r="G169" i="1"/>
  <c r="I169" i="1" s="1"/>
  <c r="W165" i="3"/>
  <c r="X32" i="5"/>
  <c r="Y33" i="5"/>
  <c r="AB96" i="5" s="1"/>
  <c r="P39" i="8"/>
  <c r="X38" i="8"/>
  <c r="AA85" i="8" s="1"/>
  <c r="Q44" i="8"/>
  <c r="Q88" i="8" s="1"/>
  <c r="N26" i="7"/>
  <c r="M28" i="7"/>
  <c r="O27" i="7"/>
  <c r="O71" i="7" s="1"/>
  <c r="Q45" i="7"/>
  <c r="Q82" i="7" s="1"/>
  <c r="AB44" i="7"/>
  <c r="M136" i="7" s="1"/>
  <c r="N30" i="5"/>
  <c r="AA27" i="5"/>
  <c r="G27" i="5"/>
  <c r="AB26" i="5"/>
  <c r="O156" i="5" s="1"/>
  <c r="AD26" i="5"/>
  <c r="F32" i="8"/>
  <c r="AA32" i="8" s="1"/>
  <c r="G31" i="8"/>
  <c r="M28" i="6"/>
  <c r="O27" i="6"/>
  <c r="O95" i="6" s="1"/>
  <c r="M18" i="9"/>
  <c r="O17" i="9"/>
  <c r="O45" i="9" s="1"/>
  <c r="G31" i="6"/>
  <c r="F32" i="6"/>
  <c r="AA32" i="6" s="1"/>
  <c r="O26" i="8" l="1"/>
  <c r="O77" i="8" s="1"/>
  <c r="L26" i="8"/>
  <c r="M27" i="8"/>
  <c r="M77" i="8"/>
  <c r="D198" i="11"/>
  <c r="D171" i="11"/>
  <c r="C170" i="11"/>
  <c r="F170" i="11"/>
  <c r="F198" i="11" s="1"/>
  <c r="D253" i="11"/>
  <c r="F227" i="11"/>
  <c r="F253" i="11" s="1"/>
  <c r="D228" i="11"/>
  <c r="C227" i="11"/>
  <c r="C252" i="11"/>
  <c r="E226" i="11"/>
  <c r="E252" i="11" s="1"/>
  <c r="E109" i="11"/>
  <c r="E139" i="11" s="1"/>
  <c r="C139" i="11"/>
  <c r="E169" i="11"/>
  <c r="E197" i="11" s="1"/>
  <c r="C197" i="11"/>
  <c r="E279" i="11"/>
  <c r="E303" i="11" s="1"/>
  <c r="C303" i="11"/>
  <c r="D140" i="11"/>
  <c r="D111" i="11"/>
  <c r="C110" i="11"/>
  <c r="F110" i="11"/>
  <c r="F140" i="11" s="1"/>
  <c r="D304" i="11"/>
  <c r="C280" i="11"/>
  <c r="F280" i="11"/>
  <c r="F304" i="11" s="1"/>
  <c r="D281" i="11"/>
  <c r="E373" i="11"/>
  <c r="E405" i="11" s="1"/>
  <c r="C405" i="11"/>
  <c r="E327" i="11"/>
  <c r="E350" i="11" s="1"/>
  <c r="C350" i="11"/>
  <c r="D351" i="11"/>
  <c r="D329" i="11"/>
  <c r="F328" i="11"/>
  <c r="F351" i="11" s="1"/>
  <c r="C328" i="11"/>
  <c r="F5" i="14"/>
  <c r="E5" i="14" s="1"/>
  <c r="N17" i="9"/>
  <c r="N45" i="9" s="1"/>
  <c r="L18" i="9"/>
  <c r="N18" i="9" s="1"/>
  <c r="V52" i="8"/>
  <c r="U34" i="8"/>
  <c r="T82" i="8"/>
  <c r="W52" i="8"/>
  <c r="Y40" i="7"/>
  <c r="AB78" i="7"/>
  <c r="L130" i="7"/>
  <c r="X39" i="7"/>
  <c r="AA78" i="7" s="1"/>
  <c r="V49" i="7"/>
  <c r="U43" i="7"/>
  <c r="L28" i="7"/>
  <c r="W49" i="7"/>
  <c r="W56" i="6"/>
  <c r="U111" i="6"/>
  <c r="Y111" i="6" s="1"/>
  <c r="L28" i="6"/>
  <c r="N28" i="6" s="1"/>
  <c r="V56" i="6"/>
  <c r="V111" i="6"/>
  <c r="Z111" i="6" s="1"/>
  <c r="P71" i="6"/>
  <c r="X71" i="6" s="1"/>
  <c r="N27" i="6"/>
  <c r="N95" i="6" s="1"/>
  <c r="Q71" i="6"/>
  <c r="W67" i="5"/>
  <c r="N67" i="5" s="1"/>
  <c r="U35" i="5"/>
  <c r="T97" i="5"/>
  <c r="M98" i="5"/>
  <c r="L35" i="5"/>
  <c r="L98" i="5" s="1"/>
  <c r="P67" i="5"/>
  <c r="AB32" i="8"/>
  <c r="M131" i="8" s="1"/>
  <c r="N131" i="8"/>
  <c r="L131" i="8" s="1"/>
  <c r="AB32" i="6"/>
  <c r="M166" i="6" s="1"/>
  <c r="N166" i="6"/>
  <c r="L166" i="6"/>
  <c r="L68" i="5"/>
  <c r="O68" i="5"/>
  <c r="O115" i="5" s="1"/>
  <c r="W28" i="3"/>
  <c r="J30" i="1"/>
  <c r="G31" i="1"/>
  <c r="I31" i="1" s="1"/>
  <c r="X27" i="3"/>
  <c r="E426" i="3" s="1"/>
  <c r="F426" i="3"/>
  <c r="D426" i="3"/>
  <c r="X165" i="3"/>
  <c r="N157" i="5"/>
  <c r="P157" i="5"/>
  <c r="W166" i="3"/>
  <c r="G170" i="1"/>
  <c r="I170" i="1" s="1"/>
  <c r="J169" i="1"/>
  <c r="X33" i="5"/>
  <c r="AA96" i="5" s="1"/>
  <c r="Y34" i="5"/>
  <c r="AB97" i="5" s="1"/>
  <c r="Q45" i="8"/>
  <c r="P40" i="8"/>
  <c r="P86" i="8" s="1"/>
  <c r="X39" i="8"/>
  <c r="N27" i="7"/>
  <c r="N71" i="7" s="1"/>
  <c r="M29" i="7"/>
  <c r="M72" i="7" s="1"/>
  <c r="O28" i="7"/>
  <c r="Q46" i="7"/>
  <c r="AB45" i="7"/>
  <c r="M137" i="7" s="1"/>
  <c r="AA28" i="5"/>
  <c r="G28" i="5"/>
  <c r="AB27" i="5"/>
  <c r="O157" i="5" s="1"/>
  <c r="AD27" i="5"/>
  <c r="N28" i="5"/>
  <c r="G32" i="8"/>
  <c r="F33" i="8"/>
  <c r="AA33" i="8" s="1"/>
  <c r="O18" i="9"/>
  <c r="M19" i="9"/>
  <c r="M29" i="6"/>
  <c r="O28" i="6"/>
  <c r="F33" i="6"/>
  <c r="AA33" i="6" s="1"/>
  <c r="G32" i="6"/>
  <c r="D141" i="11" l="1"/>
  <c r="D112" i="11"/>
  <c r="C111" i="11"/>
  <c r="F111" i="11"/>
  <c r="F141" i="11" s="1"/>
  <c r="D352" i="11"/>
  <c r="F329" i="11"/>
  <c r="F352" i="11" s="1"/>
  <c r="C329" i="11"/>
  <c r="D330" i="11"/>
  <c r="E227" i="11"/>
  <c r="E253" i="11" s="1"/>
  <c r="C253" i="11"/>
  <c r="D254" i="11"/>
  <c r="C228" i="11"/>
  <c r="D229" i="11"/>
  <c r="F228" i="11"/>
  <c r="F254" i="11" s="1"/>
  <c r="E170" i="11"/>
  <c r="E198" i="11" s="1"/>
  <c r="C198" i="11"/>
  <c r="D305" i="11"/>
  <c r="D282" i="11"/>
  <c r="F281" i="11"/>
  <c r="F305" i="11" s="1"/>
  <c r="C281" i="11"/>
  <c r="D199" i="11"/>
  <c r="C171" i="11"/>
  <c r="D172" i="11"/>
  <c r="F171" i="11"/>
  <c r="F199" i="11" s="1"/>
  <c r="E280" i="11"/>
  <c r="E304" i="11" s="1"/>
  <c r="C304" i="11"/>
  <c r="E328" i="11"/>
  <c r="E351" i="11" s="1"/>
  <c r="C351" i="11"/>
  <c r="O27" i="8"/>
  <c r="M28" i="8"/>
  <c r="L27" i="8"/>
  <c r="N27" i="8" s="1"/>
  <c r="L77" i="8"/>
  <c r="N26" i="8"/>
  <c r="N77" i="8" s="1"/>
  <c r="E110" i="11"/>
  <c r="E140" i="11" s="1"/>
  <c r="C140" i="11"/>
  <c r="G5" i="14"/>
  <c r="L19" i="9"/>
  <c r="L46" i="9" s="1"/>
  <c r="M46" i="9"/>
  <c r="U35" i="8"/>
  <c r="T83" i="8"/>
  <c r="W53" i="8"/>
  <c r="U93" i="8"/>
  <c r="Y93" i="8" s="1"/>
  <c r="V53" i="8"/>
  <c r="V93" i="8"/>
  <c r="Z93" i="8" s="1"/>
  <c r="W50" i="7"/>
  <c r="U84" i="7"/>
  <c r="Y84" i="7" s="1"/>
  <c r="U44" i="7"/>
  <c r="T81" i="7"/>
  <c r="V50" i="7"/>
  <c r="V84" i="7"/>
  <c r="Z84" i="7" s="1"/>
  <c r="Y41" i="7"/>
  <c r="AB79" i="7"/>
  <c r="L131" i="7"/>
  <c r="X40" i="7"/>
  <c r="AA79" i="7" s="1"/>
  <c r="P121" i="6"/>
  <c r="P72" i="6"/>
  <c r="X72" i="6" s="1"/>
  <c r="AA121" i="6"/>
  <c r="V57" i="6"/>
  <c r="Q72" i="6"/>
  <c r="Q121" i="6"/>
  <c r="L29" i="6"/>
  <c r="L96" i="6" s="1"/>
  <c r="M96" i="6"/>
  <c r="W57" i="6"/>
  <c r="L115" i="5"/>
  <c r="L36" i="5"/>
  <c r="U36" i="5"/>
  <c r="T98" i="5"/>
  <c r="P68" i="5"/>
  <c r="W68" i="5"/>
  <c r="AB33" i="8"/>
  <c r="M132" i="8" s="1"/>
  <c r="N132" i="8"/>
  <c r="L132" i="8" s="1"/>
  <c r="AB33" i="6"/>
  <c r="M167" i="6" s="1"/>
  <c r="N167" i="6"/>
  <c r="L167" i="6"/>
  <c r="L69" i="5"/>
  <c r="M116" i="5"/>
  <c r="O69" i="5"/>
  <c r="W29" i="3"/>
  <c r="J31" i="1"/>
  <c r="G32" i="1"/>
  <c r="I32" i="1" s="1"/>
  <c r="D427" i="3"/>
  <c r="X28" i="3"/>
  <c r="E427" i="3" s="1"/>
  <c r="F427" i="3"/>
  <c r="X166" i="3"/>
  <c r="E519" i="3" s="1"/>
  <c r="D519" i="3"/>
  <c r="F519" i="3"/>
  <c r="N158" i="5"/>
  <c r="P158" i="5"/>
  <c r="G171" i="1"/>
  <c r="I171" i="1" s="1"/>
  <c r="W167" i="3"/>
  <c r="Y35" i="5"/>
  <c r="AB98" i="5" s="1"/>
  <c r="X34" i="5"/>
  <c r="AA97" i="5" s="1"/>
  <c r="M30" i="7"/>
  <c r="L29" i="7"/>
  <c r="L72" i="7" s="1"/>
  <c r="X40" i="8"/>
  <c r="AA86" i="8" s="1"/>
  <c r="P41" i="8"/>
  <c r="Q46" i="8"/>
  <c r="Q89" i="8" s="1"/>
  <c r="AB46" i="7"/>
  <c r="M138" i="7" s="1"/>
  <c r="Q47" i="7"/>
  <c r="Q83" i="7" s="1"/>
  <c r="N28" i="7"/>
  <c r="O29" i="7"/>
  <c r="O72" i="7" s="1"/>
  <c r="P43" i="7"/>
  <c r="P81" i="7" s="1"/>
  <c r="AA29" i="5"/>
  <c r="G29" i="5"/>
  <c r="O28" i="5"/>
  <c r="AB28" i="5"/>
  <c r="O158" i="5" s="1"/>
  <c r="AD28" i="5"/>
  <c r="F34" i="8"/>
  <c r="AA34" i="8" s="1"/>
  <c r="G33" i="8"/>
  <c r="N29" i="5"/>
  <c r="N94" i="5" s="1"/>
  <c r="N19" i="9"/>
  <c r="N46" i="9" s="1"/>
  <c r="M20" i="9"/>
  <c r="O19" i="9"/>
  <c r="O46" i="9" s="1"/>
  <c r="O29" i="5"/>
  <c r="O94" i="5" s="1"/>
  <c r="M30" i="6"/>
  <c r="O29" i="6"/>
  <c r="O96" i="6" s="1"/>
  <c r="G33" i="6"/>
  <c r="F34" i="6"/>
  <c r="AA34" i="6" s="1"/>
  <c r="D306" i="11" l="1"/>
  <c r="C282" i="11"/>
  <c r="F282" i="11"/>
  <c r="F306" i="11" s="1"/>
  <c r="E228" i="11"/>
  <c r="E254" i="11" s="1"/>
  <c r="C254" i="11"/>
  <c r="D255" i="11"/>
  <c r="C229" i="11"/>
  <c r="D230" i="11"/>
  <c r="F229" i="11"/>
  <c r="F255" i="11" s="1"/>
  <c r="O28" i="8"/>
  <c r="O78" i="8" s="1"/>
  <c r="M29" i="8"/>
  <c r="L28" i="8"/>
  <c r="M78" i="8"/>
  <c r="D353" i="11"/>
  <c r="F330" i="11"/>
  <c r="F353" i="11" s="1"/>
  <c r="C330" i="11"/>
  <c r="E329" i="11"/>
  <c r="E352" i="11" s="1"/>
  <c r="C352" i="11"/>
  <c r="E281" i="11"/>
  <c r="E305" i="11" s="1"/>
  <c r="C305" i="11"/>
  <c r="E171" i="11"/>
  <c r="E199" i="11" s="1"/>
  <c r="C199" i="11"/>
  <c r="E111" i="11"/>
  <c r="E141" i="11" s="1"/>
  <c r="C141" i="11"/>
  <c r="D142" i="11"/>
  <c r="C112" i="11"/>
  <c r="D113" i="11"/>
  <c r="F112" i="11"/>
  <c r="F142" i="11" s="1"/>
  <c r="D200" i="11"/>
  <c r="F172" i="11"/>
  <c r="F200" i="11" s="1"/>
  <c r="C172" i="11"/>
  <c r="D173" i="11"/>
  <c r="L20" i="9"/>
  <c r="N20" i="9" s="1"/>
  <c r="W54" i="8"/>
  <c r="V54" i="8"/>
  <c r="U36" i="8"/>
  <c r="V51" i="7"/>
  <c r="Y42" i="7"/>
  <c r="AB80" i="7"/>
  <c r="L132" i="7"/>
  <c r="X41" i="7"/>
  <c r="AA80" i="7" s="1"/>
  <c r="U45" i="7"/>
  <c r="L30" i="7"/>
  <c r="W51" i="7"/>
  <c r="L30" i="6"/>
  <c r="V58" i="6"/>
  <c r="V113" i="6"/>
  <c r="Z113" i="6" s="1"/>
  <c r="W58" i="6"/>
  <c r="U113" i="6"/>
  <c r="Y113" i="6" s="1"/>
  <c r="Q73" i="6"/>
  <c r="N29" i="6"/>
  <c r="N96" i="6" s="1"/>
  <c r="P73" i="6"/>
  <c r="X73" i="6" s="1"/>
  <c r="U37" i="5"/>
  <c r="W69" i="5"/>
  <c r="W70" i="5" s="1"/>
  <c r="U115" i="5"/>
  <c r="Y115" i="5" s="1"/>
  <c r="M99" i="5"/>
  <c r="L37" i="5"/>
  <c r="L99" i="5" s="1"/>
  <c r="P69" i="5"/>
  <c r="P115" i="5"/>
  <c r="N68" i="5"/>
  <c r="N115" i="5" s="1"/>
  <c r="AB34" i="8"/>
  <c r="M133" i="8" s="1"/>
  <c r="N133" i="8"/>
  <c r="L133" i="8" s="1"/>
  <c r="AB34" i="6"/>
  <c r="M168" i="6" s="1"/>
  <c r="N168" i="6"/>
  <c r="L168" i="6"/>
  <c r="L70" i="5"/>
  <c r="M117" i="5"/>
  <c r="O70" i="5"/>
  <c r="O116" i="5" s="1"/>
  <c r="W30" i="3"/>
  <c r="J32" i="1"/>
  <c r="G33" i="1"/>
  <c r="I33" i="1" s="1"/>
  <c r="X29" i="3"/>
  <c r="X167" i="3"/>
  <c r="P159" i="5"/>
  <c r="N159" i="5"/>
  <c r="W168" i="3"/>
  <c r="J171" i="1"/>
  <c r="G172" i="1"/>
  <c r="I172" i="1" s="1"/>
  <c r="Y36" i="5"/>
  <c r="X35" i="5"/>
  <c r="AA98" i="5" s="1"/>
  <c r="X41" i="8"/>
  <c r="P42" i="8"/>
  <c r="P87" i="8" s="1"/>
  <c r="Q47" i="8"/>
  <c r="AB47" i="7"/>
  <c r="M139" i="7" s="1"/>
  <c r="Q48" i="7"/>
  <c r="N29" i="7"/>
  <c r="N72" i="7" s="1"/>
  <c r="O30" i="7"/>
  <c r="M31" i="7"/>
  <c r="P44" i="7"/>
  <c r="N27" i="5"/>
  <c r="N93" i="5" s="1"/>
  <c r="O27" i="5"/>
  <c r="O93" i="5" s="1"/>
  <c r="AA30" i="5"/>
  <c r="I31" i="5"/>
  <c r="I32" i="5" s="1"/>
  <c r="G30" i="5"/>
  <c r="AB29" i="5"/>
  <c r="O159" i="5" s="1"/>
  <c r="AD29" i="5"/>
  <c r="F35" i="8"/>
  <c r="AA35" i="8" s="1"/>
  <c r="G34" i="8"/>
  <c r="M31" i="6"/>
  <c r="M97" i="6" s="1"/>
  <c r="O30" i="6"/>
  <c r="O30" i="5"/>
  <c r="N30" i="6"/>
  <c r="O20" i="9"/>
  <c r="M21" i="9"/>
  <c r="G34" i="6"/>
  <c r="F35" i="6"/>
  <c r="AA35" i="6" s="1"/>
  <c r="M30" i="8" l="1"/>
  <c r="O29" i="8"/>
  <c r="L29" i="8"/>
  <c r="N29" i="8" s="1"/>
  <c r="D201" i="11"/>
  <c r="D174" i="11"/>
  <c r="F173" i="11"/>
  <c r="F201" i="11" s="1"/>
  <c r="C173" i="11"/>
  <c r="L78" i="8"/>
  <c r="N28" i="8"/>
  <c r="N78" i="8" s="1"/>
  <c r="E172" i="11"/>
  <c r="E200" i="11" s="1"/>
  <c r="C200" i="11"/>
  <c r="D256" i="11"/>
  <c r="F230" i="11"/>
  <c r="F256" i="11" s="1"/>
  <c r="C230" i="11"/>
  <c r="E229" i="11"/>
  <c r="E255" i="11" s="1"/>
  <c r="C255" i="11"/>
  <c r="D143" i="11"/>
  <c r="D114" i="11"/>
  <c r="F113" i="11"/>
  <c r="F143" i="11" s="1"/>
  <c r="C113" i="11"/>
  <c r="E112" i="11"/>
  <c r="E142" i="11" s="1"/>
  <c r="C142" i="11"/>
  <c r="E282" i="11"/>
  <c r="E306" i="11" s="1"/>
  <c r="C306" i="11"/>
  <c r="N69" i="5"/>
  <c r="E330" i="11"/>
  <c r="E353" i="11" s="1"/>
  <c r="C353" i="11"/>
  <c r="L21" i="9"/>
  <c r="L47" i="9" s="1"/>
  <c r="M47" i="9"/>
  <c r="U37" i="8"/>
  <c r="T84" i="8"/>
  <c r="V55" i="8"/>
  <c r="V94" i="8"/>
  <c r="Z94" i="8" s="1"/>
  <c r="W55" i="8"/>
  <c r="U94" i="8"/>
  <c r="Y94" i="8" s="1"/>
  <c r="W52" i="7"/>
  <c r="U85" i="7"/>
  <c r="Y85" i="7" s="1"/>
  <c r="Y43" i="7"/>
  <c r="L134" i="7"/>
  <c r="X42" i="7"/>
  <c r="U46" i="7"/>
  <c r="T82" i="7"/>
  <c r="L31" i="7"/>
  <c r="L73" i="7" s="1"/>
  <c r="M73" i="7"/>
  <c r="V52" i="7"/>
  <c r="V85" i="7"/>
  <c r="Z85" i="7" s="1"/>
  <c r="P122" i="6"/>
  <c r="AA122" i="6"/>
  <c r="P74" i="6"/>
  <c r="X74" i="6" s="1"/>
  <c r="W59" i="6"/>
  <c r="Q74" i="6"/>
  <c r="Q122" i="6"/>
  <c r="V59" i="6"/>
  <c r="L38" i="5"/>
  <c r="N70" i="5"/>
  <c r="N116" i="5" s="1"/>
  <c r="L116" i="5"/>
  <c r="U38" i="5"/>
  <c r="T99" i="5"/>
  <c r="AB35" i="8"/>
  <c r="M134" i="8" s="1"/>
  <c r="N134" i="8"/>
  <c r="L134" i="8" s="1"/>
  <c r="AB35" i="6"/>
  <c r="M169" i="6" s="1"/>
  <c r="N169" i="6"/>
  <c r="L169" i="6"/>
  <c r="L71" i="5"/>
  <c r="O71" i="5"/>
  <c r="O117" i="5" s="1"/>
  <c r="M118" i="5"/>
  <c r="G34" i="1"/>
  <c r="I34" i="1" s="1"/>
  <c r="W31" i="3"/>
  <c r="J33" i="1"/>
  <c r="X30" i="3"/>
  <c r="X168" i="3"/>
  <c r="E520" i="3" s="1"/>
  <c r="D520" i="3"/>
  <c r="F520" i="3"/>
  <c r="P160" i="5"/>
  <c r="N160" i="5"/>
  <c r="G173" i="1"/>
  <c r="I173" i="1" s="1"/>
  <c r="W169" i="3"/>
  <c r="Y37" i="5"/>
  <c r="AB99" i="5" s="1"/>
  <c r="X36" i="5"/>
  <c r="Q48" i="8"/>
  <c r="Q90" i="8" s="1"/>
  <c r="P43" i="8"/>
  <c r="X42" i="8"/>
  <c r="AA87" i="8" s="1"/>
  <c r="Q49" i="7"/>
  <c r="Q84" i="7" s="1"/>
  <c r="AB48" i="7"/>
  <c r="M141" i="7" s="1"/>
  <c r="N30" i="7"/>
  <c r="O31" i="7"/>
  <c r="O73" i="7" s="1"/>
  <c r="M32" i="7"/>
  <c r="P45" i="7"/>
  <c r="P82" i="7" s="1"/>
  <c r="M32" i="6"/>
  <c r="L31" i="6"/>
  <c r="AA31" i="5"/>
  <c r="G31" i="5"/>
  <c r="F32" i="5"/>
  <c r="AB30" i="5"/>
  <c r="O160" i="5" s="1"/>
  <c r="AD30" i="5"/>
  <c r="N26" i="5"/>
  <c r="O26" i="5"/>
  <c r="F36" i="8"/>
  <c r="AA36" i="8" s="1"/>
  <c r="G35" i="8"/>
  <c r="N31" i="5"/>
  <c r="N95" i="5" s="1"/>
  <c r="N21" i="9"/>
  <c r="N47" i="9" s="1"/>
  <c r="M22" i="9"/>
  <c r="O21" i="9"/>
  <c r="O47" i="9" s="1"/>
  <c r="O31" i="5"/>
  <c r="O95" i="5" s="1"/>
  <c r="O31" i="6"/>
  <c r="O97" i="6" s="1"/>
  <c r="F36" i="6"/>
  <c r="AA36" i="6" s="1"/>
  <c r="G35" i="6"/>
  <c r="E113" i="11" l="1"/>
  <c r="E143" i="11" s="1"/>
  <c r="C143" i="11"/>
  <c r="D144" i="11"/>
  <c r="F114" i="11"/>
  <c r="F144" i="11" s="1"/>
  <c r="C114" i="11"/>
  <c r="D115" i="11"/>
  <c r="C256" i="11"/>
  <c r="E230" i="11"/>
  <c r="E256" i="11" s="1"/>
  <c r="E173" i="11"/>
  <c r="E201" i="11" s="1"/>
  <c r="C201" i="11"/>
  <c r="D202" i="11"/>
  <c r="F174" i="11"/>
  <c r="F202" i="11" s="1"/>
  <c r="C174" i="11"/>
  <c r="O30" i="8"/>
  <c r="O79" i="8" s="1"/>
  <c r="M31" i="8"/>
  <c r="L30" i="8"/>
  <c r="M79" i="8"/>
  <c r="L22" i="9"/>
  <c r="N22" i="9" s="1"/>
  <c r="W56" i="8"/>
  <c r="V56" i="8"/>
  <c r="U39" i="8"/>
  <c r="V53" i="7"/>
  <c r="L32" i="7"/>
  <c r="U47" i="7"/>
  <c r="Y44" i="7"/>
  <c r="AB81" i="7"/>
  <c r="L135" i="7"/>
  <c r="X43" i="7"/>
  <c r="AA81" i="7" s="1"/>
  <c r="W53" i="7"/>
  <c r="W60" i="6"/>
  <c r="U114" i="6"/>
  <c r="Y114" i="6" s="1"/>
  <c r="Q75" i="6"/>
  <c r="P75" i="6"/>
  <c r="X75" i="6" s="1"/>
  <c r="V60" i="6"/>
  <c r="V114" i="6"/>
  <c r="Z114" i="6" s="1"/>
  <c r="N31" i="6"/>
  <c r="N97" i="6" s="1"/>
  <c r="L97" i="6"/>
  <c r="L117" i="5"/>
  <c r="U116" i="5"/>
  <c r="Y116" i="5" s="1"/>
  <c r="U39" i="5"/>
  <c r="P71" i="5"/>
  <c r="P116" i="5"/>
  <c r="M100" i="5"/>
  <c r="L39" i="5"/>
  <c r="L100" i="5" s="1"/>
  <c r="AB36" i="8"/>
  <c r="M135" i="8" s="1"/>
  <c r="N135" i="8"/>
  <c r="L135" i="8" s="1"/>
  <c r="AB49" i="7"/>
  <c r="M142" i="7" s="1"/>
  <c r="Q50" i="7"/>
  <c r="AB36" i="6"/>
  <c r="M171" i="6" s="1"/>
  <c r="L171" i="6"/>
  <c r="N171" i="6"/>
  <c r="L72" i="5"/>
  <c r="L118" i="5" s="1"/>
  <c r="O72" i="5"/>
  <c r="O118" i="5" s="1"/>
  <c r="F428" i="3"/>
  <c r="D428" i="3"/>
  <c r="X31" i="3"/>
  <c r="E428" i="3" s="1"/>
  <c r="G35" i="1"/>
  <c r="I35" i="1" s="1"/>
  <c r="W32" i="3"/>
  <c r="J34" i="1"/>
  <c r="X169" i="3"/>
  <c r="P161" i="5"/>
  <c r="N161" i="5"/>
  <c r="W170" i="3"/>
  <c r="G174" i="1"/>
  <c r="I174" i="1" s="1"/>
  <c r="J173" i="1"/>
  <c r="Y38" i="5"/>
  <c r="X37" i="5"/>
  <c r="AA99" i="5" s="1"/>
  <c r="P44" i="8"/>
  <c r="P88" i="8" s="1"/>
  <c r="X43" i="8"/>
  <c r="N31" i="7"/>
  <c r="N73" i="7" s="1"/>
  <c r="O32" i="7"/>
  <c r="M33" i="7"/>
  <c r="P46" i="7"/>
  <c r="M33" i="6"/>
  <c r="L32" i="6"/>
  <c r="N25" i="5"/>
  <c r="N92" i="5" s="1"/>
  <c r="O25" i="5"/>
  <c r="O92" i="5" s="1"/>
  <c r="AA32" i="5"/>
  <c r="G32" i="5"/>
  <c r="F33" i="5"/>
  <c r="AB31" i="5"/>
  <c r="O161" i="5" s="1"/>
  <c r="AD31" i="5"/>
  <c r="F37" i="8"/>
  <c r="AA37" i="8" s="1"/>
  <c r="G36" i="8"/>
  <c r="O32" i="6"/>
  <c r="M23" i="9"/>
  <c r="O22" i="9"/>
  <c r="O32" i="5"/>
  <c r="N32" i="5"/>
  <c r="F37" i="6"/>
  <c r="AA37" i="6" s="1"/>
  <c r="G36" i="6"/>
  <c r="E174" i="11" l="1"/>
  <c r="E202" i="11" s="1"/>
  <c r="C202" i="11"/>
  <c r="L31" i="8"/>
  <c r="M80" i="8"/>
  <c r="O31" i="8"/>
  <c r="O80" i="8" s="1"/>
  <c r="M32" i="8"/>
  <c r="D145" i="11"/>
  <c r="C115" i="11"/>
  <c r="F115" i="11"/>
  <c r="F145" i="11" s="1"/>
  <c r="C144" i="11"/>
  <c r="E114" i="11"/>
  <c r="E144" i="11" s="1"/>
  <c r="L79" i="8"/>
  <c r="N30" i="8"/>
  <c r="N79" i="8" s="1"/>
  <c r="L23" i="9"/>
  <c r="L48" i="9" s="1"/>
  <c r="M48" i="9"/>
  <c r="U40" i="8"/>
  <c r="V57" i="8"/>
  <c r="V95" i="8"/>
  <c r="Z95" i="8" s="1"/>
  <c r="W57" i="8"/>
  <c r="U95" i="8"/>
  <c r="Y95" i="8" s="1"/>
  <c r="W54" i="7"/>
  <c r="U87" i="7" s="1"/>
  <c r="Y87" i="7" s="1"/>
  <c r="U86" i="7"/>
  <c r="Y86" i="7" s="1"/>
  <c r="U48" i="7"/>
  <c r="T83" i="7"/>
  <c r="L33" i="7"/>
  <c r="L74" i="7" s="1"/>
  <c r="M74" i="7"/>
  <c r="Y45" i="7"/>
  <c r="L136" i="7"/>
  <c r="X44" i="7"/>
  <c r="V54" i="7"/>
  <c r="V87" i="7" s="1"/>
  <c r="Z87" i="7" s="1"/>
  <c r="V86" i="7"/>
  <c r="Z86" i="7" s="1"/>
  <c r="N32" i="6"/>
  <c r="M34" i="6"/>
  <c r="L34" i="6" s="1"/>
  <c r="M98" i="6"/>
  <c r="Q76" i="6"/>
  <c r="Q123" i="6"/>
  <c r="V61" i="6"/>
  <c r="P123" i="6"/>
  <c r="AA123" i="6"/>
  <c r="P76" i="6"/>
  <c r="X76" i="6" s="1"/>
  <c r="W61" i="6"/>
  <c r="U40" i="5"/>
  <c r="T100" i="5"/>
  <c r="L40" i="5"/>
  <c r="P72" i="5"/>
  <c r="P118" i="5" s="1"/>
  <c r="P117" i="5"/>
  <c r="W72" i="5"/>
  <c r="U118" i="5" s="1"/>
  <c r="Y118" i="5" s="1"/>
  <c r="U117" i="5"/>
  <c r="Y117" i="5" s="1"/>
  <c r="N71" i="5"/>
  <c r="N117" i="5" s="1"/>
  <c r="AB37" i="8"/>
  <c r="M137" i="8" s="1"/>
  <c r="N137" i="8"/>
  <c r="L137" i="8" s="1"/>
  <c r="Q51" i="7"/>
  <c r="Q85" i="7" s="1"/>
  <c r="AB50" i="7"/>
  <c r="M143" i="7" s="1"/>
  <c r="AB37" i="6"/>
  <c r="M172" i="6" s="1"/>
  <c r="N172" i="6"/>
  <c r="L172" i="6"/>
  <c r="L73" i="5"/>
  <c r="O73" i="5"/>
  <c r="M119" i="5"/>
  <c r="X32" i="3"/>
  <c r="W33" i="3"/>
  <c r="J35" i="1"/>
  <c r="G36" i="1"/>
  <c r="I36" i="1" s="1"/>
  <c r="X170" i="3"/>
  <c r="E521" i="3" s="1"/>
  <c r="F521" i="3"/>
  <c r="D521" i="3"/>
  <c r="P163" i="5"/>
  <c r="N163" i="5"/>
  <c r="L33" i="6"/>
  <c r="L98" i="6" s="1"/>
  <c r="G175" i="1"/>
  <c r="I175" i="1" s="1"/>
  <c r="W171" i="3"/>
  <c r="Y39" i="5"/>
  <c r="AB100" i="5" s="1"/>
  <c r="X38" i="5"/>
  <c r="Q50" i="8"/>
  <c r="Q92" i="8" s="1"/>
  <c r="P45" i="8"/>
  <c r="X44" i="8"/>
  <c r="AA88" i="8" s="1"/>
  <c r="P47" i="7"/>
  <c r="P83" i="7" s="1"/>
  <c r="N32" i="7"/>
  <c r="O33" i="7"/>
  <c r="O74" i="7" s="1"/>
  <c r="M34" i="7"/>
  <c r="AA33" i="5"/>
  <c r="G33" i="5"/>
  <c r="F34" i="5"/>
  <c r="AB32" i="5"/>
  <c r="O163" i="5" s="1"/>
  <c r="AD32" i="5"/>
  <c r="N24" i="5"/>
  <c r="O24" i="5"/>
  <c r="F38" i="8"/>
  <c r="AA38" i="8" s="1"/>
  <c r="G37" i="8"/>
  <c r="N33" i="5"/>
  <c r="N96" i="5" s="1"/>
  <c r="O33" i="5"/>
  <c r="O96" i="5" s="1"/>
  <c r="O23" i="9"/>
  <c r="O48" i="9" s="1"/>
  <c r="M24" i="9"/>
  <c r="O33" i="6"/>
  <c r="O98" i="6" s="1"/>
  <c r="G37" i="6"/>
  <c r="F38" i="6"/>
  <c r="AA38" i="6" s="1"/>
  <c r="N23" i="9" l="1"/>
  <c r="N48" i="9" s="1"/>
  <c r="C145" i="11"/>
  <c r="E115" i="11"/>
  <c r="E145" i="11" s="1"/>
  <c r="M81" i="8"/>
  <c r="M33" i="8"/>
  <c r="L32" i="8"/>
  <c r="O32" i="8"/>
  <c r="O81" i="8" s="1"/>
  <c r="L80" i="8"/>
  <c r="N31" i="8"/>
  <c r="N80" i="8" s="1"/>
  <c r="N33" i="6"/>
  <c r="N98" i="6" s="1"/>
  <c r="L24" i="9"/>
  <c r="N24" i="9" s="1"/>
  <c r="W58" i="8"/>
  <c r="V58" i="8"/>
  <c r="U41" i="8"/>
  <c r="T86" i="8"/>
  <c r="L34" i="7"/>
  <c r="U49" i="7"/>
  <c r="Y46" i="7"/>
  <c r="AB82" i="7"/>
  <c r="L137" i="7"/>
  <c r="X45" i="7"/>
  <c r="AA82" i="7" s="1"/>
  <c r="Q77" i="6"/>
  <c r="Q124" i="6" s="1"/>
  <c r="W62" i="6"/>
  <c r="U115" i="6"/>
  <c r="Y115" i="6" s="1"/>
  <c r="P77" i="6"/>
  <c r="X77" i="6" s="1"/>
  <c r="M35" i="6"/>
  <c r="L35" i="6" s="1"/>
  <c r="L99" i="6" s="1"/>
  <c r="V62" i="6"/>
  <c r="V115" i="6"/>
  <c r="Z115" i="6" s="1"/>
  <c r="W73" i="5"/>
  <c r="N73" i="5" s="1"/>
  <c r="P73" i="5"/>
  <c r="N72" i="5"/>
  <c r="N118" i="5" s="1"/>
  <c r="M101" i="5"/>
  <c r="L41" i="5"/>
  <c r="L101" i="5" s="1"/>
  <c r="U41" i="5"/>
  <c r="AB38" i="8"/>
  <c r="M138" i="8" s="1"/>
  <c r="N138" i="8"/>
  <c r="L138" i="8" s="1"/>
  <c r="Q52" i="7"/>
  <c r="AB51" i="7"/>
  <c r="M144" i="7" s="1"/>
  <c r="AB38" i="6"/>
  <c r="M173" i="6" s="1"/>
  <c r="N173" i="6"/>
  <c r="L173" i="6"/>
  <c r="L74" i="5"/>
  <c r="O74" i="5"/>
  <c r="O119" i="5" s="1"/>
  <c r="G37" i="1"/>
  <c r="I37" i="1" s="1"/>
  <c r="J36" i="1"/>
  <c r="W34" i="3"/>
  <c r="D429" i="3"/>
  <c r="X33" i="3"/>
  <c r="E429" i="3" s="1"/>
  <c r="D6" i="14"/>
  <c r="F429" i="3"/>
  <c r="X171" i="3"/>
  <c r="P164" i="5"/>
  <c r="N164" i="5"/>
  <c r="W172" i="3"/>
  <c r="G176" i="1"/>
  <c r="I176" i="1" s="1"/>
  <c r="J175" i="1"/>
  <c r="Y40" i="5"/>
  <c r="X39" i="5"/>
  <c r="AA100" i="5" s="1"/>
  <c r="P46" i="8"/>
  <c r="P89" i="8" s="1"/>
  <c r="X45" i="8"/>
  <c r="Q51" i="8"/>
  <c r="P48" i="7"/>
  <c r="N33" i="7"/>
  <c r="N74" i="7" s="1"/>
  <c r="O34" i="7"/>
  <c r="M35" i="7"/>
  <c r="N23" i="5"/>
  <c r="N91" i="5" s="1"/>
  <c r="O23" i="5"/>
  <c r="O91" i="5" s="1"/>
  <c r="AA34" i="5"/>
  <c r="F35" i="5"/>
  <c r="G34" i="5"/>
  <c r="AB33" i="5"/>
  <c r="O164" i="5" s="1"/>
  <c r="AD33" i="5"/>
  <c r="F39" i="8"/>
  <c r="AA39" i="8" s="1"/>
  <c r="G38" i="8"/>
  <c r="O34" i="6"/>
  <c r="M25" i="9"/>
  <c r="O24" i="9"/>
  <c r="N34" i="6"/>
  <c r="O34" i="5"/>
  <c r="O97" i="5" s="1"/>
  <c r="N34" i="5"/>
  <c r="N97" i="5" s="1"/>
  <c r="G38" i="6"/>
  <c r="F39" i="6"/>
  <c r="AA39" i="6" s="1"/>
  <c r="L81" i="8" l="1"/>
  <c r="N32" i="8"/>
  <c r="N81" i="8" s="1"/>
  <c r="M34" i="8"/>
  <c r="L33" i="8"/>
  <c r="O33" i="8"/>
  <c r="O82" i="8" s="1"/>
  <c r="M82" i="8"/>
  <c r="F6" i="14"/>
  <c r="E6" i="14" s="1"/>
  <c r="L25" i="9"/>
  <c r="L49" i="9" s="1"/>
  <c r="M49" i="9"/>
  <c r="V59" i="8"/>
  <c r="V60" i="8" s="1"/>
  <c r="V97" i="8" s="1"/>
  <c r="Z97" i="8" s="1"/>
  <c r="V96" i="8"/>
  <c r="Z96" i="8" s="1"/>
  <c r="U42" i="8"/>
  <c r="W59" i="8"/>
  <c r="W60" i="8" s="1"/>
  <c r="U97" i="8" s="1"/>
  <c r="Y97" i="8" s="1"/>
  <c r="U96" i="8"/>
  <c r="Y96" i="8" s="1"/>
  <c r="Y47" i="7"/>
  <c r="L138" i="7"/>
  <c r="X46" i="7"/>
  <c r="L35" i="7"/>
  <c r="L75" i="7" s="1"/>
  <c r="M75" i="7"/>
  <c r="U50" i="7"/>
  <c r="T84" i="7"/>
  <c r="V63" i="6"/>
  <c r="P124" i="6"/>
  <c r="AA124" i="6"/>
  <c r="W63" i="6"/>
  <c r="M36" i="6"/>
  <c r="M99" i="6"/>
  <c r="U42" i="5"/>
  <c r="T101" i="5"/>
  <c r="L42" i="5"/>
  <c r="L119" i="5"/>
  <c r="P74" i="5"/>
  <c r="W74" i="5"/>
  <c r="N74" i="5" s="1"/>
  <c r="N119" i="5" s="1"/>
  <c r="AB39" i="8"/>
  <c r="M139" i="8" s="1"/>
  <c r="N139" i="8"/>
  <c r="L139" i="8" s="1"/>
  <c r="Q53" i="7"/>
  <c r="Q86" i="7" s="1"/>
  <c r="AB52" i="7"/>
  <c r="M145" i="7" s="1"/>
  <c r="AB39" i="6"/>
  <c r="M174" i="6" s="1"/>
  <c r="N174" i="6"/>
  <c r="L174" i="6"/>
  <c r="L75" i="5"/>
  <c r="O75" i="5"/>
  <c r="M120" i="5"/>
  <c r="F430" i="3"/>
  <c r="D430" i="3"/>
  <c r="X34" i="3"/>
  <c r="E430" i="3" s="1"/>
  <c r="J37" i="1"/>
  <c r="W35" i="3"/>
  <c r="G38" i="1"/>
  <c r="I38" i="1" s="1"/>
  <c r="X172" i="3"/>
  <c r="E522" i="3" s="1"/>
  <c r="D522" i="3"/>
  <c r="F522" i="3"/>
  <c r="P165" i="5"/>
  <c r="N165" i="5"/>
  <c r="G177" i="1"/>
  <c r="I177" i="1" s="1"/>
  <c r="W173" i="3"/>
  <c r="Y41" i="5"/>
  <c r="AB101" i="5" s="1"/>
  <c r="X40" i="5"/>
  <c r="Q52" i="8"/>
  <c r="Q93" i="8" s="1"/>
  <c r="P47" i="8"/>
  <c r="X46" i="8"/>
  <c r="AA89" i="8" s="1"/>
  <c r="P49" i="7"/>
  <c r="P84" i="7" s="1"/>
  <c r="N34" i="7"/>
  <c r="M36" i="7"/>
  <c r="O35" i="7"/>
  <c r="O75" i="7" s="1"/>
  <c r="AA35" i="5"/>
  <c r="G35" i="5"/>
  <c r="F36" i="5"/>
  <c r="AB34" i="5"/>
  <c r="O165" i="5" s="1"/>
  <c r="AD34" i="5"/>
  <c r="N22" i="5"/>
  <c r="O22" i="5"/>
  <c r="F40" i="8"/>
  <c r="AA40" i="8" s="1"/>
  <c r="G39" i="8"/>
  <c r="N35" i="5"/>
  <c r="N98" i="5" s="1"/>
  <c r="O35" i="5"/>
  <c r="O98" i="5" s="1"/>
  <c r="M26" i="9"/>
  <c r="O25" i="9"/>
  <c r="O49" i="9" s="1"/>
  <c r="N25" i="9"/>
  <c r="N49" i="9" s="1"/>
  <c r="N35" i="6"/>
  <c r="N99" i="6" s="1"/>
  <c r="O35" i="6"/>
  <c r="O99" i="6" s="1"/>
  <c r="G39" i="6"/>
  <c r="F40" i="6"/>
  <c r="AA40" i="6" s="1"/>
  <c r="L36" i="6" l="1"/>
  <c r="L100" i="6" s="1"/>
  <c r="M37" i="6"/>
  <c r="L82" i="8"/>
  <c r="N33" i="8"/>
  <c r="N82" i="8" s="1"/>
  <c r="O34" i="8"/>
  <c r="O83" i="8" s="1"/>
  <c r="M83" i="8"/>
  <c r="M35" i="8"/>
  <c r="L34" i="8"/>
  <c r="G6" i="14"/>
  <c r="L26" i="9"/>
  <c r="U43" i="8"/>
  <c r="T87" i="8"/>
  <c r="L36" i="7"/>
  <c r="U51" i="7"/>
  <c r="Y48" i="7"/>
  <c r="AB83" i="7"/>
  <c r="L139" i="7"/>
  <c r="X47" i="7"/>
  <c r="AA83" i="7" s="1"/>
  <c r="M100" i="6"/>
  <c r="W64" i="6"/>
  <c r="U116" i="6"/>
  <c r="Y116" i="6" s="1"/>
  <c r="V65" i="6"/>
  <c r="V116" i="6"/>
  <c r="Z116" i="6" s="1"/>
  <c r="M102" i="5"/>
  <c r="L43" i="5"/>
  <c r="L102" i="5" s="1"/>
  <c r="W75" i="5"/>
  <c r="U119" i="5"/>
  <c r="Y119" i="5" s="1"/>
  <c r="P75" i="5"/>
  <c r="P119" i="5"/>
  <c r="U43" i="5"/>
  <c r="AB40" i="8"/>
  <c r="M140" i="8" s="1"/>
  <c r="N140" i="8"/>
  <c r="L140" i="8" s="1"/>
  <c r="P50" i="7"/>
  <c r="Q54" i="7"/>
  <c r="AB53" i="7"/>
  <c r="M146" i="7" s="1"/>
  <c r="AB40" i="6"/>
  <c r="M175" i="6" s="1"/>
  <c r="L175" i="6"/>
  <c r="N175" i="6"/>
  <c r="L76" i="5"/>
  <c r="O76" i="5"/>
  <c r="O120" i="5" s="1"/>
  <c r="W36" i="3"/>
  <c r="J38" i="1"/>
  <c r="G39" i="1"/>
  <c r="I39" i="1" s="1"/>
  <c r="D431" i="3"/>
  <c r="X35" i="3"/>
  <c r="E431" i="3" s="1"/>
  <c r="F431" i="3"/>
  <c r="X173" i="3"/>
  <c r="P166" i="5"/>
  <c r="N166" i="5"/>
  <c r="W174" i="3"/>
  <c r="J177" i="1"/>
  <c r="G178" i="1"/>
  <c r="I178" i="1" s="1"/>
  <c r="X41" i="5"/>
  <c r="AA101" i="5" s="1"/>
  <c r="Y42" i="5"/>
  <c r="X47" i="8"/>
  <c r="P48" i="8"/>
  <c r="P90" i="8" s="1"/>
  <c r="Q53" i="8"/>
  <c r="N35" i="7"/>
  <c r="N75" i="7" s="1"/>
  <c r="O36" i="7"/>
  <c r="M37" i="7"/>
  <c r="AA36" i="5"/>
  <c r="G36" i="5"/>
  <c r="F37" i="5"/>
  <c r="AB35" i="5"/>
  <c r="O166" i="5" s="1"/>
  <c r="AD35" i="5"/>
  <c r="F41" i="8"/>
  <c r="AA41" i="8" s="1"/>
  <c r="G40" i="8"/>
  <c r="O36" i="6"/>
  <c r="O100" i="6" s="1"/>
  <c r="N36" i="6"/>
  <c r="N100" i="6" s="1"/>
  <c r="M27" i="9"/>
  <c r="O26" i="9"/>
  <c r="O36" i="5"/>
  <c r="N36" i="5"/>
  <c r="F41" i="6"/>
  <c r="AA41" i="6" s="1"/>
  <c r="G40" i="6"/>
  <c r="L83" i="8" l="1"/>
  <c r="N34" i="8"/>
  <c r="N83" i="8" s="1"/>
  <c r="O35" i="8"/>
  <c r="L35" i="8"/>
  <c r="N35" i="8" s="1"/>
  <c r="M36" i="8"/>
  <c r="L37" i="6"/>
  <c r="L101" i="6" s="1"/>
  <c r="M38" i="6"/>
  <c r="L27" i="9"/>
  <c r="L50" i="9" s="1"/>
  <c r="M50" i="9"/>
  <c r="N26" i="9"/>
  <c r="U44" i="8"/>
  <c r="Y49" i="7"/>
  <c r="L141" i="7"/>
  <c r="X48" i="7"/>
  <c r="AB54" i="7"/>
  <c r="M147" i="7" s="1"/>
  <c r="Q87" i="7"/>
  <c r="U52" i="7"/>
  <c r="T85" i="7"/>
  <c r="L37" i="7"/>
  <c r="L76" i="7" s="1"/>
  <c r="M76" i="7"/>
  <c r="V66" i="6"/>
  <c r="V118" i="6"/>
  <c r="Z118" i="6" s="1"/>
  <c r="W65" i="6"/>
  <c r="U117" i="6"/>
  <c r="Y117" i="6" s="1"/>
  <c r="M101" i="6"/>
  <c r="U44" i="5"/>
  <c r="T102" i="5"/>
  <c r="L120" i="5"/>
  <c r="W76" i="5"/>
  <c r="U120" i="5" s="1"/>
  <c r="Y120" i="5" s="1"/>
  <c r="L44" i="5"/>
  <c r="P76" i="5"/>
  <c r="P120" i="5" s="1"/>
  <c r="N75" i="5"/>
  <c r="AB41" i="8"/>
  <c r="M141" i="8" s="1"/>
  <c r="N141" i="8"/>
  <c r="L141" i="8" s="1"/>
  <c r="P51" i="7"/>
  <c r="P85" i="7" s="1"/>
  <c r="AB41" i="6"/>
  <c r="M176" i="6" s="1"/>
  <c r="N176" i="6"/>
  <c r="L176" i="6"/>
  <c r="G40" i="1"/>
  <c r="I40" i="1" s="1"/>
  <c r="J39" i="1"/>
  <c r="W37" i="3"/>
  <c r="X36" i="3"/>
  <c r="X174" i="3"/>
  <c r="E523" i="3" s="1"/>
  <c r="F523" i="3"/>
  <c r="D523" i="3"/>
  <c r="N167" i="5"/>
  <c r="P167" i="5"/>
  <c r="G179" i="1"/>
  <c r="I179" i="1" s="1"/>
  <c r="W175" i="3"/>
  <c r="Y43" i="5"/>
  <c r="AB102" i="5" s="1"/>
  <c r="X42" i="5"/>
  <c r="Q54" i="8"/>
  <c r="Q94" i="8" s="1"/>
  <c r="X48" i="8"/>
  <c r="AA90" i="8" s="1"/>
  <c r="N36" i="7"/>
  <c r="O37" i="7"/>
  <c r="O76" i="7" s="1"/>
  <c r="L38" i="7"/>
  <c r="L77" i="7" s="1"/>
  <c r="AA340" i="3" s="1"/>
  <c r="AA37" i="5"/>
  <c r="G37" i="5"/>
  <c r="F38" i="5"/>
  <c r="AB36" i="5"/>
  <c r="O167" i="5" s="1"/>
  <c r="AD36" i="5"/>
  <c r="N21" i="5"/>
  <c r="N90" i="5" s="1"/>
  <c r="O21" i="5"/>
  <c r="O90" i="5" s="1"/>
  <c r="F42" i="8"/>
  <c r="AA42" i="8" s="1"/>
  <c r="G41" i="8"/>
  <c r="N37" i="5"/>
  <c r="N99" i="5" s="1"/>
  <c r="O37" i="5"/>
  <c r="O99" i="5" s="1"/>
  <c r="M28" i="9"/>
  <c r="O27" i="9"/>
  <c r="O50" i="9" s="1"/>
  <c r="N27" i="9"/>
  <c r="N50" i="9" s="1"/>
  <c r="O37" i="6"/>
  <c r="O101" i="6" s="1"/>
  <c r="G41" i="6"/>
  <c r="F42" i="6"/>
  <c r="AA42" i="6" s="1"/>
  <c r="N37" i="6" l="1"/>
  <c r="N101" i="6" s="1"/>
  <c r="M39" i="6"/>
  <c r="L38" i="6"/>
  <c r="M37" i="8"/>
  <c r="M84" i="8"/>
  <c r="O36" i="8"/>
  <c r="O84" i="8" s="1"/>
  <c r="L36" i="8"/>
  <c r="L28" i="9"/>
  <c r="U45" i="8"/>
  <c r="T88" i="8"/>
  <c r="U53" i="7"/>
  <c r="Y50" i="7"/>
  <c r="AB84" i="7"/>
  <c r="L142" i="7"/>
  <c r="X49" i="7"/>
  <c r="AA84" i="7" s="1"/>
  <c r="W66" i="6"/>
  <c r="U118" i="6"/>
  <c r="Y118" i="6" s="1"/>
  <c r="V67" i="6"/>
  <c r="N76" i="5"/>
  <c r="N120" i="5" s="1"/>
  <c r="M103" i="5"/>
  <c r="L45" i="5"/>
  <c r="L103" i="5" s="1"/>
  <c r="U45" i="5"/>
  <c r="AB42" i="8"/>
  <c r="M142" i="8" s="1"/>
  <c r="N142" i="8"/>
  <c r="L142" i="8" s="1"/>
  <c r="P52" i="7"/>
  <c r="AB42" i="6"/>
  <c r="M178" i="6" s="1"/>
  <c r="L178" i="6"/>
  <c r="N178" i="6"/>
  <c r="X37" i="3"/>
  <c r="G41" i="1"/>
  <c r="I41" i="1" s="1"/>
  <c r="W38" i="3"/>
  <c r="J40" i="1"/>
  <c r="X175" i="3"/>
  <c r="P168" i="5"/>
  <c r="N168" i="5"/>
  <c r="W176" i="3"/>
  <c r="G180" i="1"/>
  <c r="I180" i="1" s="1"/>
  <c r="J179" i="1"/>
  <c r="Y44" i="5"/>
  <c r="X43" i="5"/>
  <c r="AA102" i="5" s="1"/>
  <c r="M39" i="8"/>
  <c r="O38" i="8"/>
  <c r="O85" i="8" s="1"/>
  <c r="P50" i="8"/>
  <c r="P92" i="8" s="1"/>
  <c r="X49" i="8"/>
  <c r="AA91" i="8" s="1"/>
  <c r="Q55" i="8"/>
  <c r="N37" i="7"/>
  <c r="N76" i="7" s="1"/>
  <c r="O38" i="7"/>
  <c r="O77" i="7" s="1"/>
  <c r="M39" i="7"/>
  <c r="N20" i="5"/>
  <c r="O20" i="5"/>
  <c r="AA38" i="5"/>
  <c r="G38" i="5"/>
  <c r="F39" i="5"/>
  <c r="AB37" i="5"/>
  <c r="O168" i="5" s="1"/>
  <c r="AD37" i="5"/>
  <c r="G42" i="8"/>
  <c r="F43" i="8"/>
  <c r="AA43" i="8" s="1"/>
  <c r="N28" i="9"/>
  <c r="N38" i="6"/>
  <c r="O38" i="6"/>
  <c r="M29" i="9"/>
  <c r="O28" i="9"/>
  <c r="O38" i="5"/>
  <c r="N38" i="5"/>
  <c r="F43" i="6"/>
  <c r="G42" i="6"/>
  <c r="L84" i="8" l="1"/>
  <c r="N36" i="8"/>
  <c r="N84" i="8" s="1"/>
  <c r="O37" i="8"/>
  <c r="L37" i="8"/>
  <c r="N37" i="8" s="1"/>
  <c r="M40" i="6"/>
  <c r="L39" i="6"/>
  <c r="L102" i="6" s="1"/>
  <c r="V119" i="6"/>
  <c r="Z119" i="6" s="1"/>
  <c r="V68" i="6"/>
  <c r="V69" i="6" s="1"/>
  <c r="L29" i="9"/>
  <c r="L51" i="9" s="1"/>
  <c r="M51" i="9"/>
  <c r="L39" i="8"/>
  <c r="U46" i="8"/>
  <c r="Y51" i="7"/>
  <c r="L143" i="7"/>
  <c r="X50" i="7"/>
  <c r="L39" i="7"/>
  <c r="L78" i="7" s="1"/>
  <c r="M78" i="7"/>
  <c r="U54" i="7"/>
  <c r="T87" i="7" s="1"/>
  <c r="T86" i="7"/>
  <c r="M102" i="6"/>
  <c r="W67" i="6"/>
  <c r="W68" i="6" s="1"/>
  <c r="U46" i="5"/>
  <c r="T103" i="5"/>
  <c r="L46" i="5"/>
  <c r="AB43" i="8"/>
  <c r="M144" i="8" s="1"/>
  <c r="N144" i="8"/>
  <c r="L144" i="8" s="1"/>
  <c r="P53" i="7"/>
  <c r="P86" i="7" s="1"/>
  <c r="X38" i="3"/>
  <c r="E432" i="3" s="1"/>
  <c r="D432" i="3"/>
  <c r="F432" i="3"/>
  <c r="G42" i="1"/>
  <c r="I42" i="1" s="1"/>
  <c r="W39" i="3"/>
  <c r="J41" i="1"/>
  <c r="X176" i="3"/>
  <c r="E524" i="3" s="1"/>
  <c r="D524" i="3"/>
  <c r="F524" i="3"/>
  <c r="N170" i="5"/>
  <c r="P170" i="5"/>
  <c r="G181" i="1"/>
  <c r="W177" i="3"/>
  <c r="D23" i="14" s="1"/>
  <c r="Y45" i="5"/>
  <c r="AB103" i="5" s="1"/>
  <c r="X44" i="5"/>
  <c r="N38" i="8"/>
  <c r="N85" i="8" s="1"/>
  <c r="M40" i="8"/>
  <c r="O39" i="8"/>
  <c r="Q56" i="8"/>
  <c r="Q95" i="8" s="1"/>
  <c r="P51" i="8"/>
  <c r="X50" i="8"/>
  <c r="AA92" i="8" s="1"/>
  <c r="N38" i="7"/>
  <c r="N77" i="7" s="1"/>
  <c r="O39" i="7"/>
  <c r="O78" i="7" s="1"/>
  <c r="M40" i="7"/>
  <c r="AB38" i="5"/>
  <c r="O170" i="5" s="1"/>
  <c r="AD38" i="5"/>
  <c r="AA39" i="5"/>
  <c r="F40" i="5"/>
  <c r="G39" i="5"/>
  <c r="N19" i="5"/>
  <c r="N89" i="5" s="1"/>
  <c r="O19" i="5"/>
  <c r="O89" i="5" s="1"/>
  <c r="F44" i="8"/>
  <c r="AA44" i="8" s="1"/>
  <c r="G43" i="8"/>
  <c r="F138" i="6"/>
  <c r="G138" i="6" s="1"/>
  <c r="AA43" i="6"/>
  <c r="N39" i="5"/>
  <c r="N100" i="5" s="1"/>
  <c r="O39" i="5"/>
  <c r="O100" i="5" s="1"/>
  <c r="O29" i="9"/>
  <c r="O51" i="9" s="1"/>
  <c r="M30" i="9"/>
  <c r="O39" i="6"/>
  <c r="O102" i="6" s="1"/>
  <c r="G43" i="6"/>
  <c r="J170" i="1"/>
  <c r="G182" i="1" l="1"/>
  <c r="I182" i="1" s="1"/>
  <c r="I181" i="1"/>
  <c r="M41" i="6"/>
  <c r="L41" i="6" s="1"/>
  <c r="L103" i="6" s="1"/>
  <c r="L40" i="6"/>
  <c r="N40" i="6" s="1"/>
  <c r="N29" i="9"/>
  <c r="N51" i="9" s="1"/>
  <c r="N39" i="6"/>
  <c r="N102" i="6" s="1"/>
  <c r="V70" i="6"/>
  <c r="V71" i="6" s="1"/>
  <c r="V120" i="6"/>
  <c r="Z120" i="6" s="1"/>
  <c r="L30" i="9"/>
  <c r="U47" i="8"/>
  <c r="T89" i="8"/>
  <c r="L40" i="8"/>
  <c r="L86" i="8" s="1"/>
  <c r="M86" i="8"/>
  <c r="L40" i="7"/>
  <c r="L79" i="7" s="1"/>
  <c r="M79" i="7"/>
  <c r="AB85" i="7"/>
  <c r="Y52" i="7"/>
  <c r="L144" i="7"/>
  <c r="X51" i="7"/>
  <c r="AA85" i="7" s="1"/>
  <c r="W69" i="6"/>
  <c r="U119" i="6"/>
  <c r="Y119" i="6" s="1"/>
  <c r="M104" i="5"/>
  <c r="L47" i="5"/>
  <c r="L104" i="5" s="1"/>
  <c r="U47" i="5"/>
  <c r="AB44" i="8"/>
  <c r="M145" i="8" s="1"/>
  <c r="N145" i="8"/>
  <c r="L145" i="8" s="1"/>
  <c r="P54" i="7"/>
  <c r="AB43" i="6"/>
  <c r="M179" i="6" s="1"/>
  <c r="N179" i="6"/>
  <c r="L179" i="6"/>
  <c r="D526" i="3"/>
  <c r="F526" i="3"/>
  <c r="G43" i="1"/>
  <c r="I43" i="1" s="1"/>
  <c r="W40" i="3"/>
  <c r="J42" i="1"/>
  <c r="X39" i="3"/>
  <c r="X177" i="3"/>
  <c r="E526" i="3" s="1"/>
  <c r="N171" i="5"/>
  <c r="P171" i="5"/>
  <c r="W178" i="3"/>
  <c r="F23" i="14" s="1"/>
  <c r="E23" i="14" s="1"/>
  <c r="G26" i="14" s="1"/>
  <c r="J181" i="1"/>
  <c r="Y46" i="5"/>
  <c r="X45" i="5"/>
  <c r="AA103" i="5" s="1"/>
  <c r="N39" i="8"/>
  <c r="O40" i="8"/>
  <c r="O86" i="8" s="1"/>
  <c r="M41" i="8"/>
  <c r="P52" i="8"/>
  <c r="P93" i="8" s="1"/>
  <c r="X51" i="8"/>
  <c r="Q57" i="8"/>
  <c r="N39" i="7"/>
  <c r="N78" i="7" s="1"/>
  <c r="O40" i="7"/>
  <c r="O79" i="7" s="1"/>
  <c r="M41" i="7"/>
  <c r="N18" i="5"/>
  <c r="O18" i="5"/>
  <c r="AB39" i="5"/>
  <c r="O171" i="5" s="1"/>
  <c r="AD39" i="5"/>
  <c r="AA40" i="5"/>
  <c r="G40" i="5"/>
  <c r="F41" i="5"/>
  <c r="F45" i="8"/>
  <c r="AA45" i="8" s="1"/>
  <c r="G44" i="8"/>
  <c r="F44" i="6"/>
  <c r="AA44" i="6" s="1"/>
  <c r="N30" i="9"/>
  <c r="O30" i="9"/>
  <c r="M31" i="9"/>
  <c r="M52" i="9" s="1"/>
  <c r="O40" i="5"/>
  <c r="O40" i="6"/>
  <c r="N40" i="5"/>
  <c r="J176" i="1"/>
  <c r="J172" i="1"/>
  <c r="G23" i="14" l="1"/>
  <c r="M103" i="6"/>
  <c r="V72" i="6"/>
  <c r="V73" i="6" s="1"/>
  <c r="V121" i="6"/>
  <c r="Z121" i="6" s="1"/>
  <c r="L41" i="8"/>
  <c r="U48" i="8"/>
  <c r="P87" i="7"/>
  <c r="L41" i="7"/>
  <c r="L80" i="7" s="1"/>
  <c r="M80" i="7"/>
  <c r="Y53" i="7"/>
  <c r="L145" i="7"/>
  <c r="X52" i="7"/>
  <c r="W70" i="6"/>
  <c r="U120" i="6"/>
  <c r="Y120" i="6" s="1"/>
  <c r="U48" i="5"/>
  <c r="T104" i="5"/>
  <c r="L48" i="5"/>
  <c r="AB45" i="8"/>
  <c r="M146" i="8" s="1"/>
  <c r="N146" i="8"/>
  <c r="L146" i="8" s="1"/>
  <c r="AB44" i="6"/>
  <c r="M180" i="6" s="1"/>
  <c r="N180" i="6"/>
  <c r="L180" i="6"/>
  <c r="D527" i="3"/>
  <c r="F527" i="3"/>
  <c r="X40" i="3"/>
  <c r="E433" i="3" s="1"/>
  <c r="D433" i="3"/>
  <c r="F433" i="3"/>
  <c r="J43" i="1"/>
  <c r="G44" i="1"/>
  <c r="I44" i="1" s="1"/>
  <c r="W41" i="3"/>
  <c r="X178" i="3"/>
  <c r="E527" i="3" s="1"/>
  <c r="N172" i="5"/>
  <c r="P172" i="5"/>
  <c r="G183" i="1"/>
  <c r="I183" i="1" s="1"/>
  <c r="W179" i="3"/>
  <c r="J182" i="1"/>
  <c r="Y47" i="5"/>
  <c r="AB104" i="5" s="1"/>
  <c r="X46" i="5"/>
  <c r="O31" i="9"/>
  <c r="O52" i="9" s="1"/>
  <c r="L31" i="9"/>
  <c r="N40" i="8"/>
  <c r="N86" i="8" s="1"/>
  <c r="M42" i="8"/>
  <c r="O41" i="8"/>
  <c r="Q58" i="8"/>
  <c r="Q96" i="8" s="1"/>
  <c r="P53" i="8"/>
  <c r="X52" i="8"/>
  <c r="AA93" i="8" s="1"/>
  <c r="N40" i="7"/>
  <c r="N79" i="7" s="1"/>
  <c r="M42" i="7"/>
  <c r="O41" i="7"/>
  <c r="O80" i="7" s="1"/>
  <c r="AA41" i="5"/>
  <c r="F42" i="5"/>
  <c r="G41" i="5"/>
  <c r="AB40" i="5"/>
  <c r="O172" i="5" s="1"/>
  <c r="AD40" i="5"/>
  <c r="N17" i="5"/>
  <c r="O17" i="5"/>
  <c r="F46" i="8"/>
  <c r="AA46" i="8" s="1"/>
  <c r="G45" i="8"/>
  <c r="G44" i="6"/>
  <c r="F45" i="6"/>
  <c r="AA45" i="6" s="1"/>
  <c r="O41" i="6"/>
  <c r="O103" i="6" s="1"/>
  <c r="L42" i="6"/>
  <c r="L104" i="6" s="1"/>
  <c r="AA338" i="3" s="1"/>
  <c r="N41" i="6"/>
  <c r="N103" i="6" s="1"/>
  <c r="N41" i="5"/>
  <c r="N101" i="5" s="1"/>
  <c r="O41" i="5"/>
  <c r="O101" i="5" s="1"/>
  <c r="J178" i="1"/>
  <c r="V74" i="6" l="1"/>
  <c r="V75" i="6" s="1"/>
  <c r="V122" i="6"/>
  <c r="Z122" i="6" s="1"/>
  <c r="N31" i="9"/>
  <c r="N52" i="9" s="1"/>
  <c r="L52" i="9"/>
  <c r="U49" i="8"/>
  <c r="T90" i="8"/>
  <c r="L42" i="8"/>
  <c r="L87" i="8" s="1"/>
  <c r="M87" i="8"/>
  <c r="L42" i="7"/>
  <c r="AB86" i="7"/>
  <c r="Y54" i="7"/>
  <c r="L146" i="7"/>
  <c r="X53" i="7"/>
  <c r="AA86" i="7" s="1"/>
  <c r="W71" i="6"/>
  <c r="M105" i="5"/>
  <c r="M106" i="5"/>
  <c r="L49" i="5"/>
  <c r="L105" i="5" s="1"/>
  <c r="U49" i="5"/>
  <c r="AB46" i="8"/>
  <c r="M147" i="8" s="1"/>
  <c r="N147" i="8"/>
  <c r="L147" i="8" s="1"/>
  <c r="AB45" i="6"/>
  <c r="M181" i="6" s="1"/>
  <c r="N181" i="6"/>
  <c r="L181" i="6"/>
  <c r="X41" i="3"/>
  <c r="G45" i="1"/>
  <c r="J44" i="1"/>
  <c r="W42" i="3"/>
  <c r="X179" i="3"/>
  <c r="E528" i="3" s="1"/>
  <c r="D528" i="3"/>
  <c r="F528" i="3"/>
  <c r="P173" i="5"/>
  <c r="N173" i="5"/>
  <c r="G184" i="1"/>
  <c r="I184" i="1" s="1"/>
  <c r="W180" i="3"/>
  <c r="J183" i="1"/>
  <c r="Y48" i="5"/>
  <c r="X47" i="5"/>
  <c r="AA104" i="5" s="1"/>
  <c r="N41" i="8"/>
  <c r="O42" i="8"/>
  <c r="O87" i="8" s="1"/>
  <c r="M43" i="8"/>
  <c r="X53" i="8"/>
  <c r="P54" i="8"/>
  <c r="P94" i="8" s="1"/>
  <c r="Q59" i="8"/>
  <c r="N41" i="7"/>
  <c r="N80" i="7" s="1"/>
  <c r="O42" i="7"/>
  <c r="M43" i="7"/>
  <c r="N16" i="5"/>
  <c r="O16" i="5"/>
  <c r="AA42" i="5"/>
  <c r="G42" i="5"/>
  <c r="F43" i="5"/>
  <c r="AB41" i="5"/>
  <c r="O173" i="5" s="1"/>
  <c r="AD41" i="5"/>
  <c r="F47" i="8"/>
  <c r="AA47" i="8" s="1"/>
  <c r="G46" i="8"/>
  <c r="F46" i="6"/>
  <c r="AA46" i="6" s="1"/>
  <c r="G45" i="6"/>
  <c r="O42" i="5"/>
  <c r="N42" i="5"/>
  <c r="O42" i="6"/>
  <c r="O104" i="6" s="1"/>
  <c r="M43" i="6"/>
  <c r="N42" i="6"/>
  <c r="N104" i="6" s="1"/>
  <c r="J167" i="1"/>
  <c r="I45" i="1" l="1"/>
  <c r="G46" i="1"/>
  <c r="I46" i="1" s="1"/>
  <c r="V76" i="6"/>
  <c r="V77" i="6" s="1"/>
  <c r="V124" i="6" s="1"/>
  <c r="Z124" i="6" s="1"/>
  <c r="V123" i="6"/>
  <c r="Z123" i="6" s="1"/>
  <c r="L43" i="8"/>
  <c r="U50" i="8"/>
  <c r="T91" i="8"/>
  <c r="AB87" i="7"/>
  <c r="L147" i="7"/>
  <c r="X54" i="7"/>
  <c r="AA87" i="7" s="1"/>
  <c r="L43" i="7"/>
  <c r="L81" i="7" s="1"/>
  <c r="M81" i="7"/>
  <c r="L43" i="6"/>
  <c r="L105" i="6" s="1"/>
  <c r="M105" i="6"/>
  <c r="W72" i="6"/>
  <c r="U121" i="6"/>
  <c r="Y121" i="6" s="1"/>
  <c r="U50" i="5"/>
  <c r="T106" i="5" s="1"/>
  <c r="T105" i="5"/>
  <c r="L50" i="5"/>
  <c r="L106" i="5" s="1"/>
  <c r="AB47" i="8"/>
  <c r="M148" i="8" s="1"/>
  <c r="N148" i="8"/>
  <c r="L148" i="8" s="1"/>
  <c r="AB46" i="6"/>
  <c r="M182" i="6" s="1"/>
  <c r="N182" i="6"/>
  <c r="L182" i="6"/>
  <c r="W43" i="3"/>
  <c r="J45" i="1"/>
  <c r="D7" i="14"/>
  <c r="D434" i="3"/>
  <c r="X42" i="3"/>
  <c r="E434" i="3" s="1"/>
  <c r="F434" i="3"/>
  <c r="X180" i="3"/>
  <c r="P174" i="5"/>
  <c r="N174" i="5"/>
  <c r="G185" i="1"/>
  <c r="I185" i="1" s="1"/>
  <c r="W181" i="3"/>
  <c r="Y49" i="5"/>
  <c r="AB105" i="5" s="1"/>
  <c r="X48" i="5"/>
  <c r="N42" i="8"/>
  <c r="N87" i="8" s="1"/>
  <c r="O43" i="8"/>
  <c r="M44" i="8"/>
  <c r="Q60" i="8"/>
  <c r="Q97" i="8" s="1"/>
  <c r="P55" i="8"/>
  <c r="X54" i="8"/>
  <c r="AA94" i="8" s="1"/>
  <c r="N42" i="7"/>
  <c r="M44" i="7"/>
  <c r="O43" i="7"/>
  <c r="O81" i="7" s="1"/>
  <c r="AA43" i="5"/>
  <c r="G43" i="5"/>
  <c r="F44" i="5"/>
  <c r="AB42" i="5"/>
  <c r="O174" i="5" s="1"/>
  <c r="AD42" i="5"/>
  <c r="N15" i="5"/>
  <c r="N88" i="5" s="1"/>
  <c r="O15" i="5"/>
  <c r="O88" i="5" s="1"/>
  <c r="F48" i="8"/>
  <c r="AA48" i="8" s="1"/>
  <c r="G47" i="8"/>
  <c r="F47" i="6"/>
  <c r="AA47" i="6" s="1"/>
  <c r="G46" i="6"/>
  <c r="M44" i="6"/>
  <c r="O43" i="6"/>
  <c r="O105" i="6" s="1"/>
  <c r="N43" i="5"/>
  <c r="N102" i="5" s="1"/>
  <c r="O43" i="5"/>
  <c r="O102" i="5" s="1"/>
  <c r="N43" i="6" l="1"/>
  <c r="N105" i="6" s="1"/>
  <c r="F7" i="14"/>
  <c r="E7" i="14" s="1"/>
  <c r="G7" i="14"/>
  <c r="U51" i="8"/>
  <c r="T92" i="8"/>
  <c r="L44" i="8"/>
  <c r="L88" i="8" s="1"/>
  <c r="M88" i="8"/>
  <c r="L44" i="7"/>
  <c r="L44" i="6"/>
  <c r="N44" i="6" s="1"/>
  <c r="W73" i="6"/>
  <c r="U51" i="5"/>
  <c r="AB48" i="8"/>
  <c r="M149" i="8" s="1"/>
  <c r="N149" i="8"/>
  <c r="L149" i="8" s="1"/>
  <c r="AB47" i="6"/>
  <c r="M183" i="6" s="1"/>
  <c r="N183" i="6"/>
  <c r="L183" i="6"/>
  <c r="W44" i="3"/>
  <c r="G47" i="1"/>
  <c r="I47" i="1" s="1"/>
  <c r="J46" i="1"/>
  <c r="X43" i="3"/>
  <c r="E435" i="3" s="1"/>
  <c r="F435" i="3"/>
  <c r="D435" i="3"/>
  <c r="X181" i="3"/>
  <c r="E529" i="3" s="1"/>
  <c r="D529" i="3"/>
  <c r="F529" i="3"/>
  <c r="P175" i="5"/>
  <c r="N175" i="5"/>
  <c r="G186" i="1"/>
  <c r="I186" i="1" s="1"/>
  <c r="W182" i="3"/>
  <c r="Y50" i="5"/>
  <c r="AB106" i="5" s="1"/>
  <c r="X49" i="5"/>
  <c r="AA105" i="5" s="1"/>
  <c r="N43" i="8"/>
  <c r="O44" i="8"/>
  <c r="O88" i="8" s="1"/>
  <c r="M45" i="8"/>
  <c r="P56" i="8"/>
  <c r="P95" i="8" s="1"/>
  <c r="X55" i="8"/>
  <c r="N43" i="7"/>
  <c r="N81" i="7" s="1"/>
  <c r="O44" i="7"/>
  <c r="M45" i="7"/>
  <c r="N14" i="5"/>
  <c r="O14" i="5"/>
  <c r="AA44" i="5"/>
  <c r="G44" i="5"/>
  <c r="F45" i="5"/>
  <c r="AB43" i="5"/>
  <c r="O175" i="5" s="1"/>
  <c r="AD43" i="5"/>
  <c r="F49" i="8"/>
  <c r="AA49" i="8" s="1"/>
  <c r="G48" i="8"/>
  <c r="F48" i="6"/>
  <c r="AA48" i="6" s="1"/>
  <c r="G47" i="6"/>
  <c r="O44" i="5"/>
  <c r="N44" i="5"/>
  <c r="M45" i="6"/>
  <c r="O44" i="6"/>
  <c r="J184" i="1"/>
  <c r="J185" i="1"/>
  <c r="L45" i="8" l="1"/>
  <c r="U52" i="8"/>
  <c r="L45" i="7"/>
  <c r="L82" i="7" s="1"/>
  <c r="M82" i="7"/>
  <c r="W74" i="6"/>
  <c r="U122" i="6"/>
  <c r="Y122" i="6" s="1"/>
  <c r="L45" i="6"/>
  <c r="L106" i="6" s="1"/>
  <c r="M106" i="6"/>
  <c r="U52" i="5"/>
  <c r="T107" i="5"/>
  <c r="AB49" i="8"/>
  <c r="M151" i="8" s="1"/>
  <c r="N151" i="8"/>
  <c r="L151" i="8" s="1"/>
  <c r="AB48" i="6"/>
  <c r="M185" i="6" s="1"/>
  <c r="L185" i="6"/>
  <c r="N185" i="6"/>
  <c r="G48" i="1"/>
  <c r="I48" i="1" s="1"/>
  <c r="W45" i="3"/>
  <c r="J47" i="1"/>
  <c r="F436" i="3"/>
  <c r="X44" i="3"/>
  <c r="E436" i="3" s="1"/>
  <c r="D436" i="3"/>
  <c r="X182" i="3"/>
  <c r="P177" i="5"/>
  <c r="N177" i="5"/>
  <c r="G187" i="1"/>
  <c r="I187" i="1" s="1"/>
  <c r="W183" i="3"/>
  <c r="Y51" i="5"/>
  <c r="AB107" i="5" s="1"/>
  <c r="X50" i="5"/>
  <c r="AA106" i="5" s="1"/>
  <c r="N44" i="8"/>
  <c r="N88" i="8" s="1"/>
  <c r="M46" i="8"/>
  <c r="O45" i="8"/>
  <c r="P57" i="8"/>
  <c r="X56" i="8"/>
  <c r="AA95" i="8" s="1"/>
  <c r="N44" i="7"/>
  <c r="M46" i="7"/>
  <c r="O45" i="7"/>
  <c r="O82" i="7" s="1"/>
  <c r="AA45" i="5"/>
  <c r="G45" i="5"/>
  <c r="F46" i="5"/>
  <c r="AB44" i="5"/>
  <c r="O177" i="5" s="1"/>
  <c r="AD44" i="5"/>
  <c r="N13" i="5"/>
  <c r="N87" i="5" s="1"/>
  <c r="O13" i="5"/>
  <c r="O87" i="5" s="1"/>
  <c r="F50" i="8"/>
  <c r="AA50" i="8" s="1"/>
  <c r="G49" i="8"/>
  <c r="F49" i="6"/>
  <c r="AA49" i="6" s="1"/>
  <c r="G48" i="6"/>
  <c r="M46" i="6"/>
  <c r="O45" i="6"/>
  <c r="O106" i="6" s="1"/>
  <c r="N45" i="5"/>
  <c r="N103" i="5" s="1"/>
  <c r="O45" i="5"/>
  <c r="O103" i="5" s="1"/>
  <c r="J174" i="1"/>
  <c r="J164" i="1"/>
  <c r="N45" i="6" l="1"/>
  <c r="N106" i="6" s="1"/>
  <c r="L46" i="8"/>
  <c r="L89" i="8" s="1"/>
  <c r="M89" i="8"/>
  <c r="U53" i="8"/>
  <c r="T93" i="8"/>
  <c r="L46" i="7"/>
  <c r="L46" i="6"/>
  <c r="N46" i="6" s="1"/>
  <c r="W75" i="6"/>
  <c r="U53" i="5"/>
  <c r="AB50" i="8"/>
  <c r="M152" i="8" s="1"/>
  <c r="N152" i="8"/>
  <c r="L152" i="8" s="1"/>
  <c r="AB49" i="6"/>
  <c r="M186" i="6" s="1"/>
  <c r="N186" i="6"/>
  <c r="L186" i="6"/>
  <c r="X45" i="3"/>
  <c r="J48" i="1"/>
  <c r="G49" i="1"/>
  <c r="I49" i="1" s="1"/>
  <c r="W46" i="3"/>
  <c r="X183" i="3"/>
  <c r="E530" i="3" s="1"/>
  <c r="D530" i="3"/>
  <c r="F530" i="3"/>
  <c r="P178" i="5"/>
  <c r="N178" i="5"/>
  <c r="G188" i="1"/>
  <c r="I188" i="1" s="1"/>
  <c r="W184" i="3"/>
  <c r="J187" i="1"/>
  <c r="Y52" i="5"/>
  <c r="X51" i="5"/>
  <c r="AA107" i="5" s="1"/>
  <c r="N45" i="8"/>
  <c r="O46" i="8"/>
  <c r="O89" i="8" s="1"/>
  <c r="M47" i="8"/>
  <c r="P58" i="8"/>
  <c r="P96" i="8" s="1"/>
  <c r="X57" i="8"/>
  <c r="N45" i="7"/>
  <c r="N82" i="7" s="1"/>
  <c r="O46" i="7"/>
  <c r="M47" i="7"/>
  <c r="N12" i="5"/>
  <c r="O12" i="5"/>
  <c r="AA46" i="5"/>
  <c r="F47" i="5"/>
  <c r="G46" i="5"/>
  <c r="AB45" i="5"/>
  <c r="O178" i="5" s="1"/>
  <c r="AD45" i="5"/>
  <c r="F51" i="8"/>
  <c r="AA51" i="8" s="1"/>
  <c r="G50" i="8"/>
  <c r="F50" i="6"/>
  <c r="AA50" i="6" s="1"/>
  <c r="G49" i="6"/>
  <c r="O46" i="5"/>
  <c r="N46" i="5"/>
  <c r="O46" i="6"/>
  <c r="M47" i="6"/>
  <c r="J180" i="1"/>
  <c r="J168" i="1"/>
  <c r="U54" i="8" l="1"/>
  <c r="L47" i="8"/>
  <c r="L47" i="7"/>
  <c r="L83" i="7" s="1"/>
  <c r="M83" i="7"/>
  <c r="L47" i="6"/>
  <c r="L107" i="6" s="1"/>
  <c r="M107" i="6"/>
  <c r="W76" i="6"/>
  <c r="U123" i="6"/>
  <c r="Y123" i="6" s="1"/>
  <c r="U54" i="5"/>
  <c r="T108" i="5"/>
  <c r="AB51" i="8"/>
  <c r="M153" i="8" s="1"/>
  <c r="N153" i="8"/>
  <c r="L153" i="8" s="1"/>
  <c r="AB50" i="6"/>
  <c r="M187" i="6" s="1"/>
  <c r="N187" i="6"/>
  <c r="L187" i="6"/>
  <c r="X46" i="3"/>
  <c r="G50" i="1"/>
  <c r="I50" i="1" s="1"/>
  <c r="W47" i="3"/>
  <c r="J49" i="1"/>
  <c r="X184" i="3"/>
  <c r="P179" i="5"/>
  <c r="N179" i="5"/>
  <c r="G189" i="1"/>
  <c r="I189" i="1" s="1"/>
  <c r="W185" i="3"/>
  <c r="J188" i="1"/>
  <c r="Y53" i="5"/>
  <c r="AB108" i="5" s="1"/>
  <c r="X52" i="5"/>
  <c r="N46" i="8"/>
  <c r="N89" i="8" s="1"/>
  <c r="O47" i="8"/>
  <c r="M48" i="8"/>
  <c r="P59" i="8"/>
  <c r="X58" i="8"/>
  <c r="AA96" i="8" s="1"/>
  <c r="N46" i="7"/>
  <c r="O47" i="7"/>
  <c r="O83" i="7" s="1"/>
  <c r="M48" i="7"/>
  <c r="AA47" i="5"/>
  <c r="G47" i="5"/>
  <c r="F48" i="5"/>
  <c r="AB46" i="5"/>
  <c r="O179" i="5" s="1"/>
  <c r="AD46" i="5"/>
  <c r="N11" i="5"/>
  <c r="N86" i="5" s="1"/>
  <c r="O11" i="5"/>
  <c r="O86" i="5" s="1"/>
  <c r="F52" i="8"/>
  <c r="AA52" i="8" s="1"/>
  <c r="G51" i="8"/>
  <c r="F51" i="6"/>
  <c r="AA51" i="6" s="1"/>
  <c r="G50" i="6"/>
  <c r="O47" i="6"/>
  <c r="O107" i="6" s="1"/>
  <c r="M48" i="6"/>
  <c r="N47" i="5"/>
  <c r="N104" i="5" s="1"/>
  <c r="O47" i="5"/>
  <c r="O104" i="5" s="1"/>
  <c r="J166" i="1"/>
  <c r="L48" i="8" l="1"/>
  <c r="L90" i="8" s="1"/>
  <c r="M90" i="8"/>
  <c r="U55" i="8"/>
  <c r="T94" i="8"/>
  <c r="L48" i="7"/>
  <c r="N47" i="6"/>
  <c r="N107" i="6" s="1"/>
  <c r="L48" i="6"/>
  <c r="N48" i="6" s="1"/>
  <c r="W77" i="6"/>
  <c r="U124" i="6" s="1"/>
  <c r="Y124" i="6" s="1"/>
  <c r="U55" i="5"/>
  <c r="AB52" i="8"/>
  <c r="M154" i="8" s="1"/>
  <c r="N154" i="8"/>
  <c r="L154" i="8" s="1"/>
  <c r="AB51" i="6"/>
  <c r="M188" i="6" s="1"/>
  <c r="L188" i="6"/>
  <c r="N188" i="6"/>
  <c r="D438" i="3"/>
  <c r="F438" i="3"/>
  <c r="X47" i="3"/>
  <c r="E438" i="3" s="1"/>
  <c r="G51" i="1"/>
  <c r="I51" i="1" s="1"/>
  <c r="W48" i="3"/>
  <c r="J50" i="1"/>
  <c r="X185" i="3"/>
  <c r="E531" i="3" s="1"/>
  <c r="D531" i="3"/>
  <c r="F531" i="3"/>
  <c r="P180" i="5"/>
  <c r="N180" i="5"/>
  <c r="G190" i="1"/>
  <c r="W186" i="3"/>
  <c r="D24" i="14" s="1"/>
  <c r="J189" i="1"/>
  <c r="Y54" i="5"/>
  <c r="X53" i="5"/>
  <c r="AA108" i="5" s="1"/>
  <c r="N47" i="8"/>
  <c r="O48" i="8"/>
  <c r="O90" i="8" s="1"/>
  <c r="M49" i="8"/>
  <c r="X59" i="8"/>
  <c r="P60" i="8"/>
  <c r="N47" i="7"/>
  <c r="N83" i="7" s="1"/>
  <c r="O48" i="7"/>
  <c r="M49" i="7"/>
  <c r="N10" i="5"/>
  <c r="O10" i="5"/>
  <c r="AA48" i="5"/>
  <c r="G48" i="5"/>
  <c r="F49" i="5"/>
  <c r="AB47" i="5"/>
  <c r="O180" i="5" s="1"/>
  <c r="AD47" i="5"/>
  <c r="F53" i="8"/>
  <c r="AA53" i="8" s="1"/>
  <c r="G52" i="8"/>
  <c r="F52" i="6"/>
  <c r="AA52" i="6" s="1"/>
  <c r="G51" i="6"/>
  <c r="O48" i="5"/>
  <c r="N48" i="5"/>
  <c r="O48" i="6"/>
  <c r="M49" i="6"/>
  <c r="J186" i="1"/>
  <c r="I190" i="1" l="1"/>
  <c r="G191" i="1"/>
  <c r="X60" i="8"/>
  <c r="AA97" i="8" s="1"/>
  <c r="P97" i="8"/>
  <c r="L49" i="8"/>
  <c r="L91" i="8" s="1"/>
  <c r="M91" i="8"/>
  <c r="U56" i="8"/>
  <c r="M50" i="7"/>
  <c r="L50" i="7" s="1"/>
  <c r="M84" i="7"/>
  <c r="L49" i="6"/>
  <c r="L108" i="6" s="1"/>
  <c r="M108" i="6"/>
  <c r="U56" i="5"/>
  <c r="T109" i="5"/>
  <c r="AB53" i="8"/>
  <c r="M155" i="8" s="1"/>
  <c r="N155" i="8"/>
  <c r="L155" i="8" s="1"/>
  <c r="AB52" i="6"/>
  <c r="M189" i="6" s="1"/>
  <c r="L189" i="6"/>
  <c r="N189" i="6"/>
  <c r="J51" i="1"/>
  <c r="W49" i="3"/>
  <c r="G52" i="1"/>
  <c r="X48" i="3"/>
  <c r="X186" i="3"/>
  <c r="E532" i="3" s="1"/>
  <c r="F532" i="3"/>
  <c r="D532" i="3"/>
  <c r="N181" i="5"/>
  <c r="P181" i="5"/>
  <c r="I191" i="1"/>
  <c r="W187" i="3"/>
  <c r="F24" i="14" s="1"/>
  <c r="E24" i="14" s="1"/>
  <c r="J190" i="1"/>
  <c r="Y55" i="5"/>
  <c r="AB109" i="5" s="1"/>
  <c r="X54" i="5"/>
  <c r="N48" i="8"/>
  <c r="N90" i="8" s="1"/>
  <c r="M50" i="8"/>
  <c r="O49" i="8"/>
  <c r="O91" i="8" s="1"/>
  <c r="O49" i="7"/>
  <c r="O84" i="7" s="1"/>
  <c r="L49" i="7"/>
  <c r="N48" i="7"/>
  <c r="AA49" i="5"/>
  <c r="G49" i="5"/>
  <c r="F50" i="5"/>
  <c r="AB48" i="5"/>
  <c r="O181" i="5" s="1"/>
  <c r="AD48" i="5"/>
  <c r="N9" i="5"/>
  <c r="N85" i="5" s="1"/>
  <c r="O9" i="5"/>
  <c r="O85" i="5" s="1"/>
  <c r="F54" i="8"/>
  <c r="AA54" i="8" s="1"/>
  <c r="G53" i="8"/>
  <c r="F53" i="6"/>
  <c r="AA53" i="6" s="1"/>
  <c r="G52" i="6"/>
  <c r="N49" i="5"/>
  <c r="N105" i="5" s="1"/>
  <c r="M50" i="6"/>
  <c r="O49" i="6"/>
  <c r="O108" i="6" s="1"/>
  <c r="O49" i="5"/>
  <c r="O105" i="5" s="1"/>
  <c r="I52" i="1" l="1"/>
  <c r="G53" i="1"/>
  <c r="G24" i="14"/>
  <c r="O50" i="7"/>
  <c r="M51" i="7"/>
  <c r="M85" i="7" s="1"/>
  <c r="N49" i="6"/>
  <c r="N108" i="6" s="1"/>
  <c r="U57" i="8"/>
  <c r="T95" i="8"/>
  <c r="L50" i="8"/>
  <c r="L92" i="8" s="1"/>
  <c r="M92" i="8"/>
  <c r="N49" i="7"/>
  <c r="N84" i="7" s="1"/>
  <c r="L84" i="7"/>
  <c r="N50" i="7"/>
  <c r="L50" i="6"/>
  <c r="N50" i="6" s="1"/>
  <c r="U57" i="5"/>
  <c r="AB54" i="8"/>
  <c r="M156" i="8" s="1"/>
  <c r="N156" i="8"/>
  <c r="L156" i="8" s="1"/>
  <c r="L51" i="7"/>
  <c r="O51" i="7"/>
  <c r="O85" i="7" s="1"/>
  <c r="M52" i="7"/>
  <c r="AB53" i="6"/>
  <c r="M190" i="6" s="1"/>
  <c r="N190" i="6"/>
  <c r="L190" i="6"/>
  <c r="W50" i="3"/>
  <c r="I53" i="1"/>
  <c r="J52" i="1"/>
  <c r="D8" i="14"/>
  <c r="F439" i="3"/>
  <c r="D439" i="3"/>
  <c r="X49" i="3"/>
  <c r="E439" i="3" s="1"/>
  <c r="X187" i="3"/>
  <c r="E533" i="3" s="1"/>
  <c r="F533" i="3"/>
  <c r="D533" i="3"/>
  <c r="P182" i="5"/>
  <c r="N182" i="5"/>
  <c r="G192" i="1"/>
  <c r="I192" i="1" s="1"/>
  <c r="W188" i="3"/>
  <c r="J191" i="1"/>
  <c r="Y56" i="5"/>
  <c r="X55" i="5"/>
  <c r="AA109" i="5" s="1"/>
  <c r="N49" i="8"/>
  <c r="N91" i="8" s="1"/>
  <c r="O50" i="8"/>
  <c r="O92" i="8" s="1"/>
  <c r="M51" i="8"/>
  <c r="N8" i="5"/>
  <c r="O8" i="5"/>
  <c r="AA50" i="5"/>
  <c r="G50" i="5"/>
  <c r="F51" i="5"/>
  <c r="AB49" i="5"/>
  <c r="O182" i="5" s="1"/>
  <c r="AD49" i="5"/>
  <c r="G54" i="8"/>
  <c r="F55" i="8"/>
  <c r="AA55" i="8" s="1"/>
  <c r="F54" i="6"/>
  <c r="AA54" i="6" s="1"/>
  <c r="G53" i="6"/>
  <c r="M51" i="6"/>
  <c r="O50" i="6"/>
  <c r="O50" i="5"/>
  <c r="O106" i="5" s="1"/>
  <c r="N50" i="5"/>
  <c r="N106" i="5" s="1"/>
  <c r="F8" i="14" l="1"/>
  <c r="E8" i="14" s="1"/>
  <c r="L51" i="8"/>
  <c r="U58" i="8"/>
  <c r="N51" i="7"/>
  <c r="N85" i="7" s="1"/>
  <c r="L85" i="7"/>
  <c r="L51" i="6"/>
  <c r="L109" i="6" s="1"/>
  <c r="M109" i="6"/>
  <c r="U58" i="5"/>
  <c r="T110" i="5"/>
  <c r="AB55" i="8"/>
  <c r="M158" i="8" s="1"/>
  <c r="N158" i="8"/>
  <c r="L158" i="8" s="1"/>
  <c r="O52" i="7"/>
  <c r="M53" i="7"/>
  <c r="M86" i="7" s="1"/>
  <c r="L52" i="7"/>
  <c r="AB54" i="6"/>
  <c r="M192" i="6" s="1"/>
  <c r="N192" i="6"/>
  <c r="L192" i="6"/>
  <c r="G54" i="1"/>
  <c r="I54" i="1" s="1"/>
  <c r="J53" i="1"/>
  <c r="W51" i="3"/>
  <c r="D440" i="3"/>
  <c r="X50" i="3"/>
  <c r="E440" i="3" s="1"/>
  <c r="F440" i="3"/>
  <c r="X188" i="3"/>
  <c r="N184" i="5"/>
  <c r="P184" i="5"/>
  <c r="G193" i="1"/>
  <c r="I193" i="1" s="1"/>
  <c r="W189" i="3"/>
  <c r="J192" i="1"/>
  <c r="Y57" i="5"/>
  <c r="AB110" i="5" s="1"/>
  <c r="X56" i="5"/>
  <c r="N50" i="8"/>
  <c r="N92" i="8" s="1"/>
  <c r="M52" i="8"/>
  <c r="O51" i="8"/>
  <c r="AA51" i="5"/>
  <c r="F52" i="5"/>
  <c r="G51" i="5"/>
  <c r="AB50" i="5"/>
  <c r="O184" i="5" s="1"/>
  <c r="AD50" i="5"/>
  <c r="N7" i="5"/>
  <c r="N84" i="5" s="1"/>
  <c r="O7" i="5"/>
  <c r="O84" i="5" s="1"/>
  <c r="G55" i="8"/>
  <c r="F56" i="8"/>
  <c r="AA56" i="8" s="1"/>
  <c r="F55" i="6"/>
  <c r="AA55" i="6" s="1"/>
  <c r="G54" i="6"/>
  <c r="N51" i="6"/>
  <c r="N109" i="6" s="1"/>
  <c r="N51" i="5"/>
  <c r="N107" i="5" s="1"/>
  <c r="O51" i="5"/>
  <c r="O107" i="5" s="1"/>
  <c r="O51" i="6"/>
  <c r="O109" i="6" s="1"/>
  <c r="M52" i="6"/>
  <c r="G8" i="14" l="1"/>
  <c r="L52" i="8"/>
  <c r="L93" i="8" s="1"/>
  <c r="M93" i="8"/>
  <c r="U59" i="8"/>
  <c r="U60" i="8" s="1"/>
  <c r="T97" i="8" s="1"/>
  <c r="T96" i="8"/>
  <c r="N52" i="7"/>
  <c r="L52" i="6"/>
  <c r="N52" i="6" s="1"/>
  <c r="U59" i="5"/>
  <c r="AB56" i="8"/>
  <c r="M159" i="8" s="1"/>
  <c r="N159" i="8"/>
  <c r="L159" i="8" s="1"/>
  <c r="L53" i="7"/>
  <c r="M54" i="7"/>
  <c r="M87" i="7" s="1"/>
  <c r="O53" i="7"/>
  <c r="O86" i="7" s="1"/>
  <c r="AB55" i="6"/>
  <c r="M193" i="6" s="1"/>
  <c r="N193" i="6"/>
  <c r="L193" i="6"/>
  <c r="X51" i="3"/>
  <c r="E441" i="3" s="1"/>
  <c r="F441" i="3"/>
  <c r="D441" i="3"/>
  <c r="G55" i="1"/>
  <c r="I55" i="1" s="1"/>
  <c r="W52" i="3"/>
  <c r="J54" i="1"/>
  <c r="X189" i="3"/>
  <c r="E534" i="3" s="1"/>
  <c r="D534" i="3"/>
  <c r="F534" i="3"/>
  <c r="N185" i="5"/>
  <c r="P185" i="5"/>
  <c r="G194" i="1"/>
  <c r="I194" i="1" s="1"/>
  <c r="W190" i="3"/>
  <c r="J193" i="1"/>
  <c r="Y58" i="5"/>
  <c r="X57" i="5"/>
  <c r="AA110" i="5" s="1"/>
  <c r="N51" i="8"/>
  <c r="O52" i="8"/>
  <c r="O93" i="8" s="1"/>
  <c r="M53" i="8"/>
  <c r="N6" i="5"/>
  <c r="O6" i="5"/>
  <c r="AA52" i="5"/>
  <c r="G52" i="5"/>
  <c r="F53" i="5"/>
  <c r="AB51" i="5"/>
  <c r="O185" i="5" s="1"/>
  <c r="AD51" i="5"/>
  <c r="F57" i="8"/>
  <c r="AA57" i="8" s="1"/>
  <c r="G56" i="8"/>
  <c r="F56" i="6"/>
  <c r="AA56" i="6" s="1"/>
  <c r="G55" i="6"/>
  <c r="O52" i="6"/>
  <c r="M53" i="6"/>
  <c r="O52" i="5"/>
  <c r="N52" i="5"/>
  <c r="L53" i="8" l="1"/>
  <c r="N53" i="7"/>
  <c r="N86" i="7" s="1"/>
  <c r="L86" i="7"/>
  <c r="L53" i="6"/>
  <c r="L110" i="6" s="1"/>
  <c r="M110" i="6"/>
  <c r="U60" i="5"/>
  <c r="T111" i="5"/>
  <c r="AB57" i="8"/>
  <c r="M160" i="8" s="1"/>
  <c r="N160" i="8"/>
  <c r="L160" i="8" s="1"/>
  <c r="O54" i="7"/>
  <c r="O87" i="7" s="1"/>
  <c r="L54" i="7"/>
  <c r="AB56" i="6"/>
  <c r="M194" i="6" s="1"/>
  <c r="N194" i="6"/>
  <c r="L194" i="6"/>
  <c r="X52" i="3"/>
  <c r="G56" i="1"/>
  <c r="I56" i="1" s="1"/>
  <c r="W53" i="3"/>
  <c r="J55" i="1"/>
  <c r="X190" i="3"/>
  <c r="N186" i="5"/>
  <c r="P186" i="5"/>
  <c r="G195" i="1"/>
  <c r="I195" i="1" s="1"/>
  <c r="W191" i="3"/>
  <c r="R132" i="5" s="1"/>
  <c r="J194" i="1"/>
  <c r="Y59" i="5"/>
  <c r="AB111" i="5" s="1"/>
  <c r="X58" i="5"/>
  <c r="N52" i="8"/>
  <c r="N93" i="8" s="1"/>
  <c r="O53" i="8"/>
  <c r="M54" i="8"/>
  <c r="L4" i="5"/>
  <c r="N5" i="5"/>
  <c r="N83" i="5" s="1"/>
  <c r="O5" i="5"/>
  <c r="O83" i="5" s="1"/>
  <c r="AA53" i="5"/>
  <c r="F54" i="5"/>
  <c r="G53" i="5"/>
  <c r="AB52" i="5"/>
  <c r="O186" i="5" s="1"/>
  <c r="AD52" i="5"/>
  <c r="F58" i="8"/>
  <c r="AA58" i="8" s="1"/>
  <c r="G57" i="8"/>
  <c r="F57" i="6"/>
  <c r="AA57" i="6" s="1"/>
  <c r="G56" i="6"/>
  <c r="N53" i="5"/>
  <c r="N108" i="5" s="1"/>
  <c r="O53" i="6"/>
  <c r="O110" i="6" s="1"/>
  <c r="M54" i="6"/>
  <c r="N53" i="6"/>
  <c r="N110" i="6" s="1"/>
  <c r="O53" i="5"/>
  <c r="O108" i="5" s="1"/>
  <c r="L54" i="8" l="1"/>
  <c r="L94" i="8" s="1"/>
  <c r="M94" i="8"/>
  <c r="N54" i="7"/>
  <c r="N87" i="7" s="1"/>
  <c r="L87" i="7"/>
  <c r="L54" i="6"/>
  <c r="L111" i="6" s="1"/>
  <c r="M111" i="6"/>
  <c r="U61" i="5"/>
  <c r="AB58" i="8"/>
  <c r="M161" i="8" s="1"/>
  <c r="N161" i="8"/>
  <c r="L161" i="8" s="1"/>
  <c r="AB57" i="6"/>
  <c r="M195" i="6" s="1"/>
  <c r="N195" i="6"/>
  <c r="L195" i="6"/>
  <c r="J56" i="1"/>
  <c r="G57" i="1"/>
  <c r="I57" i="1" s="1"/>
  <c r="W54" i="3"/>
  <c r="D442" i="3"/>
  <c r="X53" i="3"/>
  <c r="E442" i="3" s="1"/>
  <c r="F442" i="3"/>
  <c r="D535" i="3"/>
  <c r="F535" i="3"/>
  <c r="P187" i="5"/>
  <c r="N187" i="5"/>
  <c r="X191" i="3"/>
  <c r="E535" i="3" s="1"/>
  <c r="G196" i="1"/>
  <c r="I196" i="1" s="1"/>
  <c r="W192" i="3"/>
  <c r="J195" i="1"/>
  <c r="Y60" i="5"/>
  <c r="X59" i="5"/>
  <c r="AA111" i="5" s="1"/>
  <c r="N53" i="8"/>
  <c r="M55" i="8"/>
  <c r="O54" i="8"/>
  <c r="O94" i="8" s="1"/>
  <c r="AA54" i="5"/>
  <c r="F55" i="5"/>
  <c r="G54" i="5"/>
  <c r="AB53" i="5"/>
  <c r="O187" i="5" s="1"/>
  <c r="AD53" i="5"/>
  <c r="F59" i="8"/>
  <c r="AA59" i="8" s="1"/>
  <c r="G58" i="8"/>
  <c r="F58" i="6"/>
  <c r="AA58" i="6" s="1"/>
  <c r="G57" i="6"/>
  <c r="O54" i="5"/>
  <c r="N54" i="6"/>
  <c r="N111" i="6" s="1"/>
  <c r="O54" i="6"/>
  <c r="O111" i="6" s="1"/>
  <c r="M55" i="6"/>
  <c r="N54" i="5"/>
  <c r="L55" i="8" l="1"/>
  <c r="L55" i="6"/>
  <c r="L112" i="6" s="1"/>
  <c r="M112" i="6"/>
  <c r="U62" i="5"/>
  <c r="T112" i="5"/>
  <c r="AB59" i="8"/>
  <c r="AB58" i="6"/>
  <c r="M196" i="6" s="1"/>
  <c r="N196" i="6"/>
  <c r="L196" i="6"/>
  <c r="W55" i="3"/>
  <c r="J57" i="1"/>
  <c r="G58" i="1"/>
  <c r="I58" i="1" s="1"/>
  <c r="X54" i="3"/>
  <c r="X192" i="3"/>
  <c r="P188" i="5"/>
  <c r="N188" i="5"/>
  <c r="O132" i="5"/>
  <c r="N132" i="5"/>
  <c r="G197" i="1"/>
  <c r="I197" i="1" s="1"/>
  <c r="W193" i="3"/>
  <c r="J196" i="1"/>
  <c r="Y61" i="5"/>
  <c r="AB112" i="5" s="1"/>
  <c r="X60" i="5"/>
  <c r="N54" i="8"/>
  <c r="N94" i="8" s="1"/>
  <c r="O55" i="8"/>
  <c r="M56" i="8"/>
  <c r="AA55" i="5"/>
  <c r="F56" i="5"/>
  <c r="G55" i="5"/>
  <c r="AB54" i="5"/>
  <c r="O188" i="5" s="1"/>
  <c r="AD54" i="5"/>
  <c r="F60" i="8"/>
  <c r="G59" i="8"/>
  <c r="F59" i="6"/>
  <c r="AA59" i="6" s="1"/>
  <c r="G58" i="6"/>
  <c r="M56" i="6"/>
  <c r="O55" i="6"/>
  <c r="O112" i="6" s="1"/>
  <c r="N55" i="5"/>
  <c r="N109" i="5" s="1"/>
  <c r="N55" i="6"/>
  <c r="N112" i="6" s="1"/>
  <c r="O55" i="5"/>
  <c r="O109" i="5" s="1"/>
  <c r="L56" i="8" l="1"/>
  <c r="L95" i="8" s="1"/>
  <c r="M95" i="8"/>
  <c r="L56" i="6"/>
  <c r="U63" i="5"/>
  <c r="AB59" i="6"/>
  <c r="M197" i="6" s="1"/>
  <c r="N197" i="6"/>
  <c r="L197" i="6"/>
  <c r="W56" i="3"/>
  <c r="J58" i="1"/>
  <c r="G59" i="1"/>
  <c r="I59" i="1" s="1"/>
  <c r="X55" i="3"/>
  <c r="E443" i="3" s="1"/>
  <c r="D443" i="3"/>
  <c r="F443" i="3"/>
  <c r="X193" i="3"/>
  <c r="E537" i="3" s="1"/>
  <c r="D537" i="3"/>
  <c r="F537" i="3"/>
  <c r="P189" i="5"/>
  <c r="N189" i="5"/>
  <c r="G198" i="1"/>
  <c r="I198" i="1" s="1"/>
  <c r="W194" i="3"/>
  <c r="J197" i="1"/>
  <c r="Y62" i="5"/>
  <c r="X61" i="5"/>
  <c r="AA112" i="5" s="1"/>
  <c r="G60" i="8"/>
  <c r="AA60" i="8"/>
  <c r="N55" i="8"/>
  <c r="O56" i="8"/>
  <c r="O95" i="8" s="1"/>
  <c r="M57" i="8"/>
  <c r="AA56" i="5"/>
  <c r="F57" i="5"/>
  <c r="G56" i="5"/>
  <c r="AB55" i="5"/>
  <c r="O189" i="5" s="1"/>
  <c r="AD55" i="5"/>
  <c r="F60" i="6"/>
  <c r="AA60" i="6" s="1"/>
  <c r="G59" i="6"/>
  <c r="N56" i="6"/>
  <c r="O56" i="5"/>
  <c r="N56" i="5"/>
  <c r="M57" i="6"/>
  <c r="O56" i="6"/>
  <c r="L57" i="8" l="1"/>
  <c r="L57" i="6"/>
  <c r="L113" i="6" s="1"/>
  <c r="M113" i="6"/>
  <c r="U64" i="5"/>
  <c r="T113" i="5"/>
  <c r="AB60" i="8"/>
  <c r="M162" i="8" s="1"/>
  <c r="N162" i="8"/>
  <c r="L162" i="8" s="1"/>
  <c r="AB60" i="6"/>
  <c r="M199" i="6" s="1"/>
  <c r="L199" i="6"/>
  <c r="N199" i="6"/>
  <c r="W57" i="3"/>
  <c r="G60" i="1"/>
  <c r="J59" i="1"/>
  <c r="X56" i="3"/>
  <c r="X194" i="3"/>
  <c r="P191" i="5"/>
  <c r="N191" i="5"/>
  <c r="G199" i="1"/>
  <c r="I199" i="1" s="1"/>
  <c r="W195" i="3"/>
  <c r="J198" i="1"/>
  <c r="Y63" i="5"/>
  <c r="AB113" i="5" s="1"/>
  <c r="X62" i="5"/>
  <c r="N56" i="8"/>
  <c r="N95" i="8" s="1"/>
  <c r="O57" i="8"/>
  <c r="M58" i="8"/>
  <c r="AA57" i="5"/>
  <c r="G57" i="5"/>
  <c r="F58" i="5"/>
  <c r="AB56" i="5"/>
  <c r="O191" i="5" s="1"/>
  <c r="AD56" i="5"/>
  <c r="F61" i="6"/>
  <c r="AA61" i="6" s="1"/>
  <c r="G60" i="6"/>
  <c r="O57" i="6"/>
  <c r="O113" i="6" s="1"/>
  <c r="M58" i="6"/>
  <c r="N57" i="5"/>
  <c r="N110" i="5" s="1"/>
  <c r="O57" i="5"/>
  <c r="O110" i="5" s="1"/>
  <c r="I60" i="1" l="1"/>
  <c r="G61" i="1"/>
  <c r="I61" i="1" s="1"/>
  <c r="N57" i="6"/>
  <c r="N113" i="6" s="1"/>
  <c r="L58" i="8"/>
  <c r="L96" i="8" s="1"/>
  <c r="M96" i="8"/>
  <c r="L58" i="6"/>
  <c r="U65" i="5"/>
  <c r="AB61" i="6"/>
  <c r="M200" i="6" s="1"/>
  <c r="L200" i="6"/>
  <c r="N200" i="6"/>
  <c r="W58" i="3"/>
  <c r="J60" i="1"/>
  <c r="X57" i="3"/>
  <c r="E444" i="3" s="1"/>
  <c r="F444" i="3"/>
  <c r="D9" i="14"/>
  <c r="D444" i="3"/>
  <c r="X195" i="3"/>
  <c r="E538" i="3" s="1"/>
  <c r="D538" i="3"/>
  <c r="F538" i="3"/>
  <c r="P192" i="5"/>
  <c r="N192" i="5"/>
  <c r="G200" i="1"/>
  <c r="I200" i="1" s="1"/>
  <c r="W196" i="3"/>
  <c r="J199" i="1"/>
  <c r="Y64" i="5"/>
  <c r="X63" i="5"/>
  <c r="AA113" i="5" s="1"/>
  <c r="N57" i="8"/>
  <c r="M59" i="8"/>
  <c r="L59" i="8" s="1"/>
  <c r="O58" i="8"/>
  <c r="O96" i="8" s="1"/>
  <c r="AA58" i="5"/>
  <c r="F59" i="5"/>
  <c r="G58" i="5"/>
  <c r="AB57" i="5"/>
  <c r="O192" i="5" s="1"/>
  <c r="AD57" i="5"/>
  <c r="F62" i="6"/>
  <c r="AA62" i="6" s="1"/>
  <c r="G61" i="6"/>
  <c r="N58" i="6"/>
  <c r="O58" i="5"/>
  <c r="N58" i="5"/>
  <c r="O58" i="6"/>
  <c r="M59" i="6"/>
  <c r="F9" i="14" l="1"/>
  <c r="E9" i="14" s="1"/>
  <c r="L59" i="6"/>
  <c r="L114" i="6" s="1"/>
  <c r="M114" i="6"/>
  <c r="U66" i="5"/>
  <c r="T114" i="5"/>
  <c r="AB62" i="6"/>
  <c r="M201" i="6" s="1"/>
  <c r="N201" i="6"/>
  <c r="L201" i="6"/>
  <c r="D445" i="3"/>
  <c r="X58" i="3"/>
  <c r="E445" i="3" s="1"/>
  <c r="F445" i="3"/>
  <c r="G62" i="1"/>
  <c r="I62" i="1" s="1"/>
  <c r="J61" i="1"/>
  <c r="W59" i="3"/>
  <c r="X196" i="3"/>
  <c r="P193" i="5"/>
  <c r="N193" i="5"/>
  <c r="G201" i="1"/>
  <c r="I201" i="1" s="1"/>
  <c r="W197" i="3"/>
  <c r="J200" i="1"/>
  <c r="Y65" i="5"/>
  <c r="AB114" i="5" s="1"/>
  <c r="X64" i="5"/>
  <c r="N58" i="8"/>
  <c r="N96" i="8" s="1"/>
  <c r="O59" i="8"/>
  <c r="M60" i="8"/>
  <c r="M97" i="8" s="1"/>
  <c r="AA59" i="5"/>
  <c r="F60" i="5"/>
  <c r="G59" i="5"/>
  <c r="AB58" i="5"/>
  <c r="O193" i="5" s="1"/>
  <c r="AD58" i="5"/>
  <c r="F63" i="6"/>
  <c r="AA63" i="6" s="1"/>
  <c r="G62" i="6"/>
  <c r="N59" i="5"/>
  <c r="N111" i="5" s="1"/>
  <c r="O59" i="6"/>
  <c r="O114" i="6" s="1"/>
  <c r="M60" i="6"/>
  <c r="O59" i="5"/>
  <c r="O111" i="5" s="1"/>
  <c r="N59" i="6" l="1"/>
  <c r="N114" i="6" s="1"/>
  <c r="G9" i="14"/>
  <c r="L60" i="6"/>
  <c r="U67" i="5"/>
  <c r="O60" i="8"/>
  <c r="O97" i="8" s="1"/>
  <c r="L60" i="8"/>
  <c r="L97" i="8" s="1"/>
  <c r="AB63" i="6"/>
  <c r="M202" i="6" s="1"/>
  <c r="N202" i="6"/>
  <c r="L202" i="6"/>
  <c r="X59" i="3"/>
  <c r="G63" i="1"/>
  <c r="I63" i="1" s="1"/>
  <c r="J62" i="1"/>
  <c r="W60" i="3"/>
  <c r="D539" i="3"/>
  <c r="F539" i="3"/>
  <c r="N194" i="5"/>
  <c r="P194" i="5"/>
  <c r="X197" i="3"/>
  <c r="E539" i="3" s="1"/>
  <c r="G202" i="1"/>
  <c r="I202" i="1" s="1"/>
  <c r="W198" i="3"/>
  <c r="J201" i="1"/>
  <c r="Y66" i="5"/>
  <c r="X65" i="5"/>
  <c r="AA114" i="5" s="1"/>
  <c r="N59" i="8"/>
  <c r="AA60" i="5"/>
  <c r="F61" i="5"/>
  <c r="G60" i="5"/>
  <c r="AB59" i="5"/>
  <c r="O194" i="5" s="1"/>
  <c r="AD59" i="5"/>
  <c r="F64" i="6"/>
  <c r="AA64" i="6" s="1"/>
  <c r="G63" i="6"/>
  <c r="N60" i="6"/>
  <c r="O60" i="5"/>
  <c r="O60" i="6"/>
  <c r="M61" i="6"/>
  <c r="N60" i="5"/>
  <c r="N60" i="8" l="1"/>
  <c r="N97" i="8" s="1"/>
  <c r="L61" i="6"/>
  <c r="L115" i="6" s="1"/>
  <c r="M115" i="6"/>
  <c r="U68" i="5"/>
  <c r="AB64" i="6"/>
  <c r="M203" i="6" s="1"/>
  <c r="N203" i="6"/>
  <c r="L203" i="6"/>
  <c r="X66" i="5"/>
  <c r="Y67" i="5"/>
  <c r="D446" i="3"/>
  <c r="F446" i="3"/>
  <c r="X60" i="3"/>
  <c r="E446" i="3" s="1"/>
  <c r="W61" i="3"/>
  <c r="G64" i="1"/>
  <c r="I64" i="1" s="1"/>
  <c r="J63" i="1"/>
  <c r="X198" i="3"/>
  <c r="P195" i="5"/>
  <c r="N195" i="5"/>
  <c r="G203" i="1"/>
  <c r="I203" i="1" s="1"/>
  <c r="W199" i="3"/>
  <c r="J202" i="1"/>
  <c r="AA61" i="5"/>
  <c r="G61" i="5"/>
  <c r="F62" i="5"/>
  <c r="AB60" i="5"/>
  <c r="O195" i="5" s="1"/>
  <c r="AD60" i="5"/>
  <c r="F65" i="6"/>
  <c r="AA65" i="6" s="1"/>
  <c r="G64" i="6"/>
  <c r="N61" i="5"/>
  <c r="N112" i="5" s="1"/>
  <c r="O61" i="6"/>
  <c r="O115" i="6" s="1"/>
  <c r="M62" i="6"/>
  <c r="N61" i="6"/>
  <c r="N115" i="6" s="1"/>
  <c r="O61" i="5"/>
  <c r="O112" i="5" s="1"/>
  <c r="L62" i="6" l="1"/>
  <c r="U69" i="5"/>
  <c r="T115" i="5"/>
  <c r="AB65" i="6"/>
  <c r="M204" i="6" s="1"/>
  <c r="N204" i="6"/>
  <c r="L204" i="6"/>
  <c r="Y68" i="5"/>
  <c r="AB115" i="5" s="1"/>
  <c r="X67" i="5"/>
  <c r="X61" i="3"/>
  <c r="E447" i="3" s="1"/>
  <c r="D447" i="3"/>
  <c r="F447" i="3"/>
  <c r="W62" i="3"/>
  <c r="G65" i="1"/>
  <c r="J64" i="1"/>
  <c r="X199" i="3"/>
  <c r="E540" i="3" s="1"/>
  <c r="F540" i="3"/>
  <c r="D540" i="3"/>
  <c r="P196" i="5"/>
  <c r="N196" i="5"/>
  <c r="G204" i="1"/>
  <c r="I204" i="1" s="1"/>
  <c r="W200" i="3"/>
  <c r="J203" i="1"/>
  <c r="AA62" i="5"/>
  <c r="F63" i="5"/>
  <c r="G62" i="5"/>
  <c r="AB61" i="5"/>
  <c r="O196" i="5" s="1"/>
  <c r="AD61" i="5"/>
  <c r="F66" i="6"/>
  <c r="AA66" i="6" s="1"/>
  <c r="G65" i="6"/>
  <c r="O62" i="5"/>
  <c r="N62" i="6"/>
  <c r="M63" i="6"/>
  <c r="O62" i="6"/>
  <c r="N62" i="5"/>
  <c r="I65" i="1" l="1"/>
  <c r="G66" i="1"/>
  <c r="L63" i="6"/>
  <c r="L116" i="6" s="1"/>
  <c r="M116" i="6"/>
  <c r="U70" i="5"/>
  <c r="AB66" i="6"/>
  <c r="M206" i="6" s="1"/>
  <c r="L206" i="6"/>
  <c r="N206" i="6"/>
  <c r="Y69" i="5"/>
  <c r="X68" i="5"/>
  <c r="AA115" i="5" s="1"/>
  <c r="W63" i="3"/>
  <c r="J65" i="1"/>
  <c r="I66" i="1"/>
  <c r="D10" i="14"/>
  <c r="D449" i="3"/>
  <c r="X62" i="3"/>
  <c r="E449" i="3" s="1"/>
  <c r="F449" i="3"/>
  <c r="X200" i="3"/>
  <c r="N198" i="5"/>
  <c r="P198" i="5"/>
  <c r="G205" i="1"/>
  <c r="I205" i="1" s="1"/>
  <c r="W201" i="3"/>
  <c r="J204" i="1"/>
  <c r="AA63" i="5"/>
  <c r="F64" i="5"/>
  <c r="G63" i="5"/>
  <c r="AB62" i="5"/>
  <c r="O198" i="5" s="1"/>
  <c r="AD62" i="5"/>
  <c r="F67" i="6"/>
  <c r="G66" i="6"/>
  <c r="N63" i="5"/>
  <c r="N113" i="5" s="1"/>
  <c r="M64" i="6"/>
  <c r="O63" i="6"/>
  <c r="O116" i="6" s="1"/>
  <c r="N63" i="6"/>
  <c r="N116" i="6" s="1"/>
  <c r="O63" i="5"/>
  <c r="O113" i="5" s="1"/>
  <c r="F10" i="14" l="1"/>
  <c r="E10" i="14" s="1"/>
  <c r="L64" i="6"/>
  <c r="L117" i="6" s="1"/>
  <c r="M117" i="6"/>
  <c r="U71" i="5"/>
  <c r="T116" i="5"/>
  <c r="Y70" i="5"/>
  <c r="AB116" i="5" s="1"/>
  <c r="X69" i="5"/>
  <c r="AA67" i="6"/>
  <c r="F68" i="6"/>
  <c r="AA68" i="6" s="1"/>
  <c r="G67" i="1"/>
  <c r="I67" i="1" s="1"/>
  <c r="W64" i="3"/>
  <c r="J66" i="1"/>
  <c r="F450" i="3"/>
  <c r="X63" i="3"/>
  <c r="E450" i="3" s="1"/>
  <c r="D450" i="3"/>
  <c r="X201" i="3"/>
  <c r="E541" i="3" s="1"/>
  <c r="D541" i="3"/>
  <c r="F541" i="3"/>
  <c r="N199" i="5"/>
  <c r="P199" i="5"/>
  <c r="G206" i="1"/>
  <c r="I206" i="1" s="1"/>
  <c r="W202" i="3"/>
  <c r="J205" i="1"/>
  <c r="AA64" i="5"/>
  <c r="G64" i="5"/>
  <c r="F65" i="5"/>
  <c r="AB63" i="5"/>
  <c r="O199" i="5" s="1"/>
  <c r="AD63" i="5"/>
  <c r="F167" i="6"/>
  <c r="F168" i="6" s="1"/>
  <c r="F169" i="6" s="1"/>
  <c r="G67" i="6"/>
  <c r="O64" i="5"/>
  <c r="N64" i="6"/>
  <c r="N117" i="6" s="1"/>
  <c r="M65" i="6"/>
  <c r="O64" i="6"/>
  <c r="O117" i="6" s="1"/>
  <c r="N64" i="5"/>
  <c r="G10" i="14" l="1"/>
  <c r="M66" i="6"/>
  <c r="M118" i="6"/>
  <c r="U72" i="5"/>
  <c r="T118" i="5" s="1"/>
  <c r="T117" i="5"/>
  <c r="AB68" i="6"/>
  <c r="M208" i="6" s="1"/>
  <c r="N208" i="6"/>
  <c r="L208" i="6"/>
  <c r="AB67" i="6"/>
  <c r="M207" i="6" s="1"/>
  <c r="N207" i="6"/>
  <c r="L207" i="6"/>
  <c r="X70" i="5"/>
  <c r="AA116" i="5" s="1"/>
  <c r="Y71" i="5"/>
  <c r="AB117" i="5" s="1"/>
  <c r="G68" i="6"/>
  <c r="F69" i="6"/>
  <c r="AA69" i="6" s="1"/>
  <c r="X64" i="3"/>
  <c r="E451" i="3" s="1"/>
  <c r="D451" i="3"/>
  <c r="F451" i="3"/>
  <c r="G68" i="1"/>
  <c r="I68" i="1" s="1"/>
  <c r="J67" i="1"/>
  <c r="W65" i="3"/>
  <c r="X202" i="3"/>
  <c r="N200" i="5"/>
  <c r="P200" i="5"/>
  <c r="G207" i="1"/>
  <c r="I207" i="1" s="1"/>
  <c r="W203" i="3"/>
  <c r="J206" i="1"/>
  <c r="L66" i="6"/>
  <c r="M67" i="6"/>
  <c r="O66" i="6"/>
  <c r="O65" i="6"/>
  <c r="O118" i="6" s="1"/>
  <c r="L65" i="6"/>
  <c r="AA65" i="5"/>
  <c r="F66" i="5"/>
  <c r="F67" i="5" s="1"/>
  <c r="G65" i="5"/>
  <c r="AB64" i="5"/>
  <c r="O200" i="5" s="1"/>
  <c r="AD64" i="5"/>
  <c r="N66" i="5"/>
  <c r="N65" i="5"/>
  <c r="N114" i="5" s="1"/>
  <c r="O66" i="5"/>
  <c r="O65" i="5"/>
  <c r="O114" i="5" s="1"/>
  <c r="N66" i="6" l="1"/>
  <c r="N65" i="6"/>
  <c r="N118" i="6" s="1"/>
  <c r="L118" i="6"/>
  <c r="M68" i="6"/>
  <c r="M119" i="6"/>
  <c r="U73" i="5"/>
  <c r="AB69" i="6"/>
  <c r="M209" i="6" s="1"/>
  <c r="N209" i="6"/>
  <c r="L209" i="6"/>
  <c r="L68" i="6"/>
  <c r="M69" i="6"/>
  <c r="M120" i="6" s="1"/>
  <c r="F68" i="5"/>
  <c r="AA67" i="5"/>
  <c r="G67" i="5"/>
  <c r="X71" i="5"/>
  <c r="AA117" i="5" s="1"/>
  <c r="Y72" i="5"/>
  <c r="AB118" i="5" s="1"/>
  <c r="F70" i="6"/>
  <c r="AA70" i="6" s="1"/>
  <c r="G69" i="6"/>
  <c r="X65" i="3"/>
  <c r="J68" i="1"/>
  <c r="W66" i="3"/>
  <c r="G69" i="1"/>
  <c r="I69" i="1" s="1"/>
  <c r="X203" i="3"/>
  <c r="E542" i="3" s="1"/>
  <c r="D542" i="3"/>
  <c r="F542" i="3"/>
  <c r="P201" i="5"/>
  <c r="N201" i="5"/>
  <c r="G208" i="1"/>
  <c r="I208" i="1" s="1"/>
  <c r="W204" i="3"/>
  <c r="J207" i="1"/>
  <c r="L67" i="6"/>
  <c r="O67" i="6"/>
  <c r="O119" i="6" s="1"/>
  <c r="G66" i="5"/>
  <c r="AA66" i="5"/>
  <c r="AB65" i="5"/>
  <c r="O201" i="5" s="1"/>
  <c r="AD65" i="5"/>
  <c r="N68" i="6" l="1"/>
  <c r="N67" i="6"/>
  <c r="N119" i="6" s="1"/>
  <c r="L119" i="6"/>
  <c r="O68" i="6"/>
  <c r="U74" i="5"/>
  <c r="AB70" i="6"/>
  <c r="M210" i="6" s="1"/>
  <c r="L210" i="6"/>
  <c r="N210" i="6"/>
  <c r="L69" i="6"/>
  <c r="O69" i="6"/>
  <c r="O120" i="6" s="1"/>
  <c r="M70" i="6"/>
  <c r="N202" i="5"/>
  <c r="P202" i="5"/>
  <c r="AB67" i="5"/>
  <c r="O202" i="5" s="1"/>
  <c r="X72" i="5"/>
  <c r="AA118" i="5" s="1"/>
  <c r="Y73" i="5"/>
  <c r="F69" i="5"/>
  <c r="AA68" i="5"/>
  <c r="G68" i="5"/>
  <c r="F71" i="6"/>
  <c r="AA71" i="6" s="1"/>
  <c r="G70" i="6"/>
  <c r="G70" i="1"/>
  <c r="I70" i="1" s="1"/>
  <c r="W67" i="3"/>
  <c r="J69" i="1"/>
  <c r="D452" i="3"/>
  <c r="F452" i="3"/>
  <c r="X66" i="3"/>
  <c r="E452" i="3" s="1"/>
  <c r="X204" i="3"/>
  <c r="G209" i="1"/>
  <c r="I209" i="1" s="1"/>
  <c r="W205" i="3"/>
  <c r="J208" i="1"/>
  <c r="AB66" i="5"/>
  <c r="AD66" i="5"/>
  <c r="N69" i="6" l="1"/>
  <c r="N120" i="6" s="1"/>
  <c r="L120" i="6"/>
  <c r="U75" i="5"/>
  <c r="T119" i="5"/>
  <c r="AB71" i="6"/>
  <c r="M211" i="6" s="1"/>
  <c r="N211" i="6"/>
  <c r="L211" i="6"/>
  <c r="O70" i="6"/>
  <c r="L70" i="6"/>
  <c r="M71" i="6"/>
  <c r="M121" i="6" s="1"/>
  <c r="N203" i="5"/>
  <c r="P203" i="5"/>
  <c r="AB68" i="5"/>
  <c r="O203" i="5" s="1"/>
  <c r="X73" i="5"/>
  <c r="Y74" i="5"/>
  <c r="AB119" i="5" s="1"/>
  <c r="F70" i="5"/>
  <c r="AA69" i="5"/>
  <c r="G69" i="5"/>
  <c r="F72" i="6"/>
  <c r="AA72" i="6" s="1"/>
  <c r="G71" i="6"/>
  <c r="X67" i="3"/>
  <c r="G71" i="1"/>
  <c r="I71" i="1" s="1"/>
  <c r="W68" i="3"/>
  <c r="J70" i="1"/>
  <c r="X205" i="3"/>
  <c r="E544" i="3" s="1"/>
  <c r="D544" i="3"/>
  <c r="F544" i="3"/>
  <c r="G210" i="1"/>
  <c r="I210" i="1" s="1"/>
  <c r="W206" i="3"/>
  <c r="J209" i="1"/>
  <c r="N70" i="6" l="1"/>
  <c r="U76" i="5"/>
  <c r="T120" i="5" s="1"/>
  <c r="AB72" i="6"/>
  <c r="M213" i="6" s="1"/>
  <c r="L213" i="6"/>
  <c r="N213" i="6"/>
  <c r="M72" i="6"/>
  <c r="O71" i="6"/>
  <c r="O121" i="6" s="1"/>
  <c r="L71" i="6"/>
  <c r="P205" i="5"/>
  <c r="N205" i="5"/>
  <c r="AB69" i="5"/>
  <c r="O205" i="5" s="1"/>
  <c r="F71" i="5"/>
  <c r="AA70" i="5"/>
  <c r="G70" i="5"/>
  <c r="Y75" i="5"/>
  <c r="X74" i="5"/>
  <c r="AA119" i="5" s="1"/>
  <c r="F73" i="6"/>
  <c r="AA73" i="6" s="1"/>
  <c r="G72" i="6"/>
  <c r="X68" i="3"/>
  <c r="E453" i="3" s="1"/>
  <c r="D453" i="3"/>
  <c r="F453" i="3"/>
  <c r="G72" i="1"/>
  <c r="J71" i="1"/>
  <c r="W69" i="3"/>
  <c r="X206" i="3"/>
  <c r="E545" i="3" s="1"/>
  <c r="F545" i="3"/>
  <c r="D545" i="3"/>
  <c r="G211" i="1"/>
  <c r="I211" i="1" s="1"/>
  <c r="W207" i="3"/>
  <c r="J210" i="1"/>
  <c r="I72" i="1" l="1"/>
  <c r="G73" i="1"/>
  <c r="N71" i="6"/>
  <c r="N121" i="6" s="1"/>
  <c r="L121" i="6"/>
  <c r="AB73" i="6"/>
  <c r="M214" i="6" s="1"/>
  <c r="L214" i="6"/>
  <c r="N214" i="6"/>
  <c r="L72" i="6"/>
  <c r="O72" i="6"/>
  <c r="M73" i="6"/>
  <c r="M122" i="6" s="1"/>
  <c r="X75" i="5"/>
  <c r="Y76" i="5"/>
  <c r="N206" i="5"/>
  <c r="P206" i="5"/>
  <c r="AB70" i="5"/>
  <c r="O206" i="5" s="1"/>
  <c r="F72" i="5"/>
  <c r="AA71" i="5"/>
  <c r="G71" i="5"/>
  <c r="F74" i="6"/>
  <c r="AA74" i="6" s="1"/>
  <c r="G73" i="6"/>
  <c r="D11" i="14"/>
  <c r="X69" i="3"/>
  <c r="E454" i="3" s="1"/>
  <c r="F454" i="3"/>
  <c r="D454" i="3"/>
  <c r="I73" i="1"/>
  <c r="W70" i="3"/>
  <c r="J72" i="1"/>
  <c r="X207" i="3"/>
  <c r="E546" i="3" s="1"/>
  <c r="F546" i="3"/>
  <c r="D546" i="3"/>
  <c r="G212" i="1"/>
  <c r="I212" i="1" s="1"/>
  <c r="W208" i="3"/>
  <c r="J211" i="1"/>
  <c r="F11" i="14" l="1"/>
  <c r="E11" i="14" s="1"/>
  <c r="G11" i="14"/>
  <c r="N72" i="6"/>
  <c r="X76" i="5"/>
  <c r="AA120" i="5" s="1"/>
  <c r="AB120" i="5"/>
  <c r="AB74" i="6"/>
  <c r="M215" i="6" s="1"/>
  <c r="N215" i="6"/>
  <c r="L215" i="6"/>
  <c r="L73" i="6"/>
  <c r="M74" i="6"/>
  <c r="O73" i="6"/>
  <c r="O122" i="6" s="1"/>
  <c r="F73" i="5"/>
  <c r="AA72" i="5"/>
  <c r="G72" i="5"/>
  <c r="N207" i="5"/>
  <c r="P207" i="5"/>
  <c r="AB71" i="5"/>
  <c r="O207" i="5" s="1"/>
  <c r="F75" i="6"/>
  <c r="AA75" i="6" s="1"/>
  <c r="G74" i="6"/>
  <c r="G74" i="1"/>
  <c r="I74" i="1" s="1"/>
  <c r="W71" i="3"/>
  <c r="J73" i="1"/>
  <c r="X70" i="3"/>
  <c r="E455" i="3" s="1"/>
  <c r="D455" i="3"/>
  <c r="F455" i="3"/>
  <c r="X208" i="3"/>
  <c r="E547" i="3" s="1"/>
  <c r="D547" i="3"/>
  <c r="F547" i="3"/>
  <c r="G213" i="1"/>
  <c r="I213" i="1" s="1"/>
  <c r="W209" i="3"/>
  <c r="J212" i="1"/>
  <c r="N73" i="6" l="1"/>
  <c r="N122" i="6" s="1"/>
  <c r="L122" i="6"/>
  <c r="AB75" i="6"/>
  <c r="M216" i="6" s="1"/>
  <c r="N216" i="6"/>
  <c r="L216" i="6"/>
  <c r="L74" i="6"/>
  <c r="O74" i="6"/>
  <c r="M75" i="6"/>
  <c r="M123" i="6" s="1"/>
  <c r="N208" i="5"/>
  <c r="P208" i="5"/>
  <c r="AB72" i="5"/>
  <c r="O208" i="5" s="1"/>
  <c r="F74" i="5"/>
  <c r="AA73" i="5"/>
  <c r="G73" i="5"/>
  <c r="F76" i="6"/>
  <c r="AA76" i="6" s="1"/>
  <c r="G75" i="6"/>
  <c r="X71" i="3"/>
  <c r="E456" i="3" s="1"/>
  <c r="D456" i="3"/>
  <c r="F456" i="3"/>
  <c r="G75" i="1"/>
  <c r="I75" i="1" s="1"/>
  <c r="W72" i="3"/>
  <c r="J74" i="1"/>
  <c r="X209" i="3"/>
  <c r="G214" i="1"/>
  <c r="I214" i="1" s="1"/>
  <c r="W210" i="3"/>
  <c r="J213" i="1"/>
  <c r="N74" i="6" l="1"/>
  <c r="AB76" i="6"/>
  <c r="M217" i="6" s="1"/>
  <c r="N217" i="6"/>
  <c r="L217" i="6"/>
  <c r="M76" i="6"/>
  <c r="L75" i="6"/>
  <c r="O75" i="6"/>
  <c r="O123" i="6" s="1"/>
  <c r="N209" i="5"/>
  <c r="P209" i="5"/>
  <c r="AB73" i="5"/>
  <c r="O209" i="5" s="1"/>
  <c r="F75" i="5"/>
  <c r="AA74" i="5"/>
  <c r="G74" i="5"/>
  <c r="F77" i="6"/>
  <c r="G76" i="6"/>
  <c r="F457" i="3"/>
  <c r="X72" i="3"/>
  <c r="E457" i="3" s="1"/>
  <c r="D457" i="3"/>
  <c r="G76" i="1"/>
  <c r="I76" i="1" s="1"/>
  <c r="J75" i="1"/>
  <c r="W73" i="3"/>
  <c r="X210" i="3"/>
  <c r="E548" i="3" s="1"/>
  <c r="F548" i="3"/>
  <c r="D548" i="3"/>
  <c r="G215" i="1"/>
  <c r="I215" i="1" s="1"/>
  <c r="W211" i="3"/>
  <c r="J214" i="1"/>
  <c r="N75" i="6" l="1"/>
  <c r="N123" i="6" s="1"/>
  <c r="L123" i="6"/>
  <c r="G77" i="6"/>
  <c r="AA77" i="6"/>
  <c r="O76" i="6"/>
  <c r="M77" i="6"/>
  <c r="M124" i="6" s="1"/>
  <c r="L76" i="6"/>
  <c r="N211" i="5"/>
  <c r="P211" i="5"/>
  <c r="AB74" i="5"/>
  <c r="O211" i="5" s="1"/>
  <c r="F76" i="5"/>
  <c r="AA75" i="5"/>
  <c r="G75" i="5"/>
  <c r="X73" i="3"/>
  <c r="G77" i="1"/>
  <c r="I77" i="1" s="1"/>
  <c r="W74" i="3"/>
  <c r="J76" i="1"/>
  <c r="X211" i="3"/>
  <c r="G216" i="1"/>
  <c r="I216" i="1" s="1"/>
  <c r="W212" i="3"/>
  <c r="J215" i="1"/>
  <c r="N76" i="6" l="1"/>
  <c r="AB77" i="6"/>
  <c r="M218" i="6" s="1"/>
  <c r="N218" i="6"/>
  <c r="L218" i="6"/>
  <c r="L77" i="6"/>
  <c r="O77" i="6"/>
  <c r="O124" i="6" s="1"/>
  <c r="P212" i="5"/>
  <c r="N212" i="5"/>
  <c r="AB75" i="5"/>
  <c r="O212" i="5" s="1"/>
  <c r="F77" i="5"/>
  <c r="G77" i="5" s="1"/>
  <c r="AA76" i="5"/>
  <c r="G76" i="5"/>
  <c r="W75" i="3"/>
  <c r="G78" i="1"/>
  <c r="I78" i="1" s="1"/>
  <c r="J77" i="1"/>
  <c r="D458" i="3"/>
  <c r="X74" i="3"/>
  <c r="E458" i="3" s="1"/>
  <c r="F458" i="3"/>
  <c r="X212" i="3"/>
  <c r="E549" i="3" s="1"/>
  <c r="D549" i="3"/>
  <c r="F549" i="3"/>
  <c r="G217" i="1"/>
  <c r="I217" i="1" s="1"/>
  <c r="W213" i="3"/>
  <c r="J216" i="1"/>
  <c r="N77" i="6" l="1"/>
  <c r="N124" i="6" s="1"/>
  <c r="L124" i="6"/>
  <c r="AB76" i="5"/>
  <c r="O213" i="5" s="1"/>
  <c r="N213" i="5"/>
  <c r="P213" i="5"/>
  <c r="G79" i="1"/>
  <c r="I79" i="1" s="1"/>
  <c r="W76" i="3"/>
  <c r="J78" i="1"/>
  <c r="X75" i="3"/>
  <c r="X213" i="3"/>
  <c r="G218" i="1"/>
  <c r="I218" i="1" s="1"/>
  <c r="W214" i="3"/>
  <c r="J217" i="1"/>
  <c r="X76" i="3" l="1"/>
  <c r="G80" i="1"/>
  <c r="I80" i="1" s="1"/>
  <c r="W77" i="3"/>
  <c r="J79" i="1"/>
  <c r="X214" i="3"/>
  <c r="E550" i="3" s="1"/>
  <c r="D550" i="3"/>
  <c r="F550" i="3"/>
  <c r="G219" i="1"/>
  <c r="I219" i="1" s="1"/>
  <c r="W215" i="3"/>
  <c r="J218" i="1"/>
  <c r="W78" i="3" l="1"/>
  <c r="J80" i="1"/>
  <c r="G81" i="1"/>
  <c r="X77" i="3"/>
  <c r="X215" i="3"/>
  <c r="G220" i="1"/>
  <c r="I220" i="1" s="1"/>
  <c r="W216" i="3"/>
  <c r="J219" i="1"/>
  <c r="I81" i="1" l="1"/>
  <c r="G82" i="1"/>
  <c r="W79" i="3"/>
  <c r="J81" i="1"/>
  <c r="I82" i="1"/>
  <c r="X78" i="3"/>
  <c r="E459" i="3" s="1"/>
  <c r="D12" i="14"/>
  <c r="D459" i="3"/>
  <c r="F459" i="3"/>
  <c r="X216" i="3"/>
  <c r="E551" i="3" s="1"/>
  <c r="D551" i="3"/>
  <c r="F551" i="3"/>
  <c r="G221" i="1"/>
  <c r="I221" i="1" s="1"/>
  <c r="W217" i="3"/>
  <c r="J220" i="1"/>
  <c r="F12" i="14" l="1"/>
  <c r="E12" i="14" s="1"/>
  <c r="G83" i="1"/>
  <c r="I83" i="1" s="1"/>
  <c r="W80" i="3"/>
  <c r="J82" i="1"/>
  <c r="D460" i="3"/>
  <c r="X79" i="3"/>
  <c r="E460" i="3" s="1"/>
  <c r="F460" i="3"/>
  <c r="X217" i="3"/>
  <c r="G222" i="1"/>
  <c r="I222" i="1" s="1"/>
  <c r="W218" i="3"/>
  <c r="J221" i="1"/>
  <c r="G12" i="14" l="1"/>
  <c r="X80" i="3"/>
  <c r="G84" i="1"/>
  <c r="I84" i="1" s="1"/>
  <c r="W81" i="3"/>
  <c r="J83" i="1"/>
  <c r="X218" i="3"/>
  <c r="E552" i="3" s="1"/>
  <c r="F552" i="3"/>
  <c r="D552" i="3"/>
  <c r="G223" i="1"/>
  <c r="I223" i="1" s="1"/>
  <c r="W219" i="3"/>
  <c r="J222" i="1"/>
  <c r="F461" i="3" l="1"/>
  <c r="D461" i="3"/>
  <c r="X81" i="3"/>
  <c r="E461" i="3" s="1"/>
  <c r="G85" i="1"/>
  <c r="I85" i="1" s="1"/>
  <c r="W82" i="3"/>
  <c r="J84" i="1"/>
  <c r="X219" i="3"/>
  <c r="G224" i="1"/>
  <c r="I224" i="1" s="1"/>
  <c r="W220" i="3"/>
  <c r="J223" i="1"/>
  <c r="X82" i="3" l="1"/>
  <c r="G86" i="1"/>
  <c r="I86" i="1" s="1"/>
  <c r="W83" i="3"/>
  <c r="J85" i="1"/>
  <c r="X220" i="3"/>
  <c r="E554" i="3" s="1"/>
  <c r="F554" i="3"/>
  <c r="D554" i="3"/>
  <c r="G225" i="1"/>
  <c r="I225" i="1" s="1"/>
  <c r="W221" i="3"/>
  <c r="J224" i="1"/>
  <c r="F463" i="3" l="1"/>
  <c r="D463" i="3"/>
  <c r="X83" i="3"/>
  <c r="E463" i="3" s="1"/>
  <c r="G87" i="1"/>
  <c r="I87" i="1" s="1"/>
  <c r="W84" i="3"/>
  <c r="J86" i="1"/>
  <c r="X221" i="3"/>
  <c r="G226" i="1"/>
  <c r="I226" i="1" s="1"/>
  <c r="W222" i="3"/>
  <c r="J225" i="1"/>
  <c r="X84" i="3" l="1"/>
  <c r="W85" i="3"/>
  <c r="G88" i="1"/>
  <c r="J87" i="1"/>
  <c r="X222" i="3"/>
  <c r="E555" i="3" s="1"/>
  <c r="D555" i="3"/>
  <c r="F555" i="3"/>
  <c r="G227" i="1"/>
  <c r="I227" i="1" s="1"/>
  <c r="W223" i="3"/>
  <c r="J226" i="1"/>
  <c r="I88" i="1" l="1"/>
  <c r="G89" i="1"/>
  <c r="W86" i="3"/>
  <c r="J88" i="1"/>
  <c r="I89" i="1"/>
  <c r="X85" i="3"/>
  <c r="E464" i="3" s="1"/>
  <c r="D464" i="3"/>
  <c r="D13" i="14"/>
  <c r="F464" i="3"/>
  <c r="X223" i="3"/>
  <c r="G228" i="1"/>
  <c r="I228" i="1" s="1"/>
  <c r="W224" i="3"/>
  <c r="J227" i="1"/>
  <c r="F13" i="14" l="1"/>
  <c r="E13" i="14" s="1"/>
  <c r="G13" i="14"/>
  <c r="G90" i="1"/>
  <c r="I90" i="1" s="1"/>
  <c r="W87" i="3"/>
  <c r="J89" i="1"/>
  <c r="F465" i="3"/>
  <c r="X86" i="3"/>
  <c r="E465" i="3" s="1"/>
  <c r="D465" i="3"/>
  <c r="X224" i="3"/>
  <c r="E556" i="3" s="1"/>
  <c r="D556" i="3"/>
  <c r="F556" i="3"/>
  <c r="G229" i="1"/>
  <c r="I229" i="1" s="1"/>
  <c r="W225" i="3"/>
  <c r="J228" i="1"/>
  <c r="X87" i="3" l="1"/>
  <c r="E466" i="3" s="1"/>
  <c r="D466" i="3"/>
  <c r="F466" i="3"/>
  <c r="G91" i="1"/>
  <c r="I91" i="1" s="1"/>
  <c r="W88" i="3"/>
  <c r="J90" i="1"/>
  <c r="X225" i="3"/>
  <c r="G230" i="1"/>
  <c r="I230" i="1" s="1"/>
  <c r="W226" i="3"/>
  <c r="J229" i="1"/>
  <c r="X88" i="3" l="1"/>
  <c r="G92" i="1"/>
  <c r="I92" i="1" s="1"/>
  <c r="J91" i="1"/>
  <c r="W89" i="3"/>
  <c r="X226" i="3"/>
  <c r="E557" i="3" s="1"/>
  <c r="D557" i="3"/>
  <c r="F557" i="3"/>
  <c r="G231" i="1"/>
  <c r="I231" i="1" s="1"/>
  <c r="W227" i="3"/>
  <c r="J230" i="1"/>
  <c r="X89" i="3" l="1"/>
  <c r="E467" i="3" s="1"/>
  <c r="D467" i="3"/>
  <c r="F467" i="3"/>
  <c r="G93" i="1"/>
  <c r="I93" i="1" s="1"/>
  <c r="J92" i="1"/>
  <c r="W90" i="3"/>
  <c r="X227" i="3"/>
  <c r="W228" i="3"/>
  <c r="P135" i="6" s="1"/>
  <c r="G232" i="1"/>
  <c r="I232" i="1" s="1"/>
  <c r="J231" i="1"/>
  <c r="L135" i="6" l="1"/>
  <c r="M135" i="6"/>
  <c r="X90" i="3"/>
  <c r="G94" i="1"/>
  <c r="I94" i="1" s="1"/>
  <c r="W91" i="3"/>
  <c r="J93" i="1"/>
  <c r="X228" i="3"/>
  <c r="E558" i="3" s="1"/>
  <c r="D558" i="3"/>
  <c r="F558" i="3"/>
  <c r="G233" i="1"/>
  <c r="I233" i="1" s="1"/>
  <c r="W229" i="3"/>
  <c r="J232" i="1"/>
  <c r="D468" i="3" l="1"/>
  <c r="F468" i="3"/>
  <c r="X91" i="3"/>
  <c r="E468" i="3" s="1"/>
  <c r="G95" i="1"/>
  <c r="I95" i="1" s="1"/>
  <c r="W92" i="3"/>
  <c r="J94" i="1"/>
  <c r="X229" i="3"/>
  <c r="G234" i="1"/>
  <c r="I234" i="1" s="1"/>
  <c r="W230" i="3"/>
  <c r="J233" i="1"/>
  <c r="X92" i="3" l="1"/>
  <c r="G96" i="1"/>
  <c r="I96" i="1" s="1"/>
  <c r="W93" i="3"/>
  <c r="J95" i="1"/>
  <c r="X230" i="3"/>
  <c r="E559" i="3" s="1"/>
  <c r="F559" i="3"/>
  <c r="D559" i="3"/>
  <c r="G235" i="1"/>
  <c r="I235" i="1" s="1"/>
  <c r="W231" i="3"/>
  <c r="J234" i="1"/>
  <c r="X93" i="3" l="1"/>
  <c r="W94" i="3"/>
  <c r="G97" i="1"/>
  <c r="J96" i="1"/>
  <c r="X231" i="3"/>
  <c r="G236" i="1"/>
  <c r="I236" i="1" s="1"/>
  <c r="W232" i="3"/>
  <c r="J235" i="1"/>
  <c r="I97" i="1" l="1"/>
  <c r="G98" i="1"/>
  <c r="I98" i="1" s="1"/>
  <c r="W95" i="3"/>
  <c r="J97" i="1"/>
  <c r="X94" i="3"/>
  <c r="E469" i="3" s="1"/>
  <c r="D14" i="14"/>
  <c r="F469" i="3"/>
  <c r="D469" i="3"/>
  <c r="X232" i="3"/>
  <c r="E561" i="3" s="1"/>
  <c r="D561" i="3"/>
  <c r="F561" i="3"/>
  <c r="G237" i="1"/>
  <c r="I237" i="1" s="1"/>
  <c r="W233" i="3"/>
  <c r="J236" i="1"/>
  <c r="F14" i="14" l="1"/>
  <c r="E14" i="14" s="1"/>
  <c r="G99" i="1"/>
  <c r="I99" i="1" s="1"/>
  <c r="W96" i="3"/>
  <c r="J98" i="1"/>
  <c r="X95" i="3"/>
  <c r="E470" i="3" s="1"/>
  <c r="F470" i="3"/>
  <c r="D470" i="3"/>
  <c r="X233" i="3"/>
  <c r="G238" i="1"/>
  <c r="I238" i="1" s="1"/>
  <c r="W234" i="3"/>
  <c r="J237" i="1"/>
  <c r="G14" i="14" l="1"/>
  <c r="X96" i="3"/>
  <c r="G100" i="1"/>
  <c r="I100" i="1" s="1"/>
  <c r="W97" i="3"/>
  <c r="J99" i="1"/>
  <c r="X234" i="3"/>
  <c r="E562" i="3" s="1"/>
  <c r="D562" i="3"/>
  <c r="F562" i="3"/>
  <c r="G239" i="1"/>
  <c r="I239" i="1" s="1"/>
  <c r="W235" i="3"/>
  <c r="J238" i="1"/>
  <c r="F471" i="3" l="1"/>
  <c r="D471" i="3"/>
  <c r="X97" i="3"/>
  <c r="E471" i="3" s="1"/>
  <c r="G101" i="1"/>
  <c r="I101" i="1" s="1"/>
  <c r="J100" i="1"/>
  <c r="W98" i="3"/>
  <c r="X235" i="3"/>
  <c r="G240" i="1"/>
  <c r="I240" i="1" s="1"/>
  <c r="W236" i="3"/>
  <c r="J239" i="1"/>
  <c r="X98" i="3" l="1"/>
  <c r="G102" i="1"/>
  <c r="I102" i="1" s="1"/>
  <c r="W99" i="3"/>
  <c r="J101" i="1"/>
  <c r="X236" i="3"/>
  <c r="E563" i="3" s="1"/>
  <c r="D563" i="3"/>
  <c r="F563" i="3"/>
  <c r="G241" i="1"/>
  <c r="I241" i="1" s="1"/>
  <c r="W237" i="3"/>
  <c r="J240" i="1"/>
  <c r="F472" i="3" l="1"/>
  <c r="X99" i="3"/>
  <c r="E472" i="3" s="1"/>
  <c r="D472" i="3"/>
  <c r="G103" i="1"/>
  <c r="I103" i="1" s="1"/>
  <c r="W100" i="3"/>
  <c r="J102" i="1"/>
  <c r="X237" i="3"/>
  <c r="G242" i="1"/>
  <c r="I242" i="1" s="1"/>
  <c r="W238" i="3"/>
  <c r="J241" i="1"/>
  <c r="X100" i="3" l="1"/>
  <c r="G104" i="1"/>
  <c r="I104" i="1" s="1"/>
  <c r="W101" i="3"/>
  <c r="J103" i="1"/>
  <c r="X238" i="3"/>
  <c r="E564" i="3" s="1"/>
  <c r="D564" i="3"/>
  <c r="F564" i="3"/>
  <c r="G243" i="1"/>
  <c r="I243" i="1" s="1"/>
  <c r="W239" i="3"/>
  <c r="J242" i="1"/>
  <c r="D474" i="3" l="1"/>
  <c r="F474" i="3"/>
  <c r="X101" i="3"/>
  <c r="E474" i="3" s="1"/>
  <c r="G105" i="1"/>
  <c r="I105" i="1" s="1"/>
  <c r="W102" i="3"/>
  <c r="J104" i="1"/>
  <c r="X239" i="3"/>
  <c r="G244" i="1"/>
  <c r="I244" i="1" s="1"/>
  <c r="W240" i="3"/>
  <c r="J243" i="1"/>
  <c r="X102" i="3" l="1"/>
  <c r="W103" i="3"/>
  <c r="G106" i="1"/>
  <c r="J105" i="1"/>
  <c r="X240" i="3"/>
  <c r="E565" i="3" s="1"/>
  <c r="D565" i="3"/>
  <c r="F565" i="3"/>
  <c r="G245" i="1"/>
  <c r="I245" i="1" s="1"/>
  <c r="W241" i="3"/>
  <c r="J244" i="1"/>
  <c r="I106" i="1" l="1"/>
  <c r="G107" i="1"/>
  <c r="W104" i="3"/>
  <c r="I107" i="1"/>
  <c r="J106" i="1"/>
  <c r="X103" i="3"/>
  <c r="E475" i="3" s="1"/>
  <c r="D475" i="3"/>
  <c r="D15" i="14"/>
  <c r="F475" i="3"/>
  <c r="X241" i="3"/>
  <c r="G246" i="1"/>
  <c r="I246" i="1" s="1"/>
  <c r="W242" i="3"/>
  <c r="J245" i="1"/>
  <c r="F15" i="14" l="1"/>
  <c r="E15" i="14" s="1"/>
  <c r="G108" i="1"/>
  <c r="I108" i="1" s="1"/>
  <c r="J107" i="1"/>
  <c r="W105" i="3"/>
  <c r="D476" i="3"/>
  <c r="F476" i="3"/>
  <c r="X104" i="3"/>
  <c r="E476" i="3" s="1"/>
  <c r="X242" i="3"/>
  <c r="E566" i="3" s="1"/>
  <c r="F566" i="3"/>
  <c r="D566" i="3"/>
  <c r="G247" i="1"/>
  <c r="I247" i="1" s="1"/>
  <c r="W243" i="3"/>
  <c r="J246" i="1"/>
  <c r="G15" i="14" l="1"/>
  <c r="D477" i="3"/>
  <c r="X105" i="3"/>
  <c r="E477" i="3" s="1"/>
  <c r="F477" i="3"/>
  <c r="G109" i="1"/>
  <c r="I109" i="1" s="1"/>
  <c r="W106" i="3"/>
  <c r="J108" i="1"/>
  <c r="X243" i="3"/>
  <c r="G248" i="1"/>
  <c r="I248" i="1" s="1"/>
  <c r="W244" i="3"/>
  <c r="J247" i="1"/>
  <c r="X106" i="3" l="1"/>
  <c r="G110" i="1"/>
  <c r="I110" i="1" s="1"/>
  <c r="J109" i="1"/>
  <c r="W107" i="3"/>
  <c r="X244" i="3"/>
  <c r="E568" i="3" s="1"/>
  <c r="D568" i="3"/>
  <c r="F568" i="3"/>
  <c r="G249" i="1"/>
  <c r="I249" i="1" s="1"/>
  <c r="W245" i="3"/>
  <c r="J248" i="1"/>
  <c r="D478" i="3" l="1"/>
  <c r="X107" i="3"/>
  <c r="E478" i="3" s="1"/>
  <c r="F478" i="3"/>
  <c r="G111" i="1"/>
  <c r="I111" i="1" s="1"/>
  <c r="J110" i="1"/>
  <c r="W108" i="3"/>
  <c r="X245" i="3"/>
  <c r="G250" i="1"/>
  <c r="I250" i="1" s="1"/>
  <c r="W246" i="3"/>
  <c r="J249" i="1"/>
  <c r="X108" i="3" l="1"/>
  <c r="W109" i="3"/>
  <c r="J111" i="1"/>
  <c r="G112" i="1"/>
  <c r="I112" i="1" s="1"/>
  <c r="X246" i="3"/>
  <c r="E569" i="3" s="1"/>
  <c r="F569" i="3"/>
  <c r="D569" i="3"/>
  <c r="G251" i="1"/>
  <c r="I251" i="1" s="1"/>
  <c r="W247" i="3"/>
  <c r="J250" i="1"/>
  <c r="W110" i="3" l="1"/>
  <c r="J112" i="1"/>
  <c r="G113" i="1"/>
  <c r="F479" i="3"/>
  <c r="X109" i="3"/>
  <c r="E479" i="3" s="1"/>
  <c r="D479" i="3"/>
  <c r="X247" i="3"/>
  <c r="G252" i="1"/>
  <c r="I252" i="1" s="1"/>
  <c r="W248" i="3"/>
  <c r="J251" i="1"/>
  <c r="I113" i="1" l="1"/>
  <c r="G114" i="1"/>
  <c r="I114" i="1" s="1"/>
  <c r="W111" i="3"/>
  <c r="J113" i="1"/>
  <c r="X110" i="3"/>
  <c r="E480" i="3" s="1"/>
  <c r="F480" i="3"/>
  <c r="D16" i="14"/>
  <c r="D480" i="3"/>
  <c r="X248" i="3"/>
  <c r="E570" i="3" s="1"/>
  <c r="D570" i="3"/>
  <c r="F570" i="3"/>
  <c r="G253" i="1"/>
  <c r="I253" i="1" s="1"/>
  <c r="W249" i="3"/>
  <c r="J252" i="1"/>
  <c r="F16" i="14" l="1"/>
  <c r="E16" i="14" s="1"/>
  <c r="G115" i="1"/>
  <c r="I115" i="1" s="1"/>
  <c r="J114" i="1"/>
  <c r="W112" i="3"/>
  <c r="X111" i="3"/>
  <c r="E481" i="3" s="1"/>
  <c r="D481" i="3"/>
  <c r="F481" i="3"/>
  <c r="X249" i="3"/>
  <c r="G254" i="1"/>
  <c r="I254" i="1" s="1"/>
  <c r="W250" i="3"/>
  <c r="J253" i="1"/>
  <c r="G16" i="14" l="1"/>
  <c r="X112" i="3"/>
  <c r="G116" i="1"/>
  <c r="I116" i="1" s="1"/>
  <c r="W113" i="3"/>
  <c r="J115" i="1"/>
  <c r="X250" i="3"/>
  <c r="E571" i="3" s="1"/>
  <c r="D571" i="3"/>
  <c r="F571" i="3"/>
  <c r="G255" i="1"/>
  <c r="I255" i="1" s="1"/>
  <c r="W251" i="3"/>
  <c r="J254" i="1"/>
  <c r="X113" i="3" l="1"/>
  <c r="G117" i="1"/>
  <c r="I117" i="1" s="1"/>
  <c r="J116" i="1"/>
  <c r="W114" i="3"/>
  <c r="X251" i="3"/>
  <c r="G256" i="1"/>
  <c r="I256" i="1" s="1"/>
  <c r="W252" i="3"/>
  <c r="J255" i="1"/>
  <c r="F482" i="3" l="1"/>
  <c r="X114" i="3"/>
  <c r="E482" i="3" s="1"/>
  <c r="D482" i="3"/>
  <c r="G118" i="1"/>
  <c r="I118" i="1" s="1"/>
  <c r="J117" i="1"/>
  <c r="W115" i="3"/>
  <c r="X252" i="3"/>
  <c r="E572" i="3" s="1"/>
  <c r="D572" i="3"/>
  <c r="F572" i="3"/>
  <c r="G257" i="1"/>
  <c r="I257" i="1" s="1"/>
  <c r="W253" i="3"/>
  <c r="J256" i="1"/>
  <c r="X115" i="3" l="1"/>
  <c r="G119" i="1"/>
  <c r="I119" i="1" s="1"/>
  <c r="J118" i="1"/>
  <c r="W116" i="3"/>
  <c r="X253" i="3"/>
  <c r="G258" i="1"/>
  <c r="I258" i="1" s="1"/>
  <c r="W254" i="3"/>
  <c r="J257" i="1"/>
  <c r="F483" i="3" l="1"/>
  <c r="D483" i="3"/>
  <c r="X116" i="3"/>
  <c r="E483" i="3" s="1"/>
  <c r="G120" i="1"/>
  <c r="I120" i="1" s="1"/>
  <c r="W117" i="3"/>
  <c r="J119" i="1"/>
  <c r="X254" i="3"/>
  <c r="E573" i="3" s="1"/>
  <c r="F573" i="3"/>
  <c r="D573" i="3"/>
  <c r="G259" i="1"/>
  <c r="I259" i="1" s="1"/>
  <c r="W255" i="3"/>
  <c r="J258" i="1"/>
  <c r="X117" i="3" l="1"/>
  <c r="G121" i="1"/>
  <c r="I121" i="1" s="1"/>
  <c r="J120" i="1"/>
  <c r="W118" i="3"/>
  <c r="X255" i="3"/>
  <c r="G260" i="1"/>
  <c r="I260" i="1" s="1"/>
  <c r="W256" i="3"/>
  <c r="J259" i="1"/>
  <c r="X118" i="3" l="1"/>
  <c r="E485" i="3" s="1"/>
  <c r="D485" i="3"/>
  <c r="F485" i="3"/>
  <c r="W119" i="3"/>
  <c r="G122" i="1"/>
  <c r="J121" i="1"/>
  <c r="X256" i="3"/>
  <c r="E575" i="3" s="1"/>
  <c r="F575" i="3"/>
  <c r="D575" i="3"/>
  <c r="G261" i="1"/>
  <c r="I261" i="1" s="1"/>
  <c r="W257" i="3"/>
  <c r="J260" i="1"/>
  <c r="I122" i="1" l="1"/>
  <c r="G123" i="1"/>
  <c r="W120" i="3"/>
  <c r="J122" i="1"/>
  <c r="I123" i="1"/>
  <c r="X119" i="3"/>
  <c r="E486" i="3" s="1"/>
  <c r="D486" i="3"/>
  <c r="D17" i="14"/>
  <c r="F486" i="3"/>
  <c r="X257" i="3"/>
  <c r="G262" i="1"/>
  <c r="I262" i="1" s="1"/>
  <c r="W258" i="3"/>
  <c r="J261" i="1"/>
  <c r="F17" i="14" l="1"/>
  <c r="E17" i="14" s="1"/>
  <c r="G124" i="1"/>
  <c r="I124" i="1" s="1"/>
  <c r="J123" i="1"/>
  <c r="W121" i="3"/>
  <c r="X120" i="3"/>
  <c r="E487" i="3" s="1"/>
  <c r="D487" i="3"/>
  <c r="F487" i="3"/>
  <c r="X258" i="3"/>
  <c r="E576" i="3" s="1"/>
  <c r="F576" i="3"/>
  <c r="D576" i="3"/>
  <c r="W259" i="3"/>
  <c r="G263" i="1"/>
  <c r="I263" i="1" s="1"/>
  <c r="J262" i="1"/>
  <c r="G17" i="14" l="1"/>
  <c r="X121" i="3"/>
  <c r="G125" i="1"/>
  <c r="I125" i="1" s="1"/>
  <c r="W122" i="3"/>
  <c r="J124" i="1"/>
  <c r="X259" i="3"/>
  <c r="G264" i="1"/>
  <c r="I264" i="1" s="1"/>
  <c r="W260" i="3"/>
  <c r="J263" i="1"/>
  <c r="X122" i="3" l="1"/>
  <c r="E488" i="3" s="1"/>
  <c r="D488" i="3"/>
  <c r="F488" i="3"/>
  <c r="G126" i="1"/>
  <c r="I126" i="1" s="1"/>
  <c r="W123" i="3"/>
  <c r="J125" i="1"/>
  <c r="X260" i="3"/>
  <c r="E577" i="3" s="1"/>
  <c r="D577" i="3"/>
  <c r="F577" i="3"/>
  <c r="G265" i="1"/>
  <c r="I265" i="1" s="1"/>
  <c r="W261" i="3"/>
  <c r="J264" i="1"/>
  <c r="X123" i="3" l="1"/>
  <c r="G127" i="1"/>
  <c r="I127" i="1" s="1"/>
  <c r="W124" i="3"/>
  <c r="J126" i="1"/>
  <c r="X261" i="3"/>
  <c r="G266" i="1"/>
  <c r="I266" i="1" s="1"/>
  <c r="W262" i="3"/>
  <c r="J265" i="1"/>
  <c r="F489" i="3" l="1"/>
  <c r="X124" i="3"/>
  <c r="E489" i="3" s="1"/>
  <c r="D489" i="3"/>
  <c r="G128" i="1"/>
  <c r="I128" i="1" s="1"/>
  <c r="W125" i="3"/>
  <c r="J127" i="1"/>
  <c r="X262" i="3"/>
  <c r="E578" i="3" s="1"/>
  <c r="D578" i="3"/>
  <c r="F578" i="3"/>
  <c r="G267" i="1"/>
  <c r="I267" i="1" s="1"/>
  <c r="W263" i="3"/>
  <c r="J266" i="1"/>
  <c r="X125" i="3" l="1"/>
  <c r="G129" i="1"/>
  <c r="I129" i="1" s="1"/>
  <c r="J128" i="1"/>
  <c r="W126" i="3"/>
  <c r="X263" i="3"/>
  <c r="G268" i="1"/>
  <c r="I268" i="1" s="1"/>
  <c r="W264" i="3"/>
  <c r="J267" i="1"/>
  <c r="D490" i="3" l="1"/>
  <c r="F490" i="3"/>
  <c r="X126" i="3"/>
  <c r="E490" i="3" s="1"/>
  <c r="G130" i="1"/>
  <c r="I130" i="1" s="1"/>
  <c r="J129" i="1"/>
  <c r="W127" i="3"/>
  <c r="X264" i="3"/>
  <c r="E579" i="3" s="1"/>
  <c r="F579" i="3"/>
  <c r="D579" i="3"/>
  <c r="G269" i="1"/>
  <c r="I269" i="1" s="1"/>
  <c r="W265" i="3"/>
  <c r="J268" i="1"/>
  <c r="X127" i="3" l="1"/>
  <c r="W128" i="3"/>
  <c r="G131" i="1"/>
  <c r="J130" i="1"/>
  <c r="X265" i="3"/>
  <c r="G270" i="1"/>
  <c r="I270" i="1" s="1"/>
  <c r="W266" i="3"/>
  <c r="J269" i="1"/>
  <c r="I131" i="1" l="1"/>
  <c r="G132" i="1"/>
  <c r="W129" i="3"/>
  <c r="J131" i="1"/>
  <c r="I132" i="1"/>
  <c r="X128" i="3"/>
  <c r="E491" i="3" s="1"/>
  <c r="D18" i="14"/>
  <c r="D491" i="3"/>
  <c r="F491" i="3"/>
  <c r="X266" i="3"/>
  <c r="E580" i="3" s="1"/>
  <c r="D580" i="3"/>
  <c r="F580" i="3"/>
  <c r="G271" i="1"/>
  <c r="I271" i="1" s="1"/>
  <c r="W267" i="3"/>
  <c r="J270" i="1"/>
  <c r="F18" i="14" l="1"/>
  <c r="E18" i="14" s="1"/>
  <c r="G133" i="1"/>
  <c r="I133" i="1" s="1"/>
  <c r="W130" i="3"/>
  <c r="J132" i="1"/>
  <c r="F492" i="3"/>
  <c r="X129" i="3"/>
  <c r="E492" i="3" s="1"/>
  <c r="D492" i="3"/>
  <c r="X267" i="3"/>
  <c r="G272" i="1"/>
  <c r="I272" i="1" s="1"/>
  <c r="W268" i="3"/>
  <c r="J271" i="1"/>
  <c r="G18" i="14" l="1"/>
  <c r="D493" i="3"/>
  <c r="F493" i="3"/>
  <c r="X130" i="3"/>
  <c r="E493" i="3" s="1"/>
  <c r="G134" i="1"/>
  <c r="I134" i="1" s="1"/>
  <c r="J133" i="1"/>
  <c r="W131" i="3"/>
  <c r="X268" i="3"/>
  <c r="E582" i="3" s="1"/>
  <c r="D582" i="3"/>
  <c r="F582" i="3"/>
  <c r="G273" i="1"/>
  <c r="I273" i="1" s="1"/>
  <c r="W269" i="3"/>
  <c r="J272" i="1"/>
  <c r="X131" i="3" l="1"/>
  <c r="G135" i="1"/>
  <c r="I135" i="1" s="1"/>
  <c r="J134" i="1"/>
  <c r="W132" i="3"/>
  <c r="X269" i="3"/>
  <c r="G274" i="1"/>
  <c r="I274" i="1" s="1"/>
  <c r="W270" i="3"/>
  <c r="J273" i="1"/>
  <c r="G136" i="1" l="1"/>
  <c r="I136" i="1" s="1"/>
  <c r="W133" i="3"/>
  <c r="J135" i="1"/>
  <c r="F494" i="3"/>
  <c r="D494" i="3"/>
  <c r="X132" i="3"/>
  <c r="E494" i="3" s="1"/>
  <c r="X270" i="3"/>
  <c r="E583" i="3" s="1"/>
  <c r="D583" i="3"/>
  <c r="F583" i="3"/>
  <c r="G275" i="1"/>
  <c r="I275" i="1" s="1"/>
  <c r="W271" i="3"/>
  <c r="J274" i="1"/>
  <c r="X133" i="3" l="1"/>
  <c r="G137" i="1"/>
  <c r="I137" i="1" s="1"/>
  <c r="W134" i="3"/>
  <c r="J136" i="1"/>
  <c r="X271" i="3"/>
  <c r="G276" i="1"/>
  <c r="I276" i="1" s="1"/>
  <c r="W272" i="3"/>
  <c r="J275" i="1"/>
  <c r="X134" i="3" l="1"/>
  <c r="E496" i="3" s="1"/>
  <c r="D496" i="3"/>
  <c r="F496" i="3"/>
  <c r="G138" i="1"/>
  <c r="I138" i="1" s="1"/>
  <c r="W135" i="3"/>
  <c r="J137" i="1"/>
  <c r="X272" i="3"/>
  <c r="E584" i="3" s="1"/>
  <c r="D584" i="3"/>
  <c r="F584" i="3"/>
  <c r="G277" i="1"/>
  <c r="I277" i="1" s="1"/>
  <c r="W273" i="3"/>
  <c r="J276" i="1"/>
  <c r="X135" i="3" l="1"/>
  <c r="W136" i="3"/>
  <c r="G139" i="1"/>
  <c r="J138" i="1"/>
  <c r="X273" i="3"/>
  <c r="G278" i="1"/>
  <c r="I278" i="1" s="1"/>
  <c r="W274" i="3"/>
  <c r="J277" i="1"/>
  <c r="I139" i="1" l="1"/>
  <c r="G140" i="1"/>
  <c r="I140" i="1" s="1"/>
  <c r="W137" i="3"/>
  <c r="J139" i="1"/>
  <c r="X136" i="3"/>
  <c r="E497" i="3" s="1"/>
  <c r="D19" i="14"/>
  <c r="D497" i="3"/>
  <c r="F497" i="3"/>
  <c r="X274" i="3"/>
  <c r="E585" i="3" s="1"/>
  <c r="D585" i="3"/>
  <c r="F585" i="3"/>
  <c r="G279" i="1"/>
  <c r="I279" i="1" s="1"/>
  <c r="W275" i="3"/>
  <c r="J278" i="1"/>
  <c r="F19" i="14" l="1"/>
  <c r="E19" i="14" s="1"/>
  <c r="G19" i="14"/>
  <c r="G141" i="1"/>
  <c r="I141" i="1" s="1"/>
  <c r="W138" i="3"/>
  <c r="J140" i="1"/>
  <c r="F498" i="3"/>
  <c r="X137" i="3"/>
  <c r="E498" i="3" s="1"/>
  <c r="D498" i="3"/>
  <c r="X275" i="3"/>
  <c r="G280" i="1"/>
  <c r="I280" i="1" s="1"/>
  <c r="W276" i="3"/>
  <c r="J279" i="1"/>
  <c r="X138" i="3" l="1"/>
  <c r="E499" i="3" s="1"/>
  <c r="D499" i="3"/>
  <c r="F499" i="3"/>
  <c r="G142" i="1"/>
  <c r="I142" i="1" s="1"/>
  <c r="J141" i="1"/>
  <c r="W139" i="3"/>
  <c r="X276" i="3"/>
  <c r="E586" i="3" s="1"/>
  <c r="F586" i="3"/>
  <c r="D586" i="3"/>
  <c r="G281" i="1"/>
  <c r="I281" i="1" s="1"/>
  <c r="W277" i="3"/>
  <c r="J280" i="1"/>
  <c r="F4" i="7" l="1"/>
  <c r="F5" i="7" s="1"/>
  <c r="P91" i="7"/>
  <c r="G143" i="1"/>
  <c r="I143" i="1" s="1"/>
  <c r="W140" i="3"/>
  <c r="J142" i="1"/>
  <c r="X139" i="3"/>
  <c r="X277" i="3"/>
  <c r="G282" i="1"/>
  <c r="I282" i="1" s="1"/>
  <c r="W278" i="3"/>
  <c r="J281" i="1"/>
  <c r="G5" i="7" l="1"/>
  <c r="F6" i="7"/>
  <c r="AA5" i="7"/>
  <c r="F500" i="3"/>
  <c r="X140" i="3"/>
  <c r="E500" i="3" s="1"/>
  <c r="D500" i="3"/>
  <c r="G144" i="1"/>
  <c r="I144" i="1" s="1"/>
  <c r="J143" i="1"/>
  <c r="W141" i="3"/>
  <c r="X278" i="3"/>
  <c r="E587" i="3" s="1"/>
  <c r="D587" i="3"/>
  <c r="F587" i="3"/>
  <c r="G283" i="1"/>
  <c r="I283" i="1" s="1"/>
  <c r="W279" i="3"/>
  <c r="J282" i="1"/>
  <c r="AB5" i="7" l="1"/>
  <c r="M91" i="7" s="1"/>
  <c r="N91" i="7"/>
  <c r="L91" i="7" s="1"/>
  <c r="G6" i="7"/>
  <c r="AA6" i="7"/>
  <c r="F7" i="7"/>
  <c r="X141" i="3"/>
  <c r="J144" i="1"/>
  <c r="G145" i="1"/>
  <c r="I145" i="1" s="1"/>
  <c r="W142" i="3"/>
  <c r="X279" i="3"/>
  <c r="G284" i="1"/>
  <c r="I284" i="1" s="1"/>
  <c r="W280" i="3"/>
  <c r="J283" i="1"/>
  <c r="AA7" i="7" l="1"/>
  <c r="G7" i="7"/>
  <c r="F8" i="7"/>
  <c r="AB6" i="7"/>
  <c r="M92" i="7" s="1"/>
  <c r="N92" i="7"/>
  <c r="L92" i="7" s="1"/>
  <c r="W143" i="3"/>
  <c r="G146" i="1"/>
  <c r="J145" i="1"/>
  <c r="F501" i="3"/>
  <c r="D501" i="3"/>
  <c r="X142" i="3"/>
  <c r="E501" i="3" s="1"/>
  <c r="X280" i="3"/>
  <c r="E589" i="3" s="1"/>
  <c r="D589" i="3"/>
  <c r="F589" i="3"/>
  <c r="G285" i="1"/>
  <c r="I285" i="1" s="1"/>
  <c r="W281" i="3"/>
  <c r="J284" i="1"/>
  <c r="I146" i="1" l="1"/>
  <c r="G147" i="1"/>
  <c r="G8" i="7"/>
  <c r="AA8" i="7"/>
  <c r="F9" i="7"/>
  <c r="AB7" i="7"/>
  <c r="M93" i="7" s="1"/>
  <c r="N93" i="7"/>
  <c r="L93" i="7" s="1"/>
  <c r="W144" i="3"/>
  <c r="J146" i="1"/>
  <c r="I147" i="1"/>
  <c r="D20" i="14"/>
  <c r="D502" i="3"/>
  <c r="X143" i="3"/>
  <c r="E502" i="3" s="1"/>
  <c r="F502" i="3"/>
  <c r="X281" i="3"/>
  <c r="G286" i="1"/>
  <c r="I286" i="1" s="1"/>
  <c r="W282" i="3"/>
  <c r="J285" i="1"/>
  <c r="F20" i="14" l="1"/>
  <c r="E20" i="14" s="1"/>
  <c r="AA9" i="7"/>
  <c r="F10" i="7"/>
  <c r="G9" i="7"/>
  <c r="AB8" i="7"/>
  <c r="M94" i="7" s="1"/>
  <c r="N94" i="7"/>
  <c r="L94" i="7" s="1"/>
  <c r="G148" i="1"/>
  <c r="I148" i="1" s="1"/>
  <c r="W145" i="3"/>
  <c r="J147" i="1"/>
  <c r="X144" i="3"/>
  <c r="E503" i="3" s="1"/>
  <c r="D503" i="3"/>
  <c r="F503" i="3"/>
  <c r="X282" i="3"/>
  <c r="E590" i="3" s="1"/>
  <c r="D590" i="3"/>
  <c r="F590" i="3"/>
  <c r="G287" i="1"/>
  <c r="I287" i="1" s="1"/>
  <c r="W283" i="3"/>
  <c r="J286" i="1"/>
  <c r="G20" i="14" l="1"/>
  <c r="G10" i="7"/>
  <c r="AA10" i="7"/>
  <c r="F11" i="7"/>
  <c r="AB9" i="7"/>
  <c r="M95" i="7" s="1"/>
  <c r="N95" i="7"/>
  <c r="L95" i="7" s="1"/>
  <c r="F504" i="3"/>
  <c r="X145" i="3"/>
  <c r="E504" i="3" s="1"/>
  <c r="D504" i="3"/>
  <c r="G149" i="1"/>
  <c r="I149" i="1" s="1"/>
  <c r="J148" i="1"/>
  <c r="W146" i="3"/>
  <c r="X283" i="3"/>
  <c r="G288" i="1"/>
  <c r="I288" i="1" s="1"/>
  <c r="W284" i="3"/>
  <c r="J287" i="1"/>
  <c r="G11" i="7" l="1"/>
  <c r="AA11" i="7"/>
  <c r="F12" i="7"/>
  <c r="N96" i="7"/>
  <c r="L96" i="7" s="1"/>
  <c r="AB10" i="7"/>
  <c r="M96" i="7" s="1"/>
  <c r="X146" i="3"/>
  <c r="G150" i="1"/>
  <c r="I150" i="1" s="1"/>
  <c r="W147" i="3"/>
  <c r="J149" i="1"/>
  <c r="X284" i="3"/>
  <c r="E591" i="3" s="1"/>
  <c r="D591" i="3"/>
  <c r="F591" i="3"/>
  <c r="G289" i="1"/>
  <c r="I289" i="1" s="1"/>
  <c r="W285" i="3"/>
  <c r="J288" i="1"/>
  <c r="G12" i="7" l="1"/>
  <c r="AA12" i="7"/>
  <c r="F13" i="7"/>
  <c r="N97" i="7"/>
  <c r="L97" i="7" s="1"/>
  <c r="AB11" i="7"/>
  <c r="M97" i="7" s="1"/>
  <c r="X147" i="3"/>
  <c r="E505" i="3" s="1"/>
  <c r="F505" i="3"/>
  <c r="D505" i="3"/>
  <c r="G151" i="1"/>
  <c r="I151" i="1" s="1"/>
  <c r="J150" i="1"/>
  <c r="W148" i="3"/>
  <c r="X285" i="3"/>
  <c r="G290" i="1"/>
  <c r="I290" i="1" s="1"/>
  <c r="W286" i="3"/>
  <c r="J289" i="1"/>
  <c r="G13" i="7" l="1"/>
  <c r="AA13" i="7"/>
  <c r="F14" i="7"/>
  <c r="AB12" i="7"/>
  <c r="M99" i="7" s="1"/>
  <c r="N99" i="7"/>
  <c r="L99" i="7" s="1"/>
  <c r="X148" i="3"/>
  <c r="G152" i="1"/>
  <c r="I152" i="1" s="1"/>
  <c r="J151" i="1"/>
  <c r="W149" i="3"/>
  <c r="X286" i="3"/>
  <c r="E592" i="3" s="1"/>
  <c r="D592" i="3"/>
  <c r="F592" i="3"/>
  <c r="G291" i="1"/>
  <c r="I291" i="1" s="1"/>
  <c r="W287" i="3"/>
  <c r="J290" i="1"/>
  <c r="G14" i="7" l="1"/>
  <c r="AA14" i="7"/>
  <c r="F15" i="7"/>
  <c r="AB13" i="7"/>
  <c r="M100" i="7" s="1"/>
  <c r="N100" i="7"/>
  <c r="L100" i="7" s="1"/>
  <c r="F507" i="3"/>
  <c r="D507" i="3"/>
  <c r="X149" i="3"/>
  <c r="E507" i="3" s="1"/>
  <c r="G153" i="1"/>
  <c r="I153" i="1" s="1"/>
  <c r="W150" i="3"/>
  <c r="J152" i="1"/>
  <c r="X287" i="3"/>
  <c r="G292" i="1"/>
  <c r="I292" i="1" s="1"/>
  <c r="W288" i="3"/>
  <c r="J291" i="1"/>
  <c r="G15" i="7" l="1"/>
  <c r="AA15" i="7"/>
  <c r="F16" i="7"/>
  <c r="AB14" i="7"/>
  <c r="M101" i="7" s="1"/>
  <c r="N101" i="7"/>
  <c r="L101" i="7" s="1"/>
  <c r="X150" i="3"/>
  <c r="G154" i="1"/>
  <c r="I154" i="1" s="1"/>
  <c r="J153" i="1"/>
  <c r="W151" i="3"/>
  <c r="X288" i="3"/>
  <c r="E593" i="3" s="1"/>
  <c r="F593" i="3"/>
  <c r="D593" i="3"/>
  <c r="G293" i="1"/>
  <c r="I293" i="1" s="1"/>
  <c r="W289" i="3"/>
  <c r="J292" i="1"/>
  <c r="G16" i="7" l="1"/>
  <c r="F17" i="7"/>
  <c r="AA16" i="7"/>
  <c r="N102" i="7"/>
  <c r="L102" i="7" s="1"/>
  <c r="AB15" i="7"/>
  <c r="M102" i="7" s="1"/>
  <c r="F508" i="3"/>
  <c r="X151" i="3"/>
  <c r="E508" i="3" s="1"/>
  <c r="D508" i="3"/>
  <c r="G155" i="1"/>
  <c r="I155" i="1" s="1"/>
  <c r="J154" i="1"/>
  <c r="W152" i="3"/>
  <c r="X289" i="3"/>
  <c r="G294" i="1"/>
  <c r="I294" i="1" s="1"/>
  <c r="W290" i="3"/>
  <c r="J293" i="1"/>
  <c r="AB16" i="7" l="1"/>
  <c r="M103" i="7" s="1"/>
  <c r="N103" i="7"/>
  <c r="L103" i="7" s="1"/>
  <c r="G17" i="7"/>
  <c r="AA17" i="7"/>
  <c r="F18" i="7"/>
  <c r="X152" i="3"/>
  <c r="W153" i="3"/>
  <c r="J155" i="1"/>
  <c r="G156" i="1"/>
  <c r="X290" i="3"/>
  <c r="E594" i="3" s="1"/>
  <c r="D594" i="3"/>
  <c r="F594" i="3"/>
  <c r="G295" i="1"/>
  <c r="I295" i="1" s="1"/>
  <c r="W291" i="3"/>
  <c r="J294" i="1"/>
  <c r="I156" i="1" l="1"/>
  <c r="G157" i="1"/>
  <c r="G18" i="7"/>
  <c r="AA18" i="7"/>
  <c r="F19" i="7"/>
  <c r="AB17" i="7"/>
  <c r="M104" i="7" s="1"/>
  <c r="N104" i="7"/>
  <c r="L104" i="7" s="1"/>
  <c r="X153" i="3"/>
  <c r="E509" i="3" s="1"/>
  <c r="D509" i="3"/>
  <c r="D21" i="14"/>
  <c r="F509" i="3"/>
  <c r="W154" i="3"/>
  <c r="J156" i="1"/>
  <c r="I157" i="1"/>
  <c r="X291" i="3"/>
  <c r="G296" i="1"/>
  <c r="I296" i="1" s="1"/>
  <c r="W292" i="3"/>
  <c r="J295" i="1"/>
  <c r="F21" i="14" l="1"/>
  <c r="E21" i="14" s="1"/>
  <c r="G21" i="14"/>
  <c r="G19" i="7"/>
  <c r="AA19" i="7"/>
  <c r="F20" i="7"/>
  <c r="N106" i="7"/>
  <c r="L106" i="7" s="1"/>
  <c r="AB18" i="7"/>
  <c r="M106" i="7" s="1"/>
  <c r="G158" i="1"/>
  <c r="I158" i="1" s="1"/>
  <c r="J157" i="1"/>
  <c r="W155" i="3"/>
  <c r="D510" i="3"/>
  <c r="X154" i="3"/>
  <c r="E510" i="3" s="1"/>
  <c r="F510" i="3"/>
  <c r="X292" i="3"/>
  <c r="E596" i="3" s="1"/>
  <c r="D596" i="3"/>
  <c r="F596" i="3"/>
  <c r="G297" i="1"/>
  <c r="I297" i="1" s="1"/>
  <c r="W293" i="3"/>
  <c r="J296" i="1"/>
  <c r="G20" i="7" l="1"/>
  <c r="AA20" i="7"/>
  <c r="F21" i="7"/>
  <c r="AB19" i="7"/>
  <c r="M107" i="7" s="1"/>
  <c r="N107" i="7"/>
  <c r="L107" i="7" s="1"/>
  <c r="F511" i="3"/>
  <c r="X155" i="3"/>
  <c r="E511" i="3" s="1"/>
  <c r="D511" i="3"/>
  <c r="G159" i="1"/>
  <c r="I159" i="1" s="1"/>
  <c r="W156" i="3"/>
  <c r="J158" i="1"/>
  <c r="X293" i="3"/>
  <c r="G298" i="1"/>
  <c r="I298" i="1" s="1"/>
  <c r="W294" i="3"/>
  <c r="J297" i="1"/>
  <c r="G21" i="7" l="1"/>
  <c r="F22" i="7"/>
  <c r="AA21" i="7"/>
  <c r="N108" i="7"/>
  <c r="L108" i="7" s="1"/>
  <c r="AB20" i="7"/>
  <c r="M108" i="7" s="1"/>
  <c r="G160" i="1"/>
  <c r="I160" i="1" s="1"/>
  <c r="J159" i="1"/>
  <c r="W157" i="3"/>
  <c r="X156" i="3"/>
  <c r="X294" i="3"/>
  <c r="E597" i="3" s="1"/>
  <c r="D597" i="3"/>
  <c r="F597" i="3"/>
  <c r="G299" i="1"/>
  <c r="I299" i="1" s="1"/>
  <c r="W295" i="3"/>
  <c r="J298" i="1"/>
  <c r="N109" i="7" l="1"/>
  <c r="L109" i="7" s="1"/>
  <c r="AB21" i="7"/>
  <c r="M109" i="7" s="1"/>
  <c r="G22" i="7"/>
  <c r="F23" i="7"/>
  <c r="AA22" i="7"/>
  <c r="D512" i="3"/>
  <c r="F512" i="3"/>
  <c r="X157" i="3"/>
  <c r="E512" i="3" s="1"/>
  <c r="G161" i="1"/>
  <c r="W158" i="3"/>
  <c r="J160" i="1"/>
  <c r="X295" i="3"/>
  <c r="G300" i="1"/>
  <c r="I300" i="1" s="1"/>
  <c r="W296" i="3"/>
  <c r="J299" i="1"/>
  <c r="I161" i="1" l="1"/>
  <c r="G162" i="1"/>
  <c r="G23" i="7"/>
  <c r="AA23" i="7"/>
  <c r="F24" i="7"/>
  <c r="AB22" i="7"/>
  <c r="M110" i="7" s="1"/>
  <c r="N110" i="7"/>
  <c r="L110" i="7" s="1"/>
  <c r="X158" i="3"/>
  <c r="I162" i="1"/>
  <c r="J161" i="1"/>
  <c r="W159" i="3"/>
  <c r="X296" i="3"/>
  <c r="E598" i="3" s="1"/>
  <c r="D598" i="3"/>
  <c r="F598" i="3"/>
  <c r="G301" i="1"/>
  <c r="I301" i="1" s="1"/>
  <c r="W297" i="3"/>
  <c r="J300" i="1"/>
  <c r="G24" i="7" l="1"/>
  <c r="AA24" i="7"/>
  <c r="F25" i="7"/>
  <c r="N111" i="7"/>
  <c r="L111" i="7" s="1"/>
  <c r="AB23" i="7"/>
  <c r="M111" i="7" s="1"/>
  <c r="D22" i="14"/>
  <c r="F513" i="3"/>
  <c r="X159" i="3"/>
  <c r="E513" i="3" s="1"/>
  <c r="D513" i="3"/>
  <c r="J162" i="1"/>
  <c r="W160" i="3"/>
  <c r="X297" i="3"/>
  <c r="G302" i="1"/>
  <c r="I302" i="1" s="1"/>
  <c r="W298" i="3"/>
  <c r="J301" i="1"/>
  <c r="F22" i="14" l="1"/>
  <c r="E22" i="14" s="1"/>
  <c r="G25" i="7"/>
  <c r="F26" i="7"/>
  <c r="AA25" i="7"/>
  <c r="AB24" i="7"/>
  <c r="M113" i="7" s="1"/>
  <c r="N113" i="7"/>
  <c r="L113" i="7" s="1"/>
  <c r="D514" i="3"/>
  <c r="F514" i="3"/>
  <c r="X160" i="3"/>
  <c r="E514" i="3" s="1"/>
  <c r="X298" i="3"/>
  <c r="E599" i="3" s="1"/>
  <c r="D599" i="3"/>
  <c r="F599" i="3"/>
  <c r="G303" i="1"/>
  <c r="I303" i="1" s="1"/>
  <c r="W299" i="3"/>
  <c r="P100" i="8" s="1"/>
  <c r="J302" i="1"/>
  <c r="G22" i="14" l="1"/>
  <c r="G26" i="7"/>
  <c r="AA26" i="7"/>
  <c r="F27" i="7"/>
  <c r="N114" i="7"/>
  <c r="L114" i="7" s="1"/>
  <c r="AB25" i="7"/>
  <c r="M114" i="7" s="1"/>
  <c r="X299" i="3"/>
  <c r="G304" i="1"/>
  <c r="I304" i="1" s="1"/>
  <c r="W300" i="3"/>
  <c r="J303" i="1"/>
  <c r="G27" i="7" l="1"/>
  <c r="AA27" i="7"/>
  <c r="F28" i="7"/>
  <c r="N115" i="7"/>
  <c r="L115" i="7" s="1"/>
  <c r="AB26" i="7"/>
  <c r="M115" i="7" s="1"/>
  <c r="X300" i="3"/>
  <c r="E600" i="3" s="1"/>
  <c r="F600" i="3"/>
  <c r="D600" i="3"/>
  <c r="G305" i="1"/>
  <c r="I305" i="1" s="1"/>
  <c r="W301" i="3"/>
  <c r="J304" i="1"/>
  <c r="G28" i="7" l="1"/>
  <c r="AA28" i="7"/>
  <c r="F29" i="7"/>
  <c r="N116" i="7"/>
  <c r="L116" i="7" s="1"/>
  <c r="AB27" i="7"/>
  <c r="M116" i="7" s="1"/>
  <c r="X301" i="3"/>
  <c r="G306" i="1"/>
  <c r="I306" i="1" s="1"/>
  <c r="W302" i="3"/>
  <c r="J305" i="1"/>
  <c r="G29" i="7" l="1"/>
  <c r="AA29" i="7"/>
  <c r="F30" i="7"/>
  <c r="AB28" i="7"/>
  <c r="M117" i="7" s="1"/>
  <c r="N117" i="7"/>
  <c r="L117" i="7" s="1"/>
  <c r="X302" i="3"/>
  <c r="E601" i="3" s="1"/>
  <c r="D601" i="3"/>
  <c r="F601" i="3"/>
  <c r="G307" i="1"/>
  <c r="I307" i="1" s="1"/>
  <c r="W303" i="3"/>
  <c r="J306" i="1"/>
  <c r="G30" i="7" l="1"/>
  <c r="AA30" i="7"/>
  <c r="F31" i="7"/>
  <c r="N118" i="7"/>
  <c r="L118" i="7" s="1"/>
  <c r="AB29" i="7"/>
  <c r="M118" i="7" s="1"/>
  <c r="X303" i="3"/>
  <c r="G308" i="1"/>
  <c r="I308" i="1" s="1"/>
  <c r="W304" i="3"/>
  <c r="J307" i="1"/>
  <c r="G31" i="7" l="1"/>
  <c r="AA31" i="7"/>
  <c r="F32" i="7"/>
  <c r="AB30" i="7"/>
  <c r="M120" i="7" s="1"/>
  <c r="N120" i="7"/>
  <c r="L120" i="7" s="1"/>
  <c r="X304" i="3"/>
  <c r="E603" i="3" s="1"/>
  <c r="D603" i="3"/>
  <c r="F603" i="3"/>
  <c r="G309" i="1"/>
  <c r="I309" i="1" s="1"/>
  <c r="W305" i="3"/>
  <c r="J308" i="1"/>
  <c r="G32" i="7" l="1"/>
  <c r="F33" i="7"/>
  <c r="AA32" i="7"/>
  <c r="AB31" i="7"/>
  <c r="M121" i="7" s="1"/>
  <c r="N121" i="7"/>
  <c r="L121" i="7" s="1"/>
  <c r="X305" i="3"/>
  <c r="G310" i="1"/>
  <c r="I310" i="1" s="1"/>
  <c r="W306" i="3"/>
  <c r="J309" i="1"/>
  <c r="N122" i="7" l="1"/>
  <c r="L122" i="7" s="1"/>
  <c r="AB32" i="7"/>
  <c r="M122" i="7" s="1"/>
  <c r="G33" i="7"/>
  <c r="AA33" i="7"/>
  <c r="F34" i="7"/>
  <c r="X306" i="3"/>
  <c r="E604" i="3" s="1"/>
  <c r="D604" i="3"/>
  <c r="F604" i="3"/>
  <c r="G311" i="1"/>
  <c r="I311" i="1" s="1"/>
  <c r="W307" i="3"/>
  <c r="J310" i="1"/>
  <c r="G34" i="7" l="1"/>
  <c r="F35" i="7"/>
  <c r="AA34" i="7"/>
  <c r="AB33" i="7"/>
  <c r="M123" i="7" s="1"/>
  <c r="N123" i="7"/>
  <c r="L123" i="7" s="1"/>
  <c r="X307" i="3"/>
  <c r="G312" i="1"/>
  <c r="I312" i="1" s="1"/>
  <c r="W308" i="3"/>
  <c r="J311" i="1"/>
  <c r="AB34" i="7" l="1"/>
  <c r="M124" i="7" s="1"/>
  <c r="N124" i="7"/>
  <c r="L124" i="7" s="1"/>
  <c r="G35" i="7"/>
  <c r="AA35" i="7"/>
  <c r="X308" i="3"/>
  <c r="E605" i="3" s="1"/>
  <c r="D605" i="3"/>
  <c r="F605" i="3"/>
  <c r="G313" i="1"/>
  <c r="I313" i="1" s="1"/>
  <c r="W309" i="3"/>
  <c r="J312" i="1"/>
  <c r="AB35" i="7" l="1"/>
  <c r="M125" i="7" s="1"/>
  <c r="N125" i="7"/>
  <c r="L125" i="7" s="1"/>
  <c r="X309" i="3"/>
  <c r="G314" i="1"/>
  <c r="I314" i="1" s="1"/>
  <c r="W310" i="3"/>
  <c r="J313" i="1"/>
  <c r="X310" i="3" l="1"/>
  <c r="E606" i="3" s="1"/>
  <c r="D606" i="3"/>
  <c r="F606" i="3"/>
  <c r="G315" i="1"/>
  <c r="I315" i="1" s="1"/>
  <c r="W311" i="3"/>
  <c r="J314" i="1"/>
  <c r="X311" i="3" l="1"/>
  <c r="G316" i="1"/>
  <c r="I316" i="1" s="1"/>
  <c r="W312" i="3"/>
  <c r="J315" i="1"/>
  <c r="X312" i="3" l="1"/>
  <c r="E607" i="3" s="1"/>
  <c r="F607" i="3"/>
  <c r="D607" i="3"/>
  <c r="G317" i="1"/>
  <c r="I317" i="1" s="1"/>
  <c r="W313" i="3"/>
  <c r="J316" i="1"/>
  <c r="X313" i="3" l="1"/>
  <c r="G318" i="1"/>
  <c r="I318" i="1" s="1"/>
  <c r="W314" i="3"/>
  <c r="J317" i="1"/>
  <c r="X314" i="3" l="1"/>
  <c r="E608" i="3" s="1"/>
  <c r="D608" i="3"/>
  <c r="F608" i="3"/>
  <c r="G319" i="1"/>
  <c r="I319" i="1" s="1"/>
  <c r="W315" i="3"/>
  <c r="J318" i="1"/>
  <c r="X315" i="3" l="1"/>
  <c r="G320" i="1"/>
  <c r="I320" i="1" s="1"/>
  <c r="W316" i="3"/>
  <c r="J319" i="1"/>
  <c r="X316" i="3" l="1"/>
  <c r="E610" i="3" s="1"/>
  <c r="F610" i="3"/>
  <c r="D610" i="3"/>
  <c r="G321" i="1"/>
  <c r="I321" i="1" s="1"/>
  <c r="W317" i="3"/>
  <c r="J320" i="1"/>
  <c r="X317" i="3" l="1"/>
  <c r="G322" i="1"/>
  <c r="I322" i="1" s="1"/>
  <c r="W318" i="3"/>
  <c r="J321" i="1"/>
  <c r="X318" i="3" l="1"/>
  <c r="E611" i="3" s="1"/>
  <c r="D611" i="3"/>
  <c r="F611" i="3"/>
  <c r="G323" i="1"/>
  <c r="I323" i="1" s="1"/>
  <c r="W319" i="3"/>
  <c r="J322" i="1"/>
  <c r="X319" i="3" l="1"/>
  <c r="G324" i="1"/>
  <c r="I324" i="1" s="1"/>
  <c r="W320" i="3"/>
  <c r="J323" i="1"/>
  <c r="X320" i="3" l="1"/>
  <c r="E612" i="3" s="1"/>
  <c r="D612" i="3"/>
  <c r="F612" i="3"/>
  <c r="G325" i="1"/>
  <c r="I325" i="1" s="1"/>
  <c r="W321" i="3"/>
  <c r="J324" i="1"/>
  <c r="X321" i="3" l="1"/>
  <c r="G326" i="1"/>
  <c r="I326" i="1" s="1"/>
  <c r="W322" i="3"/>
  <c r="J325" i="1"/>
  <c r="X322" i="3" l="1"/>
  <c r="E613" i="3" s="1"/>
  <c r="D613" i="3"/>
  <c r="F613" i="3"/>
  <c r="G327" i="1"/>
  <c r="I327" i="1" s="1"/>
  <c r="W323" i="3"/>
  <c r="J326" i="1"/>
  <c r="X323" i="3" l="1"/>
  <c r="G328" i="1"/>
  <c r="I328" i="1" s="1"/>
  <c r="W324" i="3"/>
  <c r="J327" i="1"/>
  <c r="X324" i="3" l="1"/>
  <c r="E614" i="3" s="1"/>
  <c r="F614" i="3"/>
  <c r="D614" i="3"/>
  <c r="G329" i="1"/>
  <c r="I329" i="1" s="1"/>
  <c r="W325" i="3"/>
  <c r="J328" i="1"/>
  <c r="X325" i="3" l="1"/>
  <c r="G330" i="1"/>
  <c r="I330" i="1" s="1"/>
  <c r="W326" i="3"/>
  <c r="J329" i="1"/>
  <c r="X326" i="3" l="1"/>
  <c r="E615" i="3" s="1"/>
  <c r="D615" i="3"/>
  <c r="F615" i="3"/>
  <c r="G331" i="1"/>
  <c r="I331" i="1" s="1"/>
  <c r="W327" i="3"/>
  <c r="J330" i="1"/>
  <c r="X327" i="3" l="1"/>
  <c r="W328" i="3"/>
  <c r="P56" i="9" s="1"/>
  <c r="J331" i="1"/>
  <c r="X328" i="3" l="1"/>
  <c r="E616" i="3" s="1"/>
  <c r="F616" i="3"/>
  <c r="D616" i="3"/>
</calcChain>
</file>

<file path=xl/sharedStrings.xml><?xml version="1.0" encoding="utf-8"?>
<sst xmlns="http://schemas.openxmlformats.org/spreadsheetml/2006/main" count="2884" uniqueCount="884">
  <si>
    <t>桩号m</t>
  </si>
  <si>
    <t>地面线</t>
  </si>
  <si>
    <t>K0+000</t>
  </si>
  <si>
    <t>K0+010</t>
  </si>
  <si>
    <t>K0+013</t>
  </si>
  <si>
    <t>K0+020</t>
  </si>
  <si>
    <t>K0+030</t>
  </si>
  <si>
    <t>K0+040</t>
  </si>
  <si>
    <t>K0+050</t>
  </si>
  <si>
    <t>K0+100</t>
  </si>
  <si>
    <t>K0+150</t>
  </si>
  <si>
    <t>K0+200</t>
  </si>
  <si>
    <t>K0+210</t>
  </si>
  <si>
    <t>K0+460</t>
  </si>
  <si>
    <t>K0+464</t>
  </si>
  <si>
    <t>K0+500</t>
  </si>
  <si>
    <t>K0+550</t>
  </si>
  <si>
    <t>K0+600</t>
  </si>
  <si>
    <t>K0+610</t>
  </si>
  <si>
    <t>K0+710</t>
  </si>
  <si>
    <t>K0+750</t>
  </si>
  <si>
    <t>K0+800</t>
  </si>
  <si>
    <t>K0+850</t>
  </si>
  <si>
    <t>K0+880</t>
  </si>
  <si>
    <t>K0+940</t>
  </si>
  <si>
    <t>K0+950</t>
  </si>
  <si>
    <t>K1+000</t>
  </si>
  <si>
    <t>K1+050</t>
  </si>
  <si>
    <t>K1+100</t>
  </si>
  <si>
    <t>K1+150</t>
  </si>
  <si>
    <t>K1+250</t>
  </si>
  <si>
    <t>K1+260</t>
  </si>
  <si>
    <t>K1+450</t>
  </si>
  <si>
    <t>K1+500</t>
  </si>
  <si>
    <t>K1+510</t>
  </si>
  <si>
    <t>K1+600</t>
  </si>
  <si>
    <t>K1+620</t>
  </si>
  <si>
    <t>K1+630</t>
  </si>
  <si>
    <t>K1+650</t>
  </si>
  <si>
    <t>K1+700</t>
  </si>
  <si>
    <t>K1+800</t>
  </si>
  <si>
    <t>K1+850</t>
  </si>
  <si>
    <t>K1+900</t>
  </si>
  <si>
    <t>K1+950</t>
  </si>
  <si>
    <t>K2+000</t>
  </si>
  <si>
    <t>K2+050</t>
  </si>
  <si>
    <t>K2+100</t>
  </si>
  <si>
    <t>K2+120</t>
  </si>
  <si>
    <t>K2+150</t>
  </si>
  <si>
    <t>K2+200</t>
  </si>
  <si>
    <t>K2+250</t>
  </si>
  <si>
    <t>K2+300</t>
  </si>
  <si>
    <t>K2+310</t>
  </si>
  <si>
    <t>K2+320</t>
  </si>
  <si>
    <t>K2+330</t>
  </si>
  <si>
    <t>K2+340</t>
  </si>
  <si>
    <t>K2+350</t>
  </si>
  <si>
    <t>K2+400</t>
  </si>
  <si>
    <t>K2+450</t>
  </si>
  <si>
    <t>K2+500</t>
  </si>
  <si>
    <t>K2+550</t>
  </si>
  <si>
    <t>K2+560</t>
  </si>
  <si>
    <t>K2+600</t>
  </si>
  <si>
    <t>K2+650</t>
  </si>
  <si>
    <t>K2+700</t>
  </si>
  <si>
    <t>K2+750</t>
  </si>
  <si>
    <t>K2+800</t>
  </si>
  <si>
    <t>K2+810</t>
  </si>
  <si>
    <t>K2+817</t>
  </si>
  <si>
    <t>K2+820</t>
  </si>
  <si>
    <t>K2+850</t>
  </si>
  <si>
    <t>K2+900</t>
  </si>
  <si>
    <t>K2+950</t>
  </si>
  <si>
    <t>K3+000</t>
  </si>
  <si>
    <t>K3+050</t>
  </si>
  <si>
    <t>K3+100</t>
  </si>
  <si>
    <t>K3+150</t>
  </si>
  <si>
    <t>K3+190</t>
  </si>
  <si>
    <t>K3+200</t>
  </si>
  <si>
    <t>K3+250</t>
  </si>
  <si>
    <t>K3+300</t>
  </si>
  <si>
    <t>K3+350</t>
  </si>
  <si>
    <t>K3+400</t>
  </si>
  <si>
    <t>K3+430</t>
  </si>
  <si>
    <t>K3+440</t>
  </si>
  <si>
    <t>K3+450</t>
  </si>
  <si>
    <t>K3+500</t>
  </si>
  <si>
    <t>K3+550</t>
  </si>
  <si>
    <t>K3+600</t>
  </si>
  <si>
    <t>K3+650</t>
  </si>
  <si>
    <t>K3+700</t>
  </si>
  <si>
    <t>K3+730</t>
  </si>
  <si>
    <t>K3+750</t>
  </si>
  <si>
    <t>K3+800</t>
  </si>
  <si>
    <t>K3+850</t>
  </si>
  <si>
    <t>K3+900</t>
  </si>
  <si>
    <t>K3+950</t>
  </si>
  <si>
    <t>K4+000</t>
  </si>
  <si>
    <t>K4+050</t>
  </si>
  <si>
    <t>K4+080</t>
  </si>
  <si>
    <t>K4+100</t>
  </si>
  <si>
    <t>K4+150</t>
  </si>
  <si>
    <t>K4+200</t>
  </si>
  <si>
    <t>K4+250</t>
  </si>
  <si>
    <t>K4+300</t>
  </si>
  <si>
    <t>K4+350</t>
  </si>
  <si>
    <t>K4+360</t>
  </si>
  <si>
    <t>K4+400</t>
  </si>
  <si>
    <t>K4+450</t>
  </si>
  <si>
    <t>K4+500</t>
  </si>
  <si>
    <t>K4+550</t>
  </si>
  <si>
    <t>K4+600</t>
  </si>
  <si>
    <t>K4+650</t>
  </si>
  <si>
    <t>K4+700</t>
  </si>
  <si>
    <t>K4+750</t>
  </si>
  <si>
    <t>K4+800</t>
  </si>
  <si>
    <t>K4+850</t>
  </si>
  <si>
    <t>K4+900</t>
  </si>
  <si>
    <t>K4+950</t>
  </si>
  <si>
    <t>K5+000</t>
  </si>
  <si>
    <t>K5+050</t>
  </si>
  <si>
    <t>K5+060</t>
  </si>
  <si>
    <t>K5+100</t>
  </si>
  <si>
    <t>K5+150</t>
  </si>
  <si>
    <t>K5+200</t>
  </si>
  <si>
    <t>K5+250</t>
  </si>
  <si>
    <t>K5+290</t>
  </si>
  <si>
    <t>K5+300</t>
  </si>
  <si>
    <t>K5+350</t>
  </si>
  <si>
    <t>K5+400</t>
  </si>
  <si>
    <t>K5+450</t>
  </si>
  <si>
    <t>K5+500</t>
  </si>
  <si>
    <t>K5+550</t>
  </si>
  <si>
    <t>K5+600</t>
  </si>
  <si>
    <t>K5+650</t>
  </si>
  <si>
    <t>K5+700</t>
  </si>
  <si>
    <t>K5+750</t>
  </si>
  <si>
    <t>K5+800</t>
  </si>
  <si>
    <t>K5+850</t>
  </si>
  <si>
    <t>K5+900</t>
  </si>
  <si>
    <t>K5+950</t>
  </si>
  <si>
    <t>K6+000</t>
  </si>
  <si>
    <t>K6+050</t>
  </si>
  <si>
    <t>K6+100</t>
  </si>
  <si>
    <t>K6+150</t>
  </si>
  <si>
    <t>K6+200</t>
  </si>
  <si>
    <t>K6+250</t>
  </si>
  <si>
    <t>K6+300</t>
  </si>
  <si>
    <t>K6+350</t>
  </si>
  <si>
    <t>K6+400</t>
  </si>
  <si>
    <t>K6+420</t>
  </si>
  <si>
    <t>K6+450</t>
  </si>
  <si>
    <t>K6+500</t>
  </si>
  <si>
    <t>K6+550</t>
  </si>
  <si>
    <t>K6+600</t>
  </si>
  <si>
    <t>K6+650</t>
  </si>
  <si>
    <t>K6+700</t>
  </si>
  <si>
    <t>K6+750</t>
  </si>
  <si>
    <t>K6+800</t>
  </si>
  <si>
    <t>K6+850</t>
  </si>
  <si>
    <t>K6+900</t>
  </si>
  <si>
    <t>K6+950</t>
  </si>
  <si>
    <t>K7+000</t>
  </si>
  <si>
    <t>K7+050</t>
  </si>
  <si>
    <t>K7+100</t>
  </si>
  <si>
    <t>K7+150</t>
  </si>
  <si>
    <t>K7+200</t>
  </si>
  <si>
    <t>K7+250</t>
  </si>
  <si>
    <t>K7+300</t>
  </si>
  <si>
    <t>K7+310</t>
  </si>
  <si>
    <t>K7+350</t>
  </si>
  <si>
    <t>K7+400</t>
  </si>
  <si>
    <t>K7+450</t>
  </si>
  <si>
    <t>K7+500</t>
  </si>
  <si>
    <t>K7+550</t>
  </si>
  <si>
    <t>K7+600</t>
  </si>
  <si>
    <t>K7+650</t>
  </si>
  <si>
    <t>K7+700</t>
  </si>
  <si>
    <t>K7+750</t>
  </si>
  <si>
    <t>K7+800</t>
  </si>
  <si>
    <t>K7+850</t>
  </si>
  <si>
    <t>K7+900</t>
  </si>
  <si>
    <t>K7+950</t>
  </si>
  <si>
    <t>K8+000</t>
  </si>
  <si>
    <t>K8+050</t>
  </si>
  <si>
    <t>K8+100</t>
  </si>
  <si>
    <t>K8+150</t>
  </si>
  <si>
    <t>K8+200</t>
  </si>
  <si>
    <t>K8+250</t>
  </si>
  <si>
    <t>K8+300</t>
  </si>
  <si>
    <t>K8+350</t>
  </si>
  <si>
    <t>K8+400</t>
  </si>
  <si>
    <t>K8+450</t>
  </si>
  <si>
    <t>K8+500</t>
  </si>
  <si>
    <t>K8+550</t>
  </si>
  <si>
    <t>K8+600</t>
  </si>
  <si>
    <t>K8+650</t>
  </si>
  <si>
    <t>K8+700</t>
  </si>
  <si>
    <t>K8+750</t>
  </si>
  <si>
    <t>K8+800</t>
  </si>
  <si>
    <t>K8+850</t>
  </si>
  <si>
    <t>K8+900</t>
  </si>
  <si>
    <t>K8+950</t>
  </si>
  <si>
    <t>K9+000</t>
  </si>
  <si>
    <t>K9+050</t>
  </si>
  <si>
    <t>K9+100</t>
  </si>
  <si>
    <t>K9+150</t>
  </si>
  <si>
    <t>K9+200</t>
  </si>
  <si>
    <t>K9+250</t>
  </si>
  <si>
    <t>K9+300</t>
  </si>
  <si>
    <t>K9+350</t>
  </si>
  <si>
    <t>K9+400</t>
  </si>
  <si>
    <t>K9+450</t>
  </si>
  <si>
    <t>K9+500</t>
  </si>
  <si>
    <t>K9+550</t>
  </si>
  <si>
    <t>K9+600</t>
  </si>
  <si>
    <t>K9+650</t>
  </si>
  <si>
    <t>K9+700</t>
  </si>
  <si>
    <t>K9+750</t>
  </si>
  <si>
    <t>K9+800</t>
  </si>
  <si>
    <t>K9+850</t>
  </si>
  <si>
    <t>K9+900</t>
  </si>
  <si>
    <t>K9+950</t>
  </si>
  <si>
    <t>K10+000</t>
  </si>
  <si>
    <t>K10+050</t>
  </si>
  <si>
    <t>K10+100</t>
  </si>
  <si>
    <t>K10+150</t>
  </si>
  <si>
    <t>K10+200</t>
  </si>
  <si>
    <t>K10+250</t>
  </si>
  <si>
    <t>K10+300</t>
  </si>
  <si>
    <t>K10+350</t>
  </si>
  <si>
    <t>K10+400</t>
  </si>
  <si>
    <t>K10+450</t>
  </si>
  <si>
    <t>K10+500</t>
  </si>
  <si>
    <t>K10+550</t>
  </si>
  <si>
    <t>K10+600</t>
  </si>
  <si>
    <t>K10+650</t>
  </si>
  <si>
    <t>K10+700</t>
  </si>
  <si>
    <t>K10+750</t>
  </si>
  <si>
    <t>K10+800</t>
  </si>
  <si>
    <t>K10+850</t>
  </si>
  <si>
    <t>K10+900</t>
  </si>
  <si>
    <t>K10+950</t>
  </si>
  <si>
    <t>K11+000</t>
  </si>
  <si>
    <t>K11+050</t>
  </si>
  <si>
    <t>K11+100</t>
  </si>
  <si>
    <t>K11+150</t>
  </si>
  <si>
    <t>K11+200</t>
  </si>
  <si>
    <t>K11+250</t>
  </si>
  <si>
    <t>K11+300</t>
  </si>
  <si>
    <t>K11+350</t>
  </si>
  <si>
    <t>K11+400</t>
  </si>
  <si>
    <t>K11+450</t>
  </si>
  <si>
    <t>K11+500</t>
  </si>
  <si>
    <t>K11+550</t>
  </si>
  <si>
    <t>K11+600</t>
  </si>
  <si>
    <t>K11+650</t>
  </si>
  <si>
    <t>K11+700</t>
  </si>
  <si>
    <t>K11+750</t>
  </si>
  <si>
    <t>K11+800</t>
  </si>
  <si>
    <t>K11+850</t>
  </si>
  <si>
    <t>K11+900</t>
  </si>
  <si>
    <t>K11+950</t>
  </si>
  <si>
    <t>K12+000</t>
  </si>
  <si>
    <t>K12+050</t>
  </si>
  <si>
    <t>K12+100</t>
  </si>
  <si>
    <t>K12+150</t>
  </si>
  <si>
    <t>K12+200</t>
  </si>
  <si>
    <t>K12+250</t>
  </si>
  <si>
    <t>K12+300</t>
  </si>
  <si>
    <t>K12+350</t>
  </si>
  <si>
    <t>K12+400</t>
  </si>
  <si>
    <t>K12+450</t>
  </si>
  <si>
    <t>K12+500</t>
  </si>
  <si>
    <t>K12+550</t>
  </si>
  <si>
    <t>K12+600</t>
  </si>
  <si>
    <t>K12+650</t>
  </si>
  <si>
    <t>K12+700</t>
  </si>
  <si>
    <t>K12+750</t>
  </si>
  <si>
    <t>K12+800</t>
  </si>
  <si>
    <t>K12+850</t>
  </si>
  <si>
    <t>K12+900</t>
  </si>
  <si>
    <t>K12+950</t>
  </si>
  <si>
    <t>K13+000</t>
  </si>
  <si>
    <t>K13+050</t>
  </si>
  <si>
    <t>K13+100</t>
  </si>
  <si>
    <t>K13+150</t>
  </si>
  <si>
    <t>K13+200</t>
  </si>
  <si>
    <t>K13+250</t>
  </si>
  <si>
    <t>比降</t>
    <phoneticPr fontId="1" type="noConversion"/>
  </si>
  <si>
    <t>渠底</t>
    <phoneticPr fontId="1" type="noConversion"/>
  </si>
  <si>
    <t>地面</t>
    <phoneticPr fontId="1" type="noConversion"/>
  </si>
  <si>
    <t>灌水率</t>
    <phoneticPr fontId="1" type="noConversion"/>
  </si>
  <si>
    <t>利用系数</t>
    <phoneticPr fontId="1" type="noConversion"/>
  </si>
  <si>
    <t>干渠</t>
    <phoneticPr fontId="1" type="noConversion"/>
  </si>
  <si>
    <t>支渠</t>
    <phoneticPr fontId="1" type="noConversion"/>
  </si>
  <si>
    <t>斗渠</t>
    <phoneticPr fontId="1" type="noConversion"/>
  </si>
  <si>
    <t>渠系</t>
    <phoneticPr fontId="1" type="noConversion"/>
  </si>
  <si>
    <t>田间</t>
    <phoneticPr fontId="1" type="noConversion"/>
  </si>
  <si>
    <t>灌溉</t>
    <phoneticPr fontId="1" type="noConversion"/>
  </si>
  <si>
    <t>干渠流量</t>
    <phoneticPr fontId="1" type="noConversion"/>
  </si>
  <si>
    <t>现状干渠</t>
    <phoneticPr fontId="1" type="noConversion"/>
  </si>
  <si>
    <t>底宽</t>
    <phoneticPr fontId="1" type="noConversion"/>
  </si>
  <si>
    <t>深</t>
    <phoneticPr fontId="1" type="noConversion"/>
  </si>
  <si>
    <t>比降</t>
    <phoneticPr fontId="1" type="noConversion"/>
  </si>
  <si>
    <t>干渠</t>
    <phoneticPr fontId="1" type="noConversion"/>
  </si>
  <si>
    <t>b</t>
    <phoneticPr fontId="1" type="noConversion"/>
  </si>
  <si>
    <t>m</t>
    <phoneticPr fontId="1" type="noConversion"/>
  </si>
  <si>
    <t>i</t>
    <phoneticPr fontId="1" type="noConversion"/>
  </si>
  <si>
    <t>n</t>
    <phoneticPr fontId="1" type="noConversion"/>
  </si>
  <si>
    <t>h</t>
    <phoneticPr fontId="1" type="noConversion"/>
  </si>
  <si>
    <t>v</t>
    <phoneticPr fontId="1" type="noConversion"/>
  </si>
  <si>
    <t>q</t>
    <phoneticPr fontId="1" type="noConversion"/>
  </si>
  <si>
    <t>1.7*1.6</t>
    <phoneticPr fontId="1" type="noConversion"/>
  </si>
  <si>
    <t>加大</t>
    <phoneticPr fontId="1" type="noConversion"/>
  </si>
  <si>
    <t>设计</t>
    <phoneticPr fontId="1" type="noConversion"/>
  </si>
  <si>
    <t>尺寸</t>
    <phoneticPr fontId="1" type="noConversion"/>
  </si>
  <si>
    <t>修正</t>
    <phoneticPr fontId="1" type="noConversion"/>
  </si>
  <si>
    <t>跌水2.2</t>
    <phoneticPr fontId="1" type="noConversion"/>
  </si>
  <si>
    <t>跌水2.2</t>
    <phoneticPr fontId="1" type="noConversion"/>
  </si>
  <si>
    <t>跨路</t>
    <phoneticPr fontId="1" type="noConversion"/>
  </si>
  <si>
    <t>10m箱涵</t>
    <phoneticPr fontId="1" type="noConversion"/>
  </si>
  <si>
    <t>5295-5305</t>
    <phoneticPr fontId="1" type="noConversion"/>
  </si>
  <si>
    <t>一支渠</t>
    <phoneticPr fontId="1" type="noConversion"/>
  </si>
  <si>
    <t>路面</t>
    <phoneticPr fontId="1" type="noConversion"/>
  </si>
  <si>
    <t>K7+282</t>
    <phoneticPr fontId="1" type="noConversion"/>
  </si>
  <si>
    <t>K7+292</t>
    <phoneticPr fontId="1" type="noConversion"/>
  </si>
  <si>
    <t>梯形</t>
    <phoneticPr fontId="1" type="noConversion"/>
  </si>
  <si>
    <t>渐变</t>
    <phoneticPr fontId="1" type="noConversion"/>
  </si>
  <si>
    <t>1*1.5</t>
    <phoneticPr fontId="1" type="noConversion"/>
  </si>
  <si>
    <t>1*1.3</t>
    <phoneticPr fontId="1" type="noConversion"/>
  </si>
  <si>
    <t>二支渠</t>
    <phoneticPr fontId="1" type="noConversion"/>
  </si>
  <si>
    <t>K13+283</t>
  </si>
  <si>
    <t>三支渠</t>
    <phoneticPr fontId="1" type="noConversion"/>
  </si>
  <si>
    <t>四支渠</t>
    <phoneticPr fontId="1" type="noConversion"/>
  </si>
  <si>
    <t>五支渠</t>
    <phoneticPr fontId="1" type="noConversion"/>
  </si>
  <si>
    <t>桩号</t>
    <phoneticPr fontId="1" type="noConversion"/>
  </si>
  <si>
    <t>流量</t>
    <phoneticPr fontId="1" type="noConversion"/>
  </si>
  <si>
    <t>流速</t>
    <phoneticPr fontId="1" type="noConversion"/>
  </si>
  <si>
    <t>水深</t>
    <phoneticPr fontId="1" type="noConversion"/>
  </si>
  <si>
    <t>糙率</t>
    <phoneticPr fontId="1" type="noConversion"/>
  </si>
  <si>
    <t>比降</t>
    <phoneticPr fontId="1" type="noConversion"/>
  </si>
  <si>
    <t>边坡系数</t>
    <phoneticPr fontId="1" type="noConversion"/>
  </si>
  <si>
    <t>超高</t>
    <phoneticPr fontId="1" type="noConversion"/>
  </si>
  <si>
    <t>渠深</t>
    <phoneticPr fontId="1" type="noConversion"/>
  </si>
  <si>
    <t>上口宽度</t>
    <phoneticPr fontId="1" type="noConversion"/>
  </si>
  <si>
    <t>渠底高程</t>
    <phoneticPr fontId="1" type="noConversion"/>
  </si>
  <si>
    <t>设计水位</t>
    <phoneticPr fontId="1" type="noConversion"/>
  </si>
  <si>
    <r>
      <t>Q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</si>
  <si>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Q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</si>
  <si>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t>B</t>
    <phoneticPr fontId="1" type="noConversion"/>
  </si>
  <si>
    <r>
      <t>V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</si>
  <si>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V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</si>
  <si>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H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</si>
  <si>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H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</si>
  <si>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F</t>
    </r>
    <r>
      <rPr>
        <vertAlign val="subscript"/>
        <sz val="11"/>
        <color theme="1"/>
        <rFont val="Calibri"/>
        <family val="3"/>
        <charset val="134"/>
        <scheme val="minor"/>
      </rPr>
      <t>b</t>
    </r>
    <phoneticPr fontId="1" type="noConversion"/>
  </si>
  <si>
    <t>km+m</t>
    <phoneticPr fontId="1" type="noConversion"/>
  </si>
  <si>
    <t>m/s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</si>
  <si>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</t>
    </r>
    <phoneticPr fontId="1" type="noConversion"/>
  </si>
  <si>
    <t>备注</t>
    <phoneticPr fontId="1" type="noConversion"/>
  </si>
  <si>
    <t>矩形钢筋混凝土渠</t>
    <phoneticPr fontId="1" type="noConversion"/>
  </si>
  <si>
    <t>分水闸</t>
    <phoneticPr fontId="1" type="noConversion"/>
  </si>
  <si>
    <t>跨路</t>
    <phoneticPr fontId="1" type="noConversion"/>
  </si>
  <si>
    <t>穿路箱涵</t>
    <phoneticPr fontId="1" type="noConversion"/>
  </si>
  <si>
    <t>穿路箱涵</t>
    <phoneticPr fontId="1" type="noConversion"/>
  </si>
  <si>
    <t>B设</t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</si>
  <si>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</si>
  <si>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B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</si>
  <si>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</si>
  <si>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</si>
  <si>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</si>
  <si>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</si>
  <si>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</si>
  <si>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</si>
  <si>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2#跌水2.2m</t>
    <phoneticPr fontId="1" type="noConversion"/>
  </si>
  <si>
    <t>1#跌水2.2m</t>
    <phoneticPr fontId="1" type="noConversion"/>
  </si>
  <si>
    <t>3#跌水2.2m</t>
    <phoneticPr fontId="1" type="noConversion"/>
  </si>
  <si>
    <t>4#跌水2.2m</t>
    <phoneticPr fontId="1" type="noConversion"/>
  </si>
  <si>
    <t>5#跌水2.2m</t>
    <phoneticPr fontId="1" type="noConversion"/>
  </si>
  <si>
    <t>6#跌水2.2m</t>
    <phoneticPr fontId="1" type="noConversion"/>
  </si>
  <si>
    <t>7#跌水2.2m</t>
    <phoneticPr fontId="1" type="noConversion"/>
  </si>
  <si>
    <t>8#跌水2.2m</t>
    <phoneticPr fontId="1" type="noConversion"/>
  </si>
  <si>
    <t>9#跌水2.2m</t>
    <phoneticPr fontId="1" type="noConversion"/>
  </si>
  <si>
    <t>10#跌水2.2m</t>
    <phoneticPr fontId="1" type="noConversion"/>
  </si>
  <si>
    <t>11#跌水2.2m</t>
    <phoneticPr fontId="1" type="noConversion"/>
  </si>
  <si>
    <t>12#跌水2.2m</t>
    <phoneticPr fontId="1" type="noConversion"/>
  </si>
  <si>
    <t>13#跌水2.2m</t>
    <phoneticPr fontId="1" type="noConversion"/>
  </si>
  <si>
    <t>14#跌水2.2m</t>
    <phoneticPr fontId="1" type="noConversion"/>
  </si>
  <si>
    <t>15#跌水2.2m</t>
    <phoneticPr fontId="1" type="noConversion"/>
  </si>
  <si>
    <t>16#跌水2.2m</t>
    <phoneticPr fontId="1" type="noConversion"/>
  </si>
  <si>
    <t>17#跌水2.2m</t>
    <phoneticPr fontId="1" type="noConversion"/>
  </si>
  <si>
    <t>18#跌水2.2m</t>
    <phoneticPr fontId="1" type="noConversion"/>
  </si>
  <si>
    <t>19#跌水2.2m</t>
    <phoneticPr fontId="1" type="noConversion"/>
  </si>
  <si>
    <t>跌水0.5</t>
    <phoneticPr fontId="1" type="noConversion"/>
  </si>
  <si>
    <t>20#跌水0.5m</t>
    <phoneticPr fontId="1" type="noConversion"/>
  </si>
  <si>
    <t>地面高程</t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</si>
  <si>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</si>
  <si>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</si>
  <si>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</si>
  <si>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</si>
  <si>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</si>
  <si>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农渠</t>
    <phoneticPr fontId="1" type="noConversion"/>
  </si>
  <si>
    <t>2-1支渠</t>
    <phoneticPr fontId="1" type="noConversion"/>
  </si>
  <si>
    <t>2-2支渠</t>
  </si>
  <si>
    <t>2-3支渠</t>
  </si>
  <si>
    <t>2-4支渠</t>
  </si>
  <si>
    <t>2-5支渠</t>
  </si>
  <si>
    <t>2-6支渠</t>
  </si>
  <si>
    <t>2-7支渠</t>
  </si>
  <si>
    <t>灌水率</t>
    <phoneticPr fontId="1" type="noConversion"/>
  </si>
  <si>
    <t>利用系数</t>
    <phoneticPr fontId="1" type="noConversion"/>
  </si>
  <si>
    <t>田间</t>
    <phoneticPr fontId="1" type="noConversion"/>
  </si>
  <si>
    <t>斗渠</t>
    <phoneticPr fontId="1" type="noConversion"/>
  </si>
  <si>
    <t>流量</t>
    <phoneticPr fontId="1" type="noConversion"/>
  </si>
  <si>
    <t>K0+300</t>
  </si>
  <si>
    <t>K0+400</t>
  </si>
  <si>
    <t>K0+700</t>
  </si>
  <si>
    <t>K0+900</t>
  </si>
  <si>
    <t>K1+200</t>
  </si>
  <si>
    <t>K1+300</t>
  </si>
  <si>
    <t>K1+400</t>
  </si>
  <si>
    <t>K5+871</t>
  </si>
  <si>
    <t>渠底</t>
    <phoneticPr fontId="1" type="noConversion"/>
  </si>
  <si>
    <t>Q</t>
    <phoneticPr fontId="1" type="noConversion"/>
  </si>
  <si>
    <t>n</t>
    <phoneticPr fontId="1" type="noConversion"/>
  </si>
  <si>
    <t>i</t>
    <phoneticPr fontId="1" type="noConversion"/>
  </si>
  <si>
    <t>左边</t>
    <phoneticPr fontId="1" type="noConversion"/>
  </si>
  <si>
    <t>b</t>
    <phoneticPr fontId="1" type="noConversion"/>
  </si>
  <si>
    <t>m</t>
    <phoneticPr fontId="1" type="noConversion"/>
  </si>
  <si>
    <t>h</t>
    <phoneticPr fontId="1" type="noConversion"/>
  </si>
  <si>
    <t>右边</t>
    <phoneticPr fontId="1" type="noConversion"/>
  </si>
  <si>
    <t>A</t>
    <phoneticPr fontId="1" type="noConversion"/>
  </si>
  <si>
    <t>X</t>
    <phoneticPr fontId="1" type="noConversion"/>
  </si>
  <si>
    <r>
      <t>A</t>
    </r>
    <r>
      <rPr>
        <vertAlign val="superscript"/>
        <sz val="11"/>
        <color theme="1"/>
        <rFont val="Calibri"/>
        <family val="3"/>
        <charset val="134"/>
        <scheme val="minor"/>
      </rPr>
      <t>5/3</t>
    </r>
    <phoneticPr fontId="1" type="noConversion"/>
  </si>
  <si>
    <r>
      <t>X</t>
    </r>
    <r>
      <rPr>
        <vertAlign val="superscript"/>
        <sz val="11"/>
        <color theme="1"/>
        <rFont val="Calibri"/>
        <family val="3"/>
        <charset val="134"/>
        <scheme val="minor"/>
      </rPr>
      <t>2/3</t>
    </r>
    <phoneticPr fontId="1" type="noConversion"/>
  </si>
  <si>
    <t>A1</t>
    <phoneticPr fontId="1" type="noConversion"/>
  </si>
  <si>
    <t>U100</t>
    <phoneticPr fontId="1" type="noConversion"/>
  </si>
  <si>
    <t>U80</t>
    <phoneticPr fontId="1" type="noConversion"/>
  </si>
  <si>
    <t>规格</t>
    <phoneticPr fontId="1" type="noConversion"/>
  </si>
  <si>
    <t>穿路箱涵</t>
    <phoneticPr fontId="1" type="noConversion"/>
  </si>
  <si>
    <t>K2+545</t>
  </si>
  <si>
    <t>U100</t>
  </si>
  <si>
    <t>U100</t>
    <phoneticPr fontId="1" type="noConversion"/>
  </si>
  <si>
    <t>U100</t>
    <phoneticPr fontId="1" type="noConversion"/>
  </si>
  <si>
    <t>U100</t>
    <phoneticPr fontId="1" type="noConversion"/>
  </si>
  <si>
    <t>K6+444</t>
  </si>
  <si>
    <t>4+800</t>
  </si>
  <si>
    <t>4+900</t>
  </si>
  <si>
    <t>5+000</t>
  </si>
  <si>
    <t>5+100</t>
  </si>
  <si>
    <t>5+200</t>
  </si>
  <si>
    <t>5+300</t>
  </si>
  <si>
    <t>5+310</t>
  </si>
  <si>
    <t>U60</t>
    <phoneticPr fontId="1" type="noConversion"/>
  </si>
  <si>
    <t>U60</t>
    <phoneticPr fontId="1" type="noConversion"/>
  </si>
  <si>
    <t>0-</t>
    <phoneticPr fontId="1" type="noConversion"/>
  </si>
  <si>
    <t>名称</t>
    <phoneticPr fontId="1" type="noConversion"/>
  </si>
  <si>
    <t>面积</t>
    <phoneticPr fontId="1" type="noConversion"/>
  </si>
  <si>
    <t>位置</t>
    <phoneticPr fontId="1" type="noConversion"/>
  </si>
  <si>
    <t>1-1支渠</t>
    <phoneticPr fontId="1" type="noConversion"/>
  </si>
  <si>
    <t>1-1-1斗渠</t>
    <phoneticPr fontId="1" type="noConversion"/>
  </si>
  <si>
    <t>1-1-2斗渠</t>
  </si>
  <si>
    <t>1-1-3斗渠</t>
  </si>
  <si>
    <t>1-1-4斗渠</t>
  </si>
  <si>
    <t>1-1-5斗渠</t>
  </si>
  <si>
    <t>1-1-6斗渠</t>
  </si>
  <si>
    <t>1-1-7斗渠</t>
  </si>
  <si>
    <t>1-1-8斗渠</t>
  </si>
  <si>
    <t>量测面积</t>
    <phoneticPr fontId="1" type="noConversion"/>
  </si>
  <si>
    <t>支渠</t>
    <phoneticPr fontId="1" type="noConversion"/>
  </si>
  <si>
    <t>斗渠分水</t>
    <phoneticPr fontId="1" type="noConversion"/>
  </si>
  <si>
    <t>1-1-1斗渠</t>
    <phoneticPr fontId="1" type="noConversion"/>
  </si>
  <si>
    <t>1-1-2斗渠</t>
    <phoneticPr fontId="1" type="noConversion"/>
  </si>
  <si>
    <t>1-1-3斗渠</t>
    <phoneticPr fontId="1" type="noConversion"/>
  </si>
  <si>
    <t>1-1-4斗渠</t>
    <phoneticPr fontId="1" type="noConversion"/>
  </si>
  <si>
    <t>1-1-5斗渠</t>
    <phoneticPr fontId="1" type="noConversion"/>
  </si>
  <si>
    <t>1-1-6斗渠</t>
    <phoneticPr fontId="1" type="noConversion"/>
  </si>
  <si>
    <t>1-1-7斗渠</t>
    <phoneticPr fontId="1" type="noConversion"/>
  </si>
  <si>
    <t>1-1-8斗渠</t>
    <phoneticPr fontId="1" type="noConversion"/>
  </si>
  <si>
    <t>干</t>
    <phoneticPr fontId="1" type="noConversion"/>
  </si>
  <si>
    <t>支1</t>
    <phoneticPr fontId="1" type="noConversion"/>
  </si>
  <si>
    <t>斗1</t>
    <phoneticPr fontId="1" type="noConversion"/>
  </si>
  <si>
    <t>支2</t>
    <phoneticPr fontId="1" type="noConversion"/>
  </si>
  <si>
    <t>斗2</t>
    <phoneticPr fontId="1" type="noConversion"/>
  </si>
  <si>
    <t>1-2-1斗渠</t>
    <phoneticPr fontId="1" type="noConversion"/>
  </si>
  <si>
    <t>1-2-2斗渠</t>
  </si>
  <si>
    <t>1-2-3斗渠</t>
  </si>
  <si>
    <t>1-2-4斗渠</t>
  </si>
  <si>
    <t>1-2-5斗渠</t>
  </si>
  <si>
    <t>1-2-6斗渠</t>
  </si>
  <si>
    <t>1-2-7斗渠</t>
  </si>
  <si>
    <t>1-2-8斗渠</t>
  </si>
  <si>
    <t>1-3-1斗渠</t>
    <phoneticPr fontId="1" type="noConversion"/>
  </si>
  <si>
    <t>1-3-2斗渠</t>
  </si>
  <si>
    <t>1-3-3斗渠</t>
  </si>
  <si>
    <t>1-3-4斗渠</t>
  </si>
  <si>
    <t>1-3-5斗渠</t>
  </si>
  <si>
    <t>1-3-6斗渠</t>
  </si>
  <si>
    <t>1-3-7斗渠</t>
  </si>
  <si>
    <t>3700-</t>
    <phoneticPr fontId="1" type="noConversion"/>
  </si>
  <si>
    <t>0-3700</t>
    <phoneticPr fontId="1" type="noConversion"/>
  </si>
  <si>
    <t>-</t>
    <phoneticPr fontId="1" type="noConversion"/>
  </si>
  <si>
    <t>U80</t>
    <phoneticPr fontId="1" type="noConversion"/>
  </si>
  <si>
    <t>U60</t>
    <phoneticPr fontId="1" type="noConversion"/>
  </si>
  <si>
    <t>U80</t>
    <phoneticPr fontId="1" type="noConversion"/>
  </si>
  <si>
    <t>3300-</t>
    <phoneticPr fontId="1" type="noConversion"/>
  </si>
  <si>
    <t>0-3300</t>
    <phoneticPr fontId="1" type="noConversion"/>
  </si>
  <si>
    <t>1-4-1斗渠</t>
    <phoneticPr fontId="1" type="noConversion"/>
  </si>
  <si>
    <t>1-4-2斗渠</t>
  </si>
  <si>
    <t>1-4-3斗渠</t>
  </si>
  <si>
    <t>1-4-4斗渠</t>
  </si>
  <si>
    <t>1-4-5斗渠</t>
  </si>
  <si>
    <t>1-4-6斗渠</t>
  </si>
  <si>
    <t>1-4-7斗渠</t>
  </si>
  <si>
    <t>1-4-8斗渠</t>
  </si>
  <si>
    <t>1-4-9斗渠</t>
  </si>
  <si>
    <t>1-5-1斗渠</t>
    <phoneticPr fontId="1" type="noConversion"/>
  </si>
  <si>
    <t>1-5-2斗渠</t>
  </si>
  <si>
    <t>1-5-3斗渠</t>
  </si>
  <si>
    <t>U80</t>
  </si>
  <si>
    <t>U80</t>
    <phoneticPr fontId="1" type="noConversion"/>
  </si>
  <si>
    <t>地面高程</t>
    <phoneticPr fontId="1" type="noConversion"/>
  </si>
  <si>
    <t>现状渠底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</si>
  <si>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</si>
  <si>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</si>
  <si>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</si>
  <si>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</si>
  <si>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</si>
  <si>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</si>
  <si>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</si>
  <si>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U60</t>
  </si>
  <si>
    <t>U60</t>
    <phoneticPr fontId="1" type="noConversion"/>
  </si>
  <si>
    <t>2-1支渠</t>
    <phoneticPr fontId="1" type="noConversion"/>
  </si>
  <si>
    <t>2-3支渠</t>
    <phoneticPr fontId="1" type="noConversion"/>
  </si>
  <si>
    <t>2-2支渠</t>
    <phoneticPr fontId="1" type="noConversion"/>
  </si>
  <si>
    <t>2-4支渠</t>
    <phoneticPr fontId="1" type="noConversion"/>
  </si>
  <si>
    <t>2-5支渠</t>
    <phoneticPr fontId="1" type="noConversion"/>
  </si>
  <si>
    <t>2-6支渠</t>
    <phoneticPr fontId="1" type="noConversion"/>
  </si>
  <si>
    <t>2-7支渠</t>
    <phoneticPr fontId="1" type="noConversion"/>
  </si>
  <si>
    <t>2610-</t>
    <phoneticPr fontId="1" type="noConversion"/>
  </si>
  <si>
    <t>U80</t>
    <phoneticPr fontId="1" type="noConversion"/>
  </si>
  <si>
    <t>0-2610</t>
    <phoneticPr fontId="1" type="noConversion"/>
  </si>
  <si>
    <t>0-3200</t>
    <phoneticPr fontId="1" type="noConversion"/>
  </si>
  <si>
    <t>3200-</t>
    <phoneticPr fontId="1" type="noConversion"/>
  </si>
  <si>
    <t>2-1支渠</t>
    <phoneticPr fontId="1" type="noConversion"/>
  </si>
  <si>
    <t>2-1-1斗渠</t>
    <phoneticPr fontId="1" type="noConversion"/>
  </si>
  <si>
    <t>2-1-2斗渠</t>
  </si>
  <si>
    <t>2-1-3斗渠</t>
  </si>
  <si>
    <t>2-1-4斗渠</t>
  </si>
  <si>
    <t>2-1-5斗渠</t>
  </si>
  <si>
    <t>2-1-6斗渠</t>
  </si>
  <si>
    <t>2-1-7斗渠</t>
  </si>
  <si>
    <t>2-1-8斗渠</t>
  </si>
  <si>
    <t>2-1-9斗渠</t>
  </si>
  <si>
    <t>2-1-10斗渠</t>
  </si>
  <si>
    <t>2-1-11斗渠</t>
  </si>
  <si>
    <t>2-1-12斗渠</t>
  </si>
  <si>
    <t>2-1-13斗渠</t>
  </si>
  <si>
    <t>2-1-14斗渠</t>
  </si>
  <si>
    <t>2-2-1斗渠</t>
    <phoneticPr fontId="1" type="noConversion"/>
  </si>
  <si>
    <t>2-2-2斗渠</t>
  </si>
  <si>
    <t>2-2-3斗渠</t>
  </si>
  <si>
    <t>2-2-4斗渠</t>
  </si>
  <si>
    <t>2-2-5斗渠</t>
  </si>
  <si>
    <t>2-2-6斗渠</t>
  </si>
  <si>
    <t>2-2-7斗渠</t>
  </si>
  <si>
    <t>2-2-8斗渠</t>
  </si>
  <si>
    <t>2-2支渠</t>
    <phoneticPr fontId="1" type="noConversion"/>
  </si>
  <si>
    <t>2-3支渠</t>
    <phoneticPr fontId="1" type="noConversion"/>
  </si>
  <si>
    <t>2-3-1斗渠</t>
    <phoneticPr fontId="1" type="noConversion"/>
  </si>
  <si>
    <t>2-3-2斗渠</t>
  </si>
  <si>
    <t>2-3-3斗渠</t>
  </si>
  <si>
    <t>2-3-4斗渠</t>
  </si>
  <si>
    <t>2-3-5斗渠</t>
  </si>
  <si>
    <t>2-3-6斗渠</t>
  </si>
  <si>
    <t>2-3-7斗渠</t>
  </si>
  <si>
    <t>2-3-8斗渠</t>
  </si>
  <si>
    <t>2-4支渠</t>
    <phoneticPr fontId="1" type="noConversion"/>
  </si>
  <si>
    <t>2-4-1斗渠</t>
    <phoneticPr fontId="1" type="noConversion"/>
  </si>
  <si>
    <t>2-4-2斗渠</t>
  </si>
  <si>
    <t>2-4-3斗渠</t>
  </si>
  <si>
    <t>2-4-4斗渠</t>
  </si>
  <si>
    <t>2-4-5斗渠</t>
  </si>
  <si>
    <t>2-4-6斗渠</t>
  </si>
  <si>
    <t>2-4-7斗渠</t>
  </si>
  <si>
    <t>2-5支渠</t>
    <phoneticPr fontId="1" type="noConversion"/>
  </si>
  <si>
    <t>2-5-1斗渠</t>
    <phoneticPr fontId="1" type="noConversion"/>
  </si>
  <si>
    <t>2-5-2斗渠</t>
  </si>
  <si>
    <t>2-5-3斗渠</t>
  </si>
  <si>
    <t>2-5-4斗渠</t>
  </si>
  <si>
    <t>2-5-5斗渠</t>
  </si>
  <si>
    <t>2-5-6斗渠</t>
  </si>
  <si>
    <t>2-6支渠</t>
    <phoneticPr fontId="1" type="noConversion"/>
  </si>
  <si>
    <t>2-6-1斗渠</t>
    <phoneticPr fontId="1" type="noConversion"/>
  </si>
  <si>
    <t>2-6-2斗渠</t>
  </si>
  <si>
    <t>2-6-3斗渠</t>
  </si>
  <si>
    <t>2-6-4斗渠</t>
  </si>
  <si>
    <t>2-6-5斗渠</t>
  </si>
  <si>
    <t>2-6-6斗渠</t>
  </si>
  <si>
    <t>2-7支渠</t>
    <phoneticPr fontId="1" type="noConversion"/>
  </si>
  <si>
    <t>2-7-1斗渠</t>
    <phoneticPr fontId="1" type="noConversion"/>
  </si>
  <si>
    <t>2-7-2斗渠</t>
  </si>
  <si>
    <t>2-7-3斗渠</t>
  </si>
  <si>
    <t>2-7-4斗渠</t>
  </si>
  <si>
    <t>2-7-5斗渠</t>
  </si>
  <si>
    <t>2-7-6斗渠</t>
  </si>
  <si>
    <t>2-7-7斗渠</t>
  </si>
  <si>
    <t>长度</t>
    <phoneticPr fontId="1" type="noConversion"/>
  </si>
  <si>
    <t>1-1支渠</t>
    <phoneticPr fontId="1" type="noConversion"/>
  </si>
  <si>
    <t>位置</t>
    <phoneticPr fontId="1" type="noConversion"/>
  </si>
  <si>
    <t>渠道特性</t>
    <phoneticPr fontId="1" type="noConversion"/>
  </si>
  <si>
    <t>U80</t>
    <phoneticPr fontId="1" type="noConversion"/>
  </si>
  <si>
    <t>1-2支渠</t>
  </si>
  <si>
    <t>1-3支渠</t>
  </si>
  <si>
    <t>1-4支渠</t>
  </si>
  <si>
    <t>1-5支渠</t>
  </si>
  <si>
    <t>U100</t>
    <phoneticPr fontId="1" type="noConversion"/>
  </si>
  <si>
    <t>U60</t>
    <phoneticPr fontId="1" type="noConversion"/>
  </si>
  <si>
    <t>2-1支渠</t>
    <phoneticPr fontId="1" type="noConversion"/>
  </si>
  <si>
    <t>2-2支渠</t>
    <phoneticPr fontId="1" type="noConversion"/>
  </si>
  <si>
    <t>大于0.05U50</t>
    <phoneticPr fontId="1" type="noConversion"/>
  </si>
  <si>
    <t>斗渠桥</t>
    <phoneticPr fontId="1" type="noConversion"/>
  </si>
  <si>
    <t>北干渠</t>
    <phoneticPr fontId="1" type="noConversion"/>
  </si>
  <si>
    <t>位置</t>
    <phoneticPr fontId="1" type="noConversion"/>
  </si>
  <si>
    <t>10m</t>
    <phoneticPr fontId="1" type="noConversion"/>
  </si>
  <si>
    <t>1-1支渠</t>
    <phoneticPr fontId="1" type="noConversion"/>
  </si>
  <si>
    <t>2-1支渠</t>
    <phoneticPr fontId="1" type="noConversion"/>
  </si>
  <si>
    <t>8m</t>
  </si>
  <si>
    <t>8m</t>
    <phoneticPr fontId="1" type="noConversion"/>
  </si>
  <si>
    <t>2-7支渠</t>
    <phoneticPr fontId="1" type="noConversion"/>
  </si>
  <si>
    <t>2-1-1斗渠</t>
    <phoneticPr fontId="1" type="noConversion"/>
  </si>
  <si>
    <t>2-1-3斗渠</t>
    <phoneticPr fontId="1" type="noConversion"/>
  </si>
  <si>
    <t>位置</t>
    <phoneticPr fontId="1" type="noConversion"/>
  </si>
  <si>
    <t>桩号</t>
    <phoneticPr fontId="1" type="noConversion"/>
  </si>
  <si>
    <t>地面高程</t>
    <phoneticPr fontId="1" type="noConversion"/>
  </si>
  <si>
    <t>编号</t>
    <phoneticPr fontId="1" type="noConversion"/>
  </si>
  <si>
    <t>U40</t>
  </si>
  <si>
    <t>U40</t>
    <phoneticPr fontId="1" type="noConversion"/>
  </si>
  <si>
    <t>U50</t>
  </si>
  <si>
    <t>U50</t>
    <phoneticPr fontId="1" type="noConversion"/>
  </si>
  <si>
    <t>H大</t>
    <phoneticPr fontId="1" type="noConversion"/>
  </si>
  <si>
    <t>1.8*1.6</t>
    <phoneticPr fontId="1" type="noConversion"/>
  </si>
  <si>
    <t>1.7*1.6</t>
    <phoneticPr fontId="1" type="noConversion"/>
  </si>
  <si>
    <t>1.7*1.6</t>
    <phoneticPr fontId="1" type="noConversion"/>
  </si>
  <si>
    <t>U80</t>
    <phoneticPr fontId="1" type="noConversion"/>
  </si>
  <si>
    <t>U60</t>
    <phoneticPr fontId="1" type="noConversion"/>
  </si>
  <si>
    <t>跨度（L）</t>
    <phoneticPr fontId="1" type="noConversion"/>
  </si>
  <si>
    <t>10m</t>
  </si>
  <si>
    <t>10m</t>
    <phoneticPr fontId="1" type="noConversion"/>
  </si>
  <si>
    <t>渠道特性（D）</t>
    <phoneticPr fontId="1" type="noConversion"/>
  </si>
  <si>
    <t>支渠</t>
    <phoneticPr fontId="1" type="noConversion"/>
  </si>
  <si>
    <t>斗渠</t>
    <phoneticPr fontId="1" type="noConversion"/>
  </si>
  <si>
    <t>1-1-1斗渠</t>
    <phoneticPr fontId="1" type="noConversion"/>
  </si>
  <si>
    <t>1-1-2斗渠</t>
    <phoneticPr fontId="1" type="noConversion"/>
  </si>
  <si>
    <t>1-1-4斗渠</t>
    <phoneticPr fontId="1" type="noConversion"/>
  </si>
  <si>
    <t>1-1-5斗渠</t>
    <phoneticPr fontId="1" type="noConversion"/>
  </si>
  <si>
    <t>1-1-6斗渠</t>
    <phoneticPr fontId="1" type="noConversion"/>
  </si>
  <si>
    <t>1-1-7斗渠</t>
    <phoneticPr fontId="1" type="noConversion"/>
  </si>
  <si>
    <t>1-1-8斗渠</t>
    <phoneticPr fontId="1" type="noConversion"/>
  </si>
  <si>
    <t>1-2-2斗渠</t>
    <phoneticPr fontId="1" type="noConversion"/>
  </si>
  <si>
    <t>1-2-3斗渠</t>
    <phoneticPr fontId="1" type="noConversion"/>
  </si>
  <si>
    <t>1-3-4斗渠</t>
    <phoneticPr fontId="1" type="noConversion"/>
  </si>
  <si>
    <t>1-4-2斗渠</t>
    <phoneticPr fontId="1" type="noConversion"/>
  </si>
  <si>
    <t>1-4-3斗渠</t>
    <phoneticPr fontId="1" type="noConversion"/>
  </si>
  <si>
    <t>1-4-4斗渠</t>
    <phoneticPr fontId="1" type="noConversion"/>
  </si>
  <si>
    <t>1-4-5斗渠</t>
    <phoneticPr fontId="1" type="noConversion"/>
  </si>
  <si>
    <t>1-5-1斗渠</t>
    <phoneticPr fontId="1" type="noConversion"/>
  </si>
  <si>
    <t>2-1-1斗渠</t>
    <phoneticPr fontId="1" type="noConversion"/>
  </si>
  <si>
    <t>2-1-3斗渠</t>
    <phoneticPr fontId="1" type="noConversion"/>
  </si>
  <si>
    <t>2-1-4斗渠</t>
    <phoneticPr fontId="1" type="noConversion"/>
  </si>
  <si>
    <t>2-1-5斗渠</t>
    <phoneticPr fontId="1" type="noConversion"/>
  </si>
  <si>
    <t>2-1-7斗渠</t>
    <phoneticPr fontId="1" type="noConversion"/>
  </si>
  <si>
    <t>2-1-9斗渠</t>
    <phoneticPr fontId="1" type="noConversion"/>
  </si>
  <si>
    <t>2-1-10斗渠</t>
    <phoneticPr fontId="1" type="noConversion"/>
  </si>
  <si>
    <t>2-2-2斗渠</t>
    <phoneticPr fontId="1" type="noConversion"/>
  </si>
  <si>
    <t>2-2-4斗渠</t>
    <phoneticPr fontId="1" type="noConversion"/>
  </si>
  <si>
    <t>2-2-7斗渠</t>
    <phoneticPr fontId="1" type="noConversion"/>
  </si>
  <si>
    <t>2-3-1斗渠</t>
    <phoneticPr fontId="1" type="noConversion"/>
  </si>
  <si>
    <t>2-3-5斗渠</t>
    <phoneticPr fontId="1" type="noConversion"/>
  </si>
  <si>
    <t>2-3-8斗渠</t>
    <phoneticPr fontId="1" type="noConversion"/>
  </si>
  <si>
    <t>2-4-5斗渠</t>
    <phoneticPr fontId="1" type="noConversion"/>
  </si>
  <si>
    <t>2-4-6斗渠</t>
    <phoneticPr fontId="1" type="noConversion"/>
  </si>
  <si>
    <t>2-4-7斗渠</t>
    <phoneticPr fontId="1" type="noConversion"/>
  </si>
  <si>
    <t>2-5-5斗渠</t>
    <phoneticPr fontId="1" type="noConversion"/>
  </si>
  <si>
    <t>2-6-2斗渠</t>
    <phoneticPr fontId="1" type="noConversion"/>
  </si>
  <si>
    <t>2-6-5斗渠</t>
    <phoneticPr fontId="1" type="noConversion"/>
  </si>
  <si>
    <t>2-6-6斗渠</t>
    <phoneticPr fontId="1" type="noConversion"/>
  </si>
  <si>
    <t>2-7-4斗渠</t>
    <phoneticPr fontId="1" type="noConversion"/>
  </si>
  <si>
    <t>2-7-5斗渠</t>
    <phoneticPr fontId="1" type="noConversion"/>
  </si>
  <si>
    <t>2-7-6斗渠</t>
    <phoneticPr fontId="1" type="noConversion"/>
  </si>
  <si>
    <t>干渠</t>
    <phoneticPr fontId="1" type="noConversion"/>
  </si>
  <si>
    <t>净宽</t>
    <phoneticPr fontId="1" type="noConversion"/>
  </si>
  <si>
    <t>净高</t>
    <phoneticPr fontId="1" type="noConversion"/>
  </si>
  <si>
    <t>长度</t>
    <phoneticPr fontId="1" type="noConversion"/>
  </si>
  <si>
    <t>长度</t>
    <phoneticPr fontId="1" type="noConversion"/>
  </si>
  <si>
    <t>10m</t>
    <phoneticPr fontId="1" type="noConversion"/>
  </si>
  <si>
    <t>编号</t>
    <phoneticPr fontId="1" type="noConversion"/>
  </si>
  <si>
    <t>位置</t>
    <phoneticPr fontId="1" type="noConversion"/>
  </si>
  <si>
    <t>支渠尺寸</t>
    <phoneticPr fontId="1" type="noConversion"/>
  </si>
  <si>
    <t>斗渠尺寸</t>
    <phoneticPr fontId="1" type="noConversion"/>
  </si>
  <si>
    <t>支渠桩号</t>
    <phoneticPr fontId="1" type="noConversion"/>
  </si>
  <si>
    <t>U80</t>
    <phoneticPr fontId="1" type="noConversion"/>
  </si>
  <si>
    <t>U100</t>
    <phoneticPr fontId="1" type="noConversion"/>
  </si>
  <si>
    <t>U60</t>
    <phoneticPr fontId="1" type="noConversion"/>
  </si>
  <si>
    <t>U60</t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</si>
  <si>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</si>
  <si>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</si>
  <si>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</si>
  <si>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</si>
  <si>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</si>
  <si>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2-1支渠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</si>
  <si>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</si>
  <si>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</si>
  <si>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</si>
  <si>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2-5支渠</t>
    <phoneticPr fontId="1" type="noConversion"/>
  </si>
  <si>
    <t>2-7支渠</t>
    <phoneticPr fontId="1" type="noConversion"/>
  </si>
  <si>
    <t>U50</t>
    <phoneticPr fontId="1" type="noConversion"/>
  </si>
  <si>
    <t>90km</t>
    <phoneticPr fontId="1" type="noConversion"/>
  </si>
  <si>
    <t>1-1-9斗渠</t>
  </si>
  <si>
    <t>1-1-10斗渠</t>
  </si>
  <si>
    <t>1-1-11斗渠</t>
  </si>
  <si>
    <t>1-1-12斗渠</t>
  </si>
  <si>
    <t>1-1-13斗渠</t>
  </si>
  <si>
    <t>1-1-14斗渠</t>
  </si>
  <si>
    <t>1-1-15斗渠</t>
  </si>
  <si>
    <t>1-2-9斗渠</t>
  </si>
  <si>
    <t>1-2-10斗渠</t>
  </si>
  <si>
    <t>1-2-11斗渠</t>
  </si>
  <si>
    <t>1-2-12斗渠</t>
  </si>
  <si>
    <t>1-2-13斗渠</t>
  </si>
  <si>
    <t>1-3-8斗渠</t>
  </si>
  <si>
    <t>1-3-9斗渠</t>
  </si>
  <si>
    <t>1-3-10斗渠</t>
  </si>
  <si>
    <t>1-3-11斗渠</t>
  </si>
  <si>
    <t>1-3-12斗渠</t>
  </si>
  <si>
    <t>1-3-13斗渠</t>
  </si>
  <si>
    <t>1-3-14斗渠</t>
  </si>
  <si>
    <t>1-3-15斗渠</t>
  </si>
  <si>
    <t>1-4-10斗渠</t>
  </si>
  <si>
    <t>1-4-11斗渠</t>
  </si>
  <si>
    <t>1-4-12斗渠</t>
  </si>
  <si>
    <t>1-5-4斗渠</t>
  </si>
  <si>
    <t>1-5-5斗渠</t>
  </si>
  <si>
    <t>1-5-6斗渠</t>
  </si>
  <si>
    <t>2-1-15斗渠</t>
  </si>
  <si>
    <t>2-1-16斗渠</t>
  </si>
  <si>
    <t>2-1-17斗渠</t>
  </si>
  <si>
    <t>2-1-18斗渠</t>
  </si>
  <si>
    <t>2-1-19斗渠</t>
  </si>
  <si>
    <t>2-1-20斗渠</t>
  </si>
  <si>
    <t>2-1-21斗渠</t>
  </si>
  <si>
    <t>2-1-22斗渠</t>
  </si>
  <si>
    <t>2-2-9斗渠</t>
  </si>
  <si>
    <t>2-2-10斗渠</t>
  </si>
  <si>
    <t>2-2-11斗渠</t>
  </si>
  <si>
    <t>2-3-9斗渠</t>
  </si>
  <si>
    <t>2-3-10斗渠</t>
  </si>
  <si>
    <t>2-3-11斗渠</t>
  </si>
  <si>
    <t>2-4-8斗渠</t>
  </si>
  <si>
    <t>2-4-9斗渠</t>
  </si>
  <si>
    <t>2-4-10斗渠</t>
  </si>
  <si>
    <t>2-5-7斗渠</t>
  </si>
  <si>
    <t>2-5-8斗渠</t>
  </si>
  <si>
    <t>2-5-9斗渠</t>
  </si>
  <si>
    <t>2-6-7斗渠</t>
  </si>
  <si>
    <t>2-6-8斗渠</t>
  </si>
  <si>
    <t>2-7-8斗渠</t>
  </si>
  <si>
    <t>2-7-9斗渠</t>
  </si>
  <si>
    <t>2-7-10斗渠</t>
  </si>
  <si>
    <t>2-2-12斗渠</t>
  </si>
  <si>
    <t>2-7-11斗渠</t>
  </si>
  <si>
    <t>桩号</t>
    <phoneticPr fontId="1" type="noConversion"/>
  </si>
  <si>
    <t>设计纵坡</t>
    <phoneticPr fontId="1" type="noConversion"/>
  </si>
  <si>
    <t>设计渠顶（m）</t>
    <phoneticPr fontId="1" type="noConversion"/>
  </si>
  <si>
    <t>设计水位（m）</t>
    <phoneticPr fontId="1" type="noConversion"/>
  </si>
  <si>
    <t>原地面（m）</t>
    <phoneticPr fontId="1" type="noConversion"/>
  </si>
  <si>
    <t>设计渠底（m）</t>
    <phoneticPr fontId="1" type="noConversion"/>
  </si>
  <si>
    <t>1/250</t>
    <phoneticPr fontId="1" type="noConversion"/>
  </si>
  <si>
    <t>地质描述</t>
    <phoneticPr fontId="1" type="noConversion"/>
  </si>
  <si>
    <t>跌水2.2</t>
    <phoneticPr fontId="1" type="noConversion"/>
  </si>
  <si>
    <t>1-1-1斗渠</t>
    <phoneticPr fontId="1" type="noConversion"/>
  </si>
  <si>
    <t>1-1-2斗渠</t>
    <phoneticPr fontId="1" type="noConversion"/>
  </si>
  <si>
    <t>2-1-15斗渠</t>
    <phoneticPr fontId="1" type="noConversion"/>
  </si>
  <si>
    <t>2-1-17斗渠</t>
    <phoneticPr fontId="1" type="noConversion"/>
  </si>
  <si>
    <t>2-1-19斗渠</t>
    <phoneticPr fontId="1" type="noConversion"/>
  </si>
  <si>
    <t>2-1-21斗渠</t>
    <phoneticPr fontId="1" type="noConversion"/>
  </si>
  <si>
    <t>过水面积</t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</si>
  <si>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</si>
  <si>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A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</si>
  <si>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渠顶超高</t>
    <phoneticPr fontId="1" type="noConversion"/>
  </si>
  <si>
    <t>设计渠深</t>
    <phoneticPr fontId="1" type="noConversion"/>
  </si>
  <si>
    <t>H</t>
    <phoneticPr fontId="1" type="noConversion"/>
  </si>
  <si>
    <r>
      <t>F</t>
    </r>
    <r>
      <rPr>
        <vertAlign val="subscript"/>
        <sz val="11"/>
        <color theme="1"/>
        <rFont val="Calibri"/>
        <family val="3"/>
        <charset val="134"/>
        <scheme val="minor"/>
      </rPr>
      <t>b</t>
    </r>
    <phoneticPr fontId="1" type="noConversion"/>
  </si>
  <si>
    <t>湿周</t>
    <phoneticPr fontId="1" type="noConversion"/>
  </si>
  <si>
    <t>水力半径</t>
    <phoneticPr fontId="1" type="noConversion"/>
  </si>
  <si>
    <t>m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</si>
  <si>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2</t>
    </r>
    <phoneticPr fontId="1" type="noConversion"/>
  </si>
  <si>
    <t>m</t>
    <phoneticPr fontId="1" type="noConversion"/>
  </si>
  <si>
    <r>
      <t>X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</si>
  <si>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X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</si>
  <si>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r>
      <t>R</t>
    </r>
    <r>
      <rPr>
        <vertAlign val="subscript"/>
        <sz val="11"/>
        <color theme="1"/>
        <rFont val="Calibri"/>
        <family val="3"/>
        <charset val="134"/>
        <scheme val="minor"/>
      </rPr>
      <t>大</t>
    </r>
    <phoneticPr fontId="1" type="noConversion"/>
  </si>
  <si>
    <r>
      <t>R</t>
    </r>
    <r>
      <rPr>
        <vertAlign val="subscript"/>
        <sz val="11"/>
        <color theme="1"/>
        <rFont val="Calibri"/>
        <family val="3"/>
        <charset val="134"/>
        <scheme val="minor"/>
      </rPr>
      <t>设</t>
    </r>
    <phoneticPr fontId="1" type="noConversion"/>
  </si>
  <si>
    <t>干渠</t>
    <phoneticPr fontId="1" type="noConversion"/>
  </si>
  <si>
    <t>名称</t>
    <phoneticPr fontId="1" type="noConversion"/>
  </si>
  <si>
    <t>序号</t>
    <phoneticPr fontId="1" type="noConversion"/>
  </si>
  <si>
    <t>位置</t>
    <phoneticPr fontId="1" type="noConversion"/>
  </si>
  <si>
    <t>1-1支渠</t>
    <phoneticPr fontId="1" type="noConversion"/>
  </si>
  <si>
    <t>2-1支渠</t>
    <phoneticPr fontId="1" type="noConversion"/>
  </si>
  <si>
    <t>干渠</t>
    <phoneticPr fontId="1" type="noConversion"/>
  </si>
  <si>
    <t>达乎甫干渠</t>
    <phoneticPr fontId="1" type="noConversion"/>
  </si>
  <si>
    <t>合计</t>
    <phoneticPr fontId="1" type="noConversion"/>
  </si>
  <si>
    <t>长度（m）</t>
    <phoneticPr fontId="1" type="noConversion"/>
  </si>
  <si>
    <r>
      <t>设计流量（m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/s）</t>
    </r>
    <phoneticPr fontId="1" type="noConversion"/>
  </si>
  <si>
    <t>1-1支渠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</si>
  <si>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</si>
  <si>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</si>
  <si>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</si>
  <si>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</si>
  <si>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2-1支渠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</si>
  <si>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</si>
  <si>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</si>
  <si>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</si>
  <si>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2-5支渠</t>
    <phoneticPr fontId="1" type="noConversion"/>
  </si>
  <si>
    <t>2-6支渠</t>
    <phoneticPr fontId="1" type="noConversion"/>
  </si>
  <si>
    <t>2-7支渠</t>
    <phoneticPr fontId="1" type="noConversion"/>
  </si>
  <si>
    <t>长度（m）</t>
    <phoneticPr fontId="1" type="noConversion"/>
  </si>
  <si>
    <t>桩号</t>
    <phoneticPr fontId="1" type="noConversion"/>
  </si>
  <si>
    <t>流量</t>
    <phoneticPr fontId="1" type="noConversion"/>
  </si>
  <si>
    <t>流速</t>
    <phoneticPr fontId="1" type="noConversion"/>
  </si>
  <si>
    <t>不淤流速</t>
    <phoneticPr fontId="1" type="noConversion"/>
  </si>
  <si>
    <t>不冲流速</t>
    <phoneticPr fontId="1" type="noConversion"/>
  </si>
  <si>
    <t>备注</t>
    <phoneticPr fontId="1" type="noConversion"/>
  </si>
  <si>
    <t>渠道</t>
    <phoneticPr fontId="1" type="noConversion"/>
  </si>
  <si>
    <t>干渠</t>
    <phoneticPr fontId="1" type="noConversion"/>
  </si>
  <si>
    <t>1-1支渠</t>
    <phoneticPr fontId="1" type="noConversion"/>
  </si>
  <si>
    <t>2-1支渠</t>
    <phoneticPr fontId="1" type="noConversion"/>
  </si>
  <si>
    <t>长度（km）</t>
    <phoneticPr fontId="1" type="noConversion"/>
  </si>
  <si>
    <t>斗渠</t>
    <phoneticPr fontId="1" type="noConversion"/>
  </si>
  <si>
    <t>合计</t>
    <phoneticPr fontId="1" type="noConversion"/>
  </si>
  <si>
    <t>干渠引水闸</t>
    <phoneticPr fontId="1" type="noConversion"/>
  </si>
  <si>
    <t>分水闸</t>
    <phoneticPr fontId="1" type="noConversion"/>
  </si>
  <si>
    <t>箱涵</t>
    <phoneticPr fontId="1" type="noConversion"/>
  </si>
  <si>
    <t>跌水</t>
    <phoneticPr fontId="1" type="noConversion"/>
  </si>
  <si>
    <t>农桥</t>
    <phoneticPr fontId="1" type="noConversion"/>
  </si>
  <si>
    <t>斗口</t>
    <phoneticPr fontId="1" type="noConversion"/>
  </si>
  <si>
    <t>上游渠道高程</t>
    <phoneticPr fontId="1" type="noConversion"/>
  </si>
  <si>
    <t>下游渠道高程</t>
    <phoneticPr fontId="1" type="noConversion"/>
  </si>
  <si>
    <t>跌水底高程</t>
    <phoneticPr fontId="1" type="noConversion"/>
  </si>
  <si>
    <t>宽度</t>
    <phoneticPr fontId="1" type="noConversion"/>
  </si>
  <si>
    <t>长度</t>
    <phoneticPr fontId="1" type="noConversion"/>
  </si>
  <si>
    <t>1-4支渠K0+700</t>
    <phoneticPr fontId="1" type="noConversion"/>
  </si>
  <si>
    <t>1-1-3斗渠</t>
    <phoneticPr fontId="1" type="noConversion"/>
  </si>
  <si>
    <t>1-2-4斗渠</t>
    <phoneticPr fontId="1" type="noConversion"/>
  </si>
  <si>
    <t>1-2-5斗渠</t>
    <phoneticPr fontId="1" type="noConversion"/>
  </si>
  <si>
    <t>1-3-5斗渠</t>
    <phoneticPr fontId="1" type="noConversion"/>
  </si>
  <si>
    <t>1-3-6斗渠</t>
    <phoneticPr fontId="1" type="noConversion"/>
  </si>
  <si>
    <t>1-4-6斗渠</t>
    <phoneticPr fontId="1" type="noConversion"/>
  </si>
  <si>
    <t>1-4-7斗渠</t>
    <phoneticPr fontId="1" type="noConversion"/>
  </si>
  <si>
    <t>1-4-8斗渠</t>
    <phoneticPr fontId="1" type="noConversion"/>
  </si>
  <si>
    <t>1-5-2斗渠</t>
    <phoneticPr fontId="1" type="noConversion"/>
  </si>
  <si>
    <t>U50</t>
    <phoneticPr fontId="1" type="noConversion"/>
  </si>
  <si>
    <t>U50</t>
    <phoneticPr fontId="1" type="noConversion"/>
  </si>
  <si>
    <t>2-1支渠</t>
    <phoneticPr fontId="1" type="noConversion"/>
  </si>
  <si>
    <t>规格</t>
    <phoneticPr fontId="1" type="noConversion"/>
  </si>
  <si>
    <t>D</t>
    <phoneticPr fontId="1" type="noConversion"/>
  </si>
  <si>
    <t>U60</t>
    <phoneticPr fontId="1" type="noConversion"/>
  </si>
  <si>
    <r>
      <t>m</t>
    </r>
    <r>
      <rPr>
        <vertAlign val="superscript"/>
        <sz val="11"/>
        <color theme="1"/>
        <rFont val="Calibri"/>
        <family val="3"/>
        <charset val="134"/>
        <scheme val="minor"/>
      </rPr>
      <t>3</t>
    </r>
    <r>
      <rPr>
        <sz val="11"/>
        <color theme="1"/>
        <rFont val="Calibri"/>
        <family val="2"/>
        <scheme val="minor"/>
      </rPr>
      <t>/s</t>
    </r>
    <phoneticPr fontId="1" type="noConversion"/>
  </si>
  <si>
    <t>m/s</t>
    <phoneticPr fontId="1" type="noConversion"/>
  </si>
  <si>
    <t>干渠</t>
    <phoneticPr fontId="1" type="noConversion"/>
  </si>
  <si>
    <t>Vmax</t>
    <phoneticPr fontId="1" type="noConversion"/>
  </si>
  <si>
    <t>1-1支渠</t>
    <phoneticPr fontId="1" type="noConversion"/>
  </si>
  <si>
    <t>km+m</t>
    <phoneticPr fontId="1" type="noConversion"/>
  </si>
  <si>
    <t>1-2支渠</t>
    <phoneticPr fontId="1" type="noConversion"/>
  </si>
  <si>
    <t>1-3支渠</t>
    <phoneticPr fontId="1" type="noConversion"/>
  </si>
  <si>
    <t>1-4支渠</t>
    <phoneticPr fontId="1" type="noConversion"/>
  </si>
  <si>
    <t>1-5支渠</t>
    <phoneticPr fontId="1" type="noConversion"/>
  </si>
  <si>
    <t>2-2支渠</t>
    <phoneticPr fontId="1" type="noConversion"/>
  </si>
  <si>
    <t>2-3支渠</t>
    <phoneticPr fontId="1" type="noConversion"/>
  </si>
  <si>
    <t>2-4支渠</t>
    <phoneticPr fontId="1" type="noConversion"/>
  </si>
  <si>
    <t>渠道名称</t>
    <phoneticPr fontId="1" type="noConversion"/>
  </si>
  <si>
    <t>满足要求</t>
    <phoneticPr fontId="1" type="noConversion"/>
  </si>
  <si>
    <t>比降</t>
  </si>
  <si>
    <t>接消力池</t>
  </si>
  <si>
    <t>跌水2.2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</si>
</sst>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 "/>
    <numFmt numFmtId="165" formatCode="&quot;K&quot;0&quot;+&quot;000"/>
    <numFmt numFmtId="166" formatCode="0.0"/>
  </numFmts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3"/>
      <charset val="134"/>
      <scheme val="minor"/>
    </font>
    <font>
      <vertAlign val="superscript"/>
      <sz val="11"/>
      <color theme="1"/>
      <name val="Calibri"/>
      <family val="3"/>
      <charset val="134"/>
      <scheme val="minor"/>
    </font>
    <font>
      <sz val="11"/>
      <color rgb="FFFFFF00"/>
      <name val="Calibri"/>
      <family val="2"/>
      <scheme val="minor"/>
    </font>
    <font>
      <sz val="10.5"/>
      <color theme="1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6" borderId="0" xfId="0" applyFill="1"/>
    <xf numFmtId="0" fontId="0" fillId="7" borderId="0" xfId="0" applyFill="1"/>
    <xf numFmtId="164" fontId="0" fillId="6" borderId="0" xfId="0" applyNumberFormat="1" applyFill="1"/>
    <xf numFmtId="0" fontId="2" fillId="5" borderId="0" xfId="0" applyFont="1" applyFill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8" borderId="0" xfId="0" applyFill="1"/>
    <xf numFmtId="49" fontId="0" fillId="0" borderId="0" xfId="0" applyNumberFormat="1"/>
    <xf numFmtId="0" fontId="0" fillId="9" borderId="1" xfId="0" applyFill="1" applyBorder="1" applyAlignment="1">
      <alignment horizontal="center" vertical="center"/>
    </xf>
    <xf numFmtId="0" fontId="5" fillId="2" borderId="0" xfId="0" applyFont="1" applyFill="1"/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/>
    <xf numFmtId="14" fontId="0" fillId="2" borderId="1" xfId="0" applyNumberFormat="1" applyFill="1" applyBorder="1"/>
    <xf numFmtId="0" fontId="2" fillId="4" borderId="1" xfId="0" applyFont="1" applyFill="1" applyBorder="1"/>
    <xf numFmtId="0" fontId="2" fillId="2" borderId="1" xfId="0" applyFont="1" applyFill="1" applyBorder="1"/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2505075" cy="518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SpPr txBox="1"/>
          </xdr:nvSpPr>
          <xdr:spPr>
            <a:xfrm>
              <a:off x="0" y="3600450"/>
              <a:ext cx="2505075" cy="51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100" b="0" i="1">
                            <a:latin typeface="Cambria Math"/>
                          </a:rPr>
                          <m:t>𝑄𝑛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𝑖</m:t>
                            </m:r>
                          </m:e>
                        </m:rad>
                      </m:den>
                    </m:f>
                    <m:r>
                      <a:rPr lang="en-US" altLang="zh-CN" sz="1100" b="0" i="1">
                        <a:latin typeface="Cambria Math"/>
                      </a:rPr>
                      <m:t>=</m:t>
                    </m:r>
                    <m:f>
                      <m:fPr>
                        <m:ctrlPr>
                          <a:rPr lang="en-US" altLang="zh-CN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[</m:t>
                            </m:r>
                            <m:d>
                              <m:dPr>
                                <m:ctrlP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𝑏</m:t>
                                </m:r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+</m:t>
                                </m:r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𝑚h</m:t>
                                </m:r>
                                <m:r>
                                  <a:rPr lang="en-US" altLang="zh-CN" sz="1100" b="0" i="1" baseline="-25000">
                                    <a:latin typeface="Cambria Math"/>
                                  </a:rPr>
                                  <m:t>0</m:t>
                                </m:r>
                              </m:e>
                            </m:d>
                            <m:r>
                              <a:rPr lang="en-US" altLang="zh-CN" sz="1100" b="0" i="1">
                                <a:latin typeface="Cambria Math"/>
                              </a:rPr>
                              <m:t>h</m:t>
                            </m:r>
                            <m:r>
                              <a:rPr lang="en-US" altLang="zh-CN" sz="1100" b="0" i="1" baseline="-25000">
                                <a:latin typeface="Cambria Math"/>
                              </a:rPr>
                              <m:t>0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]</m:t>
                            </m:r>
                          </m:e>
                          <m:sup>
                            <m:r>
                              <a:rPr lang="en-US" altLang="zh-CN" sz="1100" b="0" i="1">
                                <a:latin typeface="Cambria Math"/>
                              </a:rPr>
                              <m:t>5/3</m:t>
                            </m:r>
                          </m:sup>
                        </m:sSup>
                      </m:num>
                      <m:den>
                        <m:sSup>
                          <m:sSupPr>
                            <m:ctrlPr>
                              <a:rPr lang="en-US" altLang="zh-CN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b="0" i="1">
                                <a:latin typeface="Cambria Math"/>
                              </a:rPr>
                              <m:t>𝑏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+2</m:t>
                            </m:r>
                            <m:r>
                              <a:rPr lang="en-US" altLang="zh-CN" sz="1100" b="0" i="1">
                                <a:latin typeface="Cambria Math"/>
                              </a:rPr>
                              <m:t>h</m:t>
                            </m:r>
                            <m:r>
                              <a:rPr lang="en-US" altLang="zh-CN" sz="1100" b="0" i="1" baseline="-25000">
                                <a:latin typeface="Cambria Math"/>
                              </a:rPr>
                              <m:t>0</m:t>
                            </m:r>
                            <m:rad>
                              <m:radPr>
                                <m:degHide m:val="on"/>
                                <m:ctrlPr>
                                  <a:rPr lang="en-US" altLang="zh-CN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n-US" altLang="zh-CN" sz="1100" b="0" i="1">
                                    <a:latin typeface="Cambria Math"/>
                                  </a:rPr>
                                  <m:t>1+</m:t>
                                </m:r>
                                <m:sSup>
                                  <m:sSupPr>
                                    <m:ctrlPr>
                                      <a:rPr lang="en-US" altLang="zh-CN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altLang="zh-CN" sz="1100" b="0" i="1">
                                        <a:latin typeface="Cambria Math"/>
                                      </a:rPr>
                                      <m:t>𝑚</m:t>
                                    </m:r>
                                  </m:e>
                                  <m:sup>
                                    <m:r>
                                      <a:rPr lang="en-US" altLang="zh-CN" sz="11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rad>
                          </m:e>
                          <m:sup>
                            <m:r>
                              <a:rPr lang="en-US" altLang="zh-CN" sz="1100" b="0" i="1">
                                <a:latin typeface="Cambria Math"/>
                              </a:rPr>
                              <m:t>2/3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0" y="3600450"/>
              <a:ext cx="2505075" cy="518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altLang="zh-CN" sz="1100" b="0" i="0">
                  <a:latin typeface="Cambria Math"/>
                </a:rPr>
                <a:t>𝑄𝑛/√𝑖=〖[(𝑏+𝑚ℎ</a:t>
              </a:r>
              <a:r>
                <a:rPr lang="en-US" altLang="zh-CN" sz="1100" b="0" i="0" baseline="-25000">
                  <a:latin typeface="Cambria Math"/>
                </a:rPr>
                <a:t>0)</a:t>
              </a:r>
              <a:r>
                <a:rPr lang="en-US" altLang="zh-CN" sz="1100" b="0" i="0">
                  <a:latin typeface="Cambria Math"/>
                </a:rPr>
                <a:t>ℎ</a:t>
              </a:r>
              <a:r>
                <a:rPr lang="en-US" altLang="zh-CN" sz="1100" b="0" i="0" baseline="-25000">
                  <a:latin typeface="Cambria Math"/>
                </a:rPr>
                <a:t>0</a:t>
              </a:r>
              <a:r>
                <a:rPr lang="en-US" altLang="zh-CN" sz="1100" b="0" i="0">
                  <a:latin typeface="Cambria Math"/>
                </a:rPr>
                <a:t>]〗^(5/3)/〖𝑏+2ℎ</a:t>
              </a:r>
              <a:r>
                <a:rPr lang="en-US" altLang="zh-CN" sz="1100" b="0" i="0" baseline="-25000">
                  <a:latin typeface="Cambria Math"/>
                </a:rPr>
                <a:t>0√(</a:t>
              </a:r>
              <a:r>
                <a:rPr lang="en-US" altLang="zh-CN" sz="1100" b="0" i="0">
                  <a:latin typeface="Cambria Math"/>
                </a:rPr>
                <a:t>1+𝑚^2 )〗^(2/3) </a:t>
              </a:r>
              <a:endParaRPr lang="zh-CN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zoomScale="160" zoomScaleNormal="160" workbookViewId="0">
      <selection activeCell="M22" sqref="M22"/>
    </sheetView>
  </sheetViews>
  <sheetFormatPr defaultRowHeight="14.4"/>
  <cols>
    <col min="3" max="3" width="10.44140625" bestFit="1" customWidth="1"/>
    <col min="8" max="9" width="9"/>
  </cols>
  <sheetData>
    <row r="1" spans="1:14">
      <c r="B1" t="s">
        <v>0</v>
      </c>
      <c r="D1" t="s">
        <v>1</v>
      </c>
      <c r="E1" t="s">
        <v>291</v>
      </c>
      <c r="F1" t="s">
        <v>881</v>
      </c>
      <c r="G1" t="s">
        <v>290</v>
      </c>
      <c r="M1" s="5"/>
      <c r="N1" t="s">
        <v>317</v>
      </c>
    </row>
    <row r="2" spans="1:14">
      <c r="B2" t="s">
        <v>2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>
        <f t="shared" ref="J2:J65" si="0">E2-G2</f>
        <v>0.39000000000010004</v>
      </c>
      <c r="K2">
        <v>0.01</v>
      </c>
    </row>
    <row r="3" spans="1:14">
      <c r="B3" t="s">
        <v>3</v>
      </c>
      <c r="C3" s="3">
        <v>10</v>
      </c>
      <c r="D3">
        <v>1730.0229999999999</v>
      </c>
      <c r="E3">
        <f t="shared" ref="E3:E39" si="1">ROUND(D3,2)</f>
        <v>1730.02</v>
      </c>
      <c r="F3" t="str">
        <f>"1/"&amp;ROUND(1/K3,0)</f>
        <v>1/100</v>
      </c>
      <c r="G3">
        <f>E2-K2*(C3-C2)</f>
        <v>1730.16</v>
      </c>
      <c r="H3">
        <v>1730.16</v>
      </c>
      <c r="I3">
        <f t="shared" ref="I3:I66" si="2">G3-H3</f>
        <v>0</v>
      </c>
      <c r="J3">
        <f>E3-G3</f>
        <v>-0.14000000000010004</v>
      </c>
      <c r="K3">
        <v>0.01</v>
      </c>
    </row>
    <row r="4" spans="1:14">
      <c r="B4" t="s">
        <v>4</v>
      </c>
      <c r="C4" s="3">
        <v>13</v>
      </c>
      <c r="D4">
        <v>1730</v>
      </c>
      <c r="E4">
        <f t="shared" si="1"/>
        <v>1730</v>
      </c>
      <c r="F4" t="str">
        <f t="shared" ref="F3:F39" si="3">"1/"&amp;ROUND(1/K4,0)</f>
        <v>1/100</v>
      </c>
      <c r="G4">
        <f>E3-K3*(C4-C3)</f>
        <v>1729.99</v>
      </c>
      <c r="H4">
        <v>1729.99</v>
      </c>
      <c r="I4">
        <f t="shared" si="2"/>
        <v>0</v>
      </c>
      <c r="J4">
        <f t="shared" si="0"/>
        <v>9.9999999999909051E-3</v>
      </c>
      <c r="K4">
        <v>0.01</v>
      </c>
    </row>
    <row r="5" spans="1:14">
      <c r="B5" t="s">
        <v>5</v>
      </c>
      <c r="C5" s="3">
        <v>20</v>
      </c>
      <c r="D5">
        <v>1729.712</v>
      </c>
      <c r="E5">
        <f t="shared" si="1"/>
        <v>1729.71</v>
      </c>
      <c r="F5" t="str">
        <f t="shared" si="3"/>
        <v>1/100</v>
      </c>
      <c r="G5">
        <f>E4-K4*(C5-C4)</f>
        <v>1729.93</v>
      </c>
      <c r="H5">
        <v>1729.93</v>
      </c>
      <c r="I5">
        <f t="shared" si="2"/>
        <v>0</v>
      </c>
      <c r="J5">
        <f t="shared" si="0"/>
        <v>-0.22000000000002728</v>
      </c>
      <c r="K5">
        <v>0.01</v>
      </c>
    </row>
    <row r="6" spans="1:14">
      <c r="A6" t="s">
        <v>882</v>
      </c>
      <c r="B6" s="4" t="s">
        <v>6</v>
      </c>
      <c r="C6" s="3">
        <v>30</v>
      </c>
      <c r="D6">
        <v>1729.5830000000001</v>
      </c>
      <c r="E6">
        <f t="shared" si="1"/>
        <v>1729.58</v>
      </c>
      <c r="F6" t="str">
        <f t="shared" si="3"/>
        <v>1/500</v>
      </c>
      <c r="G6">
        <v>1728</v>
      </c>
      <c r="H6">
        <v>1728</v>
      </c>
      <c r="I6">
        <f t="shared" si="2"/>
        <v>0</v>
      </c>
      <c r="J6">
        <f t="shared" si="0"/>
        <v>1.5799999999999272</v>
      </c>
      <c r="K6">
        <v>2E-3</v>
      </c>
      <c r="L6">
        <v>1728.08</v>
      </c>
    </row>
    <row r="7" spans="1:14">
      <c r="B7" t="s">
        <v>7</v>
      </c>
      <c r="C7" s="3">
        <v>40</v>
      </c>
      <c r="D7">
        <v>1729.3009999999999</v>
      </c>
      <c r="E7">
        <f t="shared" si="1"/>
        <v>1729.3</v>
      </c>
      <c r="F7" t="str">
        <f t="shared" si="3"/>
        <v>1/500</v>
      </c>
      <c r="G7">
        <f t="shared" ref="G7:G12" si="4">ROUND(G6-(C7-C6)*K6,2)</f>
        <v>1727.98</v>
      </c>
      <c r="H7">
        <v>1727.98</v>
      </c>
      <c r="I7">
        <f t="shared" si="2"/>
        <v>0</v>
      </c>
      <c r="J7">
        <f t="shared" si="0"/>
        <v>1.3199999999999363</v>
      </c>
      <c r="K7">
        <v>2E-3</v>
      </c>
      <c r="L7">
        <v>1728.06</v>
      </c>
    </row>
    <row r="8" spans="1:14">
      <c r="B8" t="s">
        <v>8</v>
      </c>
      <c r="C8" s="3">
        <v>50</v>
      </c>
      <c r="D8">
        <v>1728.903</v>
      </c>
      <c r="E8">
        <f t="shared" si="1"/>
        <v>1728.9</v>
      </c>
      <c r="F8" t="str">
        <f t="shared" si="3"/>
        <v>1/500</v>
      </c>
      <c r="G8">
        <f>ROUND(G7-(C8-C7)*K7,2)</f>
        <v>1727.96</v>
      </c>
      <c r="H8">
        <v>1727.96</v>
      </c>
      <c r="I8">
        <f t="shared" si="2"/>
        <v>0</v>
      </c>
      <c r="J8">
        <f t="shared" si="0"/>
        <v>0.94000000000005457</v>
      </c>
      <c r="K8">
        <v>2E-3</v>
      </c>
      <c r="L8">
        <v>1728.04</v>
      </c>
    </row>
    <row r="9" spans="1:14">
      <c r="B9" t="s">
        <v>9</v>
      </c>
      <c r="C9" s="3">
        <v>100</v>
      </c>
      <c r="D9">
        <v>1729.7280000000001</v>
      </c>
      <c r="E9">
        <f t="shared" si="1"/>
        <v>1729.73</v>
      </c>
      <c r="F9" t="str">
        <f t="shared" si="3"/>
        <v>1/500</v>
      </c>
      <c r="G9">
        <f t="shared" si="4"/>
        <v>1727.86</v>
      </c>
      <c r="H9">
        <v>1727.86</v>
      </c>
      <c r="I9">
        <f t="shared" si="2"/>
        <v>0</v>
      </c>
      <c r="J9">
        <f>E9-G9</f>
        <v>1.8700000000001182</v>
      </c>
      <c r="K9">
        <v>2E-3</v>
      </c>
      <c r="L9">
        <v>1727.94</v>
      </c>
    </row>
    <row r="10" spans="1:14">
      <c r="B10" t="s">
        <v>10</v>
      </c>
      <c r="C10" s="3">
        <v>150</v>
      </c>
      <c r="D10">
        <v>1728.713</v>
      </c>
      <c r="E10">
        <f t="shared" si="1"/>
        <v>1728.71</v>
      </c>
      <c r="F10" t="str">
        <f t="shared" si="3"/>
        <v>1/500</v>
      </c>
      <c r="G10">
        <f t="shared" si="4"/>
        <v>1727.76</v>
      </c>
      <c r="H10">
        <v>1727.76</v>
      </c>
      <c r="I10">
        <f t="shared" si="2"/>
        <v>0</v>
      </c>
      <c r="J10">
        <f t="shared" si="0"/>
        <v>0.95000000000004547</v>
      </c>
      <c r="K10">
        <v>2E-3</v>
      </c>
      <c r="L10">
        <v>1727.84</v>
      </c>
    </row>
    <row r="11" spans="1:14">
      <c r="B11" t="s">
        <v>11</v>
      </c>
      <c r="C11" s="3">
        <v>200</v>
      </c>
      <c r="D11">
        <v>1727.885</v>
      </c>
      <c r="E11">
        <f t="shared" si="1"/>
        <v>1727.89</v>
      </c>
      <c r="F11" t="str">
        <f t="shared" si="3"/>
        <v>1/500</v>
      </c>
      <c r="G11">
        <f t="shared" si="4"/>
        <v>1727.66</v>
      </c>
      <c r="H11">
        <v>1727.66</v>
      </c>
      <c r="I11">
        <f t="shared" si="2"/>
        <v>0</v>
      </c>
      <c r="J11">
        <f t="shared" si="0"/>
        <v>0.23000000000001819</v>
      </c>
      <c r="K11">
        <v>2E-3</v>
      </c>
      <c r="L11">
        <v>1727.74</v>
      </c>
    </row>
    <row r="12" spans="1:14">
      <c r="A12" s="5" t="s">
        <v>883</v>
      </c>
      <c r="B12" s="1" t="s">
        <v>12</v>
      </c>
      <c r="C12" s="3">
        <v>210</v>
      </c>
      <c r="D12">
        <v>1727.7270000000001</v>
      </c>
      <c r="E12">
        <f>ROUND(D12,2)</f>
        <v>1727.73</v>
      </c>
      <c r="F12" t="str">
        <f t="shared" si="3"/>
        <v>1/500</v>
      </c>
      <c r="G12">
        <f>ROUND(G11-(C12-C11)*K11,2)</f>
        <v>1727.64</v>
      </c>
      <c r="H12">
        <v>1727.64</v>
      </c>
      <c r="I12">
        <f t="shared" si="2"/>
        <v>0</v>
      </c>
      <c r="J12">
        <f>E12-G12</f>
        <v>8.9999999999918145E-2</v>
      </c>
      <c r="K12">
        <v>2E-3</v>
      </c>
      <c r="L12">
        <v>1727.72</v>
      </c>
    </row>
    <row r="13" spans="1:14">
      <c r="A13" s="5"/>
      <c r="B13" s="5"/>
      <c r="C13" s="3">
        <v>213</v>
      </c>
      <c r="D13">
        <v>1727.7270000000001</v>
      </c>
      <c r="E13">
        <f>ROUND(D13,2)</f>
        <v>1727.73</v>
      </c>
      <c r="G13">
        <f>G12-2.2</f>
        <v>1725.44</v>
      </c>
      <c r="H13">
        <v>1725.44</v>
      </c>
      <c r="I13">
        <f t="shared" si="2"/>
        <v>0</v>
      </c>
      <c r="J13">
        <f>E13-G13</f>
        <v>2.2899999999999636</v>
      </c>
      <c r="K13">
        <v>2E-3</v>
      </c>
      <c r="L13">
        <v>1725.81</v>
      </c>
    </row>
    <row r="14" spans="1:14">
      <c r="B14" s="5"/>
      <c r="C14" s="3">
        <v>250</v>
      </c>
      <c r="D14">
        <f>D12-0.014*(C14-C12)</f>
        <v>1727.1670000000001</v>
      </c>
      <c r="E14">
        <f>ROUND(D14,2)</f>
        <v>1727.17</v>
      </c>
      <c r="F14" t="str">
        <f t="shared" si="3"/>
        <v>1/500</v>
      </c>
      <c r="G14">
        <f>ROUND(G13-(C14-C13+1)*K13,2)</f>
        <v>1725.36</v>
      </c>
      <c r="H14">
        <v>1725.36</v>
      </c>
      <c r="I14">
        <f t="shared" si="2"/>
        <v>0</v>
      </c>
      <c r="J14">
        <f t="shared" si="0"/>
        <v>1.8100000000001728</v>
      </c>
      <c r="K14">
        <v>2E-3</v>
      </c>
      <c r="L14">
        <v>1725.73</v>
      </c>
      <c r="M14">
        <f>D12-D22</f>
        <v>3.6970000000001164</v>
      </c>
      <c r="N14" s="3">
        <f>C22-C12</f>
        <v>254</v>
      </c>
    </row>
    <row r="15" spans="1:14">
      <c r="B15" s="5"/>
      <c r="C15" s="3">
        <v>300</v>
      </c>
      <c r="D15">
        <f>D13-0.014*(C15-C13)</f>
        <v>1726.509</v>
      </c>
      <c r="E15">
        <f t="shared" si="1"/>
        <v>1726.51</v>
      </c>
      <c r="F15" t="str">
        <f t="shared" si="3"/>
        <v>1/500</v>
      </c>
      <c r="G15">
        <f>ROUND(G14-(C15-C14)*K14,2)</f>
        <v>1725.26</v>
      </c>
      <c r="H15">
        <v>1725.26</v>
      </c>
      <c r="I15">
        <f t="shared" si="2"/>
        <v>0</v>
      </c>
      <c r="J15">
        <f t="shared" si="0"/>
        <v>1.25</v>
      </c>
      <c r="K15">
        <v>2E-3</v>
      </c>
      <c r="L15">
        <v>1725.56</v>
      </c>
      <c r="M15">
        <f>M14/N14</f>
        <v>1.4555118110236678E-2</v>
      </c>
    </row>
    <row r="16" spans="1:14">
      <c r="B16" s="5"/>
      <c r="C16" s="3">
        <v>350</v>
      </c>
      <c r="D16">
        <f>D14-0.014*(C16-C14)</f>
        <v>1725.7670000000001</v>
      </c>
      <c r="E16">
        <f t="shared" si="1"/>
        <v>1725.77</v>
      </c>
      <c r="F16" t="str">
        <f t="shared" si="3"/>
        <v>1/500</v>
      </c>
      <c r="G16">
        <f>ROUND(G15-(C16-C15)*K15,2)</f>
        <v>1725.16</v>
      </c>
      <c r="H16">
        <v>1725.16</v>
      </c>
      <c r="I16">
        <f t="shared" si="2"/>
        <v>0</v>
      </c>
      <c r="J16">
        <f t="shared" si="0"/>
        <v>0.60999999999989996</v>
      </c>
      <c r="K16">
        <v>2E-3</v>
      </c>
      <c r="L16">
        <v>1725.36</v>
      </c>
    </row>
    <row r="17" spans="1:14">
      <c r="B17" s="5"/>
      <c r="C17" s="3">
        <v>400</v>
      </c>
      <c r="D17">
        <f t="shared" ref="D17:D19" si="5">D15-0.014*(C17-C15)</f>
        <v>1725.1089999999999</v>
      </c>
      <c r="E17">
        <f>ROUND(D17,2)</f>
        <v>1725.11</v>
      </c>
      <c r="F17" t="str">
        <f t="shared" si="3"/>
        <v>1/500</v>
      </c>
      <c r="G17">
        <f>ROUND(G16-(C17-C16)*K16,2)</f>
        <v>1725.06</v>
      </c>
      <c r="H17">
        <v>1725.06</v>
      </c>
      <c r="I17">
        <f t="shared" si="2"/>
        <v>0</v>
      </c>
      <c r="J17">
        <f t="shared" si="0"/>
        <v>4.9999999999954525E-2</v>
      </c>
      <c r="K17">
        <v>2E-3</v>
      </c>
      <c r="L17">
        <v>1725.16</v>
      </c>
    </row>
    <row r="18" spans="1:14">
      <c r="A18" s="5" t="s">
        <v>318</v>
      </c>
      <c r="B18" s="5"/>
      <c r="C18" s="3">
        <v>420</v>
      </c>
      <c r="D18">
        <f t="shared" si="5"/>
        <v>1724.787</v>
      </c>
      <c r="E18">
        <f>ROUND(D18,2)</f>
        <v>1724.79</v>
      </c>
      <c r="G18">
        <f>ROUND(G17-(C18-C17)*K17,2)</f>
        <v>1725.02</v>
      </c>
      <c r="H18">
        <v>1725.02</v>
      </c>
      <c r="I18">
        <f t="shared" si="2"/>
        <v>0</v>
      </c>
      <c r="J18">
        <f t="shared" si="0"/>
        <v>-0.23000000000001819</v>
      </c>
      <c r="K18">
        <v>2E-3</v>
      </c>
      <c r="L18">
        <v>1725.02</v>
      </c>
    </row>
    <row r="19" spans="1:14">
      <c r="A19" s="5"/>
      <c r="B19" s="5"/>
      <c r="C19" s="3">
        <v>423</v>
      </c>
      <c r="D19">
        <f t="shared" si="5"/>
        <v>1724.787</v>
      </c>
      <c r="E19">
        <f>ROUND(D19,2)</f>
        <v>1724.79</v>
      </c>
      <c r="G19">
        <f>G18-2.2</f>
        <v>1722.82</v>
      </c>
      <c r="H19">
        <v>1725.02</v>
      </c>
      <c r="I19">
        <f t="shared" si="2"/>
        <v>-2.2000000000000455</v>
      </c>
      <c r="J19">
        <f>E19-G19</f>
        <v>1.9700000000000273</v>
      </c>
      <c r="K19">
        <v>2E-3</v>
      </c>
      <c r="L19">
        <v>1722.81</v>
      </c>
    </row>
    <row r="20" spans="1:14">
      <c r="B20" s="5"/>
      <c r="C20" s="3">
        <v>430</v>
      </c>
      <c r="D20">
        <f>D16-0.014*(C20-C16)</f>
        <v>1724.6470000000002</v>
      </c>
      <c r="E20">
        <f t="shared" si="1"/>
        <v>1724.65</v>
      </c>
      <c r="F20" t="str">
        <f t="shared" si="3"/>
        <v>1/500</v>
      </c>
      <c r="G20">
        <f>ROUND(G19-(C20-C19-5)*K19,2)</f>
        <v>1722.82</v>
      </c>
      <c r="H20">
        <v>1722.82</v>
      </c>
      <c r="I20">
        <f t="shared" si="2"/>
        <v>0</v>
      </c>
      <c r="J20">
        <f t="shared" si="0"/>
        <v>1.8300000000001546</v>
      </c>
      <c r="K20">
        <v>2E-3</v>
      </c>
      <c r="L20">
        <v>1722.8</v>
      </c>
    </row>
    <row r="21" spans="1:14">
      <c r="B21" s="5" t="s">
        <v>13</v>
      </c>
      <c r="C21" s="3">
        <v>460</v>
      </c>
      <c r="D21">
        <f>D17-0.014*(C21-C17)</f>
        <v>1724.269</v>
      </c>
      <c r="E21">
        <f t="shared" si="1"/>
        <v>1724.27</v>
      </c>
      <c r="F21" t="str">
        <f t="shared" si="3"/>
        <v>1/500</v>
      </c>
      <c r="G21">
        <f t="shared" ref="G21:G28" si="6">ROUND(G20-(C21-C20)*K20,2)</f>
        <v>1722.76</v>
      </c>
      <c r="H21">
        <v>1722.76</v>
      </c>
      <c r="I21">
        <f t="shared" si="2"/>
        <v>0</v>
      </c>
      <c r="J21">
        <f t="shared" si="0"/>
        <v>1.5099999999999909</v>
      </c>
      <c r="K21">
        <v>2E-3</v>
      </c>
      <c r="L21">
        <v>1722.74</v>
      </c>
    </row>
    <row r="22" spans="1:14">
      <c r="B22" s="6" t="s">
        <v>14</v>
      </c>
      <c r="C22" s="3">
        <v>464</v>
      </c>
      <c r="D22">
        <v>1724.03</v>
      </c>
      <c r="E22">
        <f t="shared" si="1"/>
        <v>1724.03</v>
      </c>
      <c r="F22" t="str">
        <f t="shared" si="3"/>
        <v>1/500</v>
      </c>
      <c r="G22">
        <f t="shared" si="6"/>
        <v>1722.75</v>
      </c>
      <c r="H22">
        <v>1722.75</v>
      </c>
      <c r="I22">
        <f t="shared" si="2"/>
        <v>0</v>
      </c>
      <c r="J22">
        <f t="shared" si="0"/>
        <v>1.2799999999999727</v>
      </c>
      <c r="K22">
        <v>2E-3</v>
      </c>
      <c r="L22">
        <v>1722.73</v>
      </c>
    </row>
    <row r="23" spans="1:14">
      <c r="B23" t="s">
        <v>15</v>
      </c>
      <c r="C23" s="3">
        <v>500</v>
      </c>
      <c r="D23">
        <v>1723.4590000000001</v>
      </c>
      <c r="E23">
        <f t="shared" si="1"/>
        <v>1723.46</v>
      </c>
      <c r="F23" t="str">
        <f t="shared" si="3"/>
        <v>1/500</v>
      </c>
      <c r="G23">
        <f t="shared" si="6"/>
        <v>1722.68</v>
      </c>
      <c r="H23">
        <v>1722.68</v>
      </c>
      <c r="I23">
        <f t="shared" si="2"/>
        <v>0</v>
      </c>
      <c r="J23">
        <f t="shared" si="0"/>
        <v>0.77999999999997272</v>
      </c>
      <c r="K23">
        <v>2E-3</v>
      </c>
      <c r="L23">
        <v>1722.66</v>
      </c>
    </row>
    <row r="24" spans="1:14">
      <c r="B24" t="s">
        <v>16</v>
      </c>
      <c r="C24" s="3">
        <v>550</v>
      </c>
      <c r="D24">
        <v>1722.885</v>
      </c>
      <c r="E24">
        <f t="shared" si="1"/>
        <v>1722.89</v>
      </c>
      <c r="F24" t="str">
        <f t="shared" si="3"/>
        <v>1/500</v>
      </c>
      <c r="G24">
        <f t="shared" si="6"/>
        <v>1722.58</v>
      </c>
      <c r="H24">
        <v>1722.58</v>
      </c>
      <c r="I24">
        <f t="shared" si="2"/>
        <v>0</v>
      </c>
      <c r="J24">
        <f t="shared" si="0"/>
        <v>0.3100000000001728</v>
      </c>
      <c r="K24">
        <v>2E-3</v>
      </c>
      <c r="L24">
        <v>1722.56</v>
      </c>
    </row>
    <row r="25" spans="1:14">
      <c r="B25" t="s">
        <v>17</v>
      </c>
      <c r="C25" s="3">
        <v>600</v>
      </c>
      <c r="D25">
        <v>1722.3789999999999</v>
      </c>
      <c r="E25">
        <f t="shared" si="1"/>
        <v>1722.38</v>
      </c>
      <c r="F25" t="str">
        <f t="shared" si="3"/>
        <v>1/500</v>
      </c>
      <c r="G25">
        <f t="shared" si="6"/>
        <v>1722.48</v>
      </c>
      <c r="H25">
        <v>1722.48</v>
      </c>
      <c r="I25">
        <f t="shared" si="2"/>
        <v>0</v>
      </c>
      <c r="J25">
        <f t="shared" si="0"/>
        <v>-9.9999999999909051E-2</v>
      </c>
      <c r="K25">
        <v>2E-3</v>
      </c>
      <c r="L25">
        <v>1722.46</v>
      </c>
    </row>
    <row r="26" spans="1:14">
      <c r="B26" s="2" t="s">
        <v>18</v>
      </c>
      <c r="C26" s="3">
        <v>610</v>
      </c>
      <c r="D26">
        <v>1722.623</v>
      </c>
      <c r="E26">
        <f t="shared" si="1"/>
        <v>1722.62</v>
      </c>
      <c r="F26" t="str">
        <f t="shared" si="3"/>
        <v>1/500</v>
      </c>
      <c r="G26">
        <f t="shared" si="6"/>
        <v>1722.46</v>
      </c>
      <c r="H26">
        <v>1722.46</v>
      </c>
      <c r="I26">
        <f t="shared" si="2"/>
        <v>0</v>
      </c>
      <c r="J26">
        <f t="shared" si="0"/>
        <v>0.15999999999985448</v>
      </c>
      <c r="K26">
        <v>2E-3</v>
      </c>
      <c r="L26">
        <v>1722.44</v>
      </c>
      <c r="M26">
        <f>E26-E31</f>
        <v>1.0099999999999909</v>
      </c>
      <c r="N26" s="3">
        <f>C31-C26</f>
        <v>100</v>
      </c>
    </row>
    <row r="27" spans="1:14">
      <c r="B27" s="5"/>
      <c r="C27" s="3">
        <v>650</v>
      </c>
      <c r="E27">
        <f>E26-(C27-C26)*0.01</f>
        <v>1722.2199999999998</v>
      </c>
      <c r="G27">
        <f t="shared" si="6"/>
        <v>1722.38</v>
      </c>
      <c r="H27">
        <v>1722.38</v>
      </c>
      <c r="I27">
        <f t="shared" si="2"/>
        <v>0</v>
      </c>
      <c r="J27">
        <f t="shared" si="0"/>
        <v>-0.16000000000030923</v>
      </c>
      <c r="K27">
        <v>2E-3</v>
      </c>
      <c r="L27">
        <v>1722.36</v>
      </c>
      <c r="M27">
        <f>M26/N26</f>
        <v>1.0099999999999909E-2</v>
      </c>
    </row>
    <row r="28" spans="1:14">
      <c r="A28" s="5" t="s">
        <v>319</v>
      </c>
      <c r="B28" s="5"/>
      <c r="C28" s="3">
        <v>660</v>
      </c>
      <c r="E28">
        <f>E27-(C28-C27)*0.01</f>
        <v>1722.12</v>
      </c>
      <c r="G28">
        <f t="shared" si="6"/>
        <v>1722.36</v>
      </c>
      <c r="H28">
        <v>1722.36</v>
      </c>
      <c r="I28">
        <f t="shared" si="2"/>
        <v>0</v>
      </c>
      <c r="J28">
        <f t="shared" si="0"/>
        <v>-0.24000000000000909</v>
      </c>
      <c r="K28">
        <v>2E-3</v>
      </c>
      <c r="L28">
        <v>1722.34</v>
      </c>
    </row>
    <row r="29" spans="1:14">
      <c r="A29" s="5"/>
      <c r="B29" s="5"/>
      <c r="C29" s="3">
        <v>663</v>
      </c>
      <c r="E29">
        <f>E28-(C29-C28)*0.01</f>
        <v>1722.09</v>
      </c>
      <c r="G29">
        <f>G28-2.2</f>
        <v>1720.1599999999999</v>
      </c>
      <c r="H29">
        <v>1720.1599999999999</v>
      </c>
      <c r="I29">
        <f t="shared" si="2"/>
        <v>0</v>
      </c>
      <c r="J29">
        <f t="shared" si="0"/>
        <v>1.9300000000000637</v>
      </c>
      <c r="K29">
        <v>2E-3</v>
      </c>
    </row>
    <row r="30" spans="1:14">
      <c r="B30" s="5"/>
      <c r="C30" s="3">
        <v>700</v>
      </c>
      <c r="E30">
        <f>E29-(C30-C29)*0.01</f>
        <v>1721.72</v>
      </c>
      <c r="G30">
        <f>ROUND(G29-(C30-C29+1)*K29,2)</f>
        <v>1720.08</v>
      </c>
      <c r="H30">
        <v>1720.08</v>
      </c>
      <c r="I30">
        <f t="shared" si="2"/>
        <v>0</v>
      </c>
      <c r="J30">
        <f t="shared" si="0"/>
        <v>1.6400000000001</v>
      </c>
      <c r="K30">
        <v>2E-3</v>
      </c>
    </row>
    <row r="31" spans="1:14">
      <c r="B31" s="2" t="s">
        <v>19</v>
      </c>
      <c r="C31" s="3">
        <v>710</v>
      </c>
      <c r="D31">
        <v>1721.6110000000001</v>
      </c>
      <c r="E31">
        <f t="shared" si="1"/>
        <v>1721.61</v>
      </c>
      <c r="F31" t="str">
        <f t="shared" si="3"/>
        <v>1/500</v>
      </c>
      <c r="G31">
        <f>ROUND(G30-(C31-C30)*K30,2)</f>
        <v>1720.06</v>
      </c>
      <c r="H31">
        <v>1720.06</v>
      </c>
      <c r="I31">
        <f t="shared" si="2"/>
        <v>0</v>
      </c>
      <c r="J31">
        <f t="shared" si="0"/>
        <v>1.5499999999999545</v>
      </c>
      <c r="K31">
        <v>2E-3</v>
      </c>
    </row>
    <row r="32" spans="1:14">
      <c r="B32" s="2" t="s">
        <v>20</v>
      </c>
      <c r="C32" s="3">
        <v>750</v>
      </c>
      <c r="D32">
        <v>1721.1949999999999</v>
      </c>
      <c r="E32">
        <f t="shared" si="1"/>
        <v>1721.2</v>
      </c>
      <c r="F32" t="str">
        <f t="shared" si="3"/>
        <v>1/500</v>
      </c>
      <c r="G32">
        <f>ROUND(G31-(C32-C31)*K31,2)</f>
        <v>1719.98</v>
      </c>
      <c r="H32">
        <v>1719.98</v>
      </c>
      <c r="I32">
        <f t="shared" si="2"/>
        <v>0</v>
      </c>
      <c r="J32">
        <f t="shared" si="0"/>
        <v>1.2200000000000273</v>
      </c>
      <c r="K32">
        <v>2E-3</v>
      </c>
    </row>
    <row r="33" spans="1:14">
      <c r="B33" s="2" t="s">
        <v>21</v>
      </c>
      <c r="C33" s="3">
        <v>800</v>
      </c>
      <c r="D33">
        <v>1720.597</v>
      </c>
      <c r="E33">
        <f t="shared" si="1"/>
        <v>1720.6</v>
      </c>
      <c r="F33" t="str">
        <f t="shared" si="3"/>
        <v>1/500</v>
      </c>
      <c r="G33">
        <f>ROUND(G32-(C33-C32)*K32,2)</f>
        <v>1719.88</v>
      </c>
      <c r="H33">
        <v>1719.88</v>
      </c>
      <c r="I33">
        <f t="shared" si="2"/>
        <v>0</v>
      </c>
      <c r="J33">
        <f t="shared" si="0"/>
        <v>0.71999999999979991</v>
      </c>
      <c r="K33">
        <v>2E-3</v>
      </c>
    </row>
    <row r="34" spans="1:14">
      <c r="B34" t="s">
        <v>22</v>
      </c>
      <c r="C34" s="3">
        <v>850</v>
      </c>
      <c r="D34">
        <v>1720</v>
      </c>
      <c r="E34">
        <f t="shared" si="1"/>
        <v>1720</v>
      </c>
      <c r="F34" t="str">
        <f t="shared" si="3"/>
        <v>1/500</v>
      </c>
      <c r="G34">
        <f>ROUND(G33-(C34-C33)*K33,2)</f>
        <v>1719.78</v>
      </c>
      <c r="H34">
        <v>1719.78</v>
      </c>
      <c r="I34">
        <f t="shared" si="2"/>
        <v>0</v>
      </c>
      <c r="J34">
        <f t="shared" si="0"/>
        <v>0.22000000000002728</v>
      </c>
      <c r="K34">
        <v>2E-3</v>
      </c>
    </row>
    <row r="35" spans="1:14">
      <c r="A35" s="5" t="s">
        <v>319</v>
      </c>
      <c r="B35" s="2" t="s">
        <v>23</v>
      </c>
      <c r="C35" s="3">
        <v>880</v>
      </c>
      <c r="D35">
        <v>1719.501</v>
      </c>
      <c r="E35">
        <f t="shared" si="1"/>
        <v>1719.5</v>
      </c>
      <c r="F35" t="str">
        <f t="shared" si="3"/>
        <v>1/500</v>
      </c>
      <c r="G35">
        <f>ROUND(G34-(C35-C34)*K34,2)</f>
        <v>1719.72</v>
      </c>
      <c r="H35">
        <v>1719.72</v>
      </c>
      <c r="I35">
        <f t="shared" si="2"/>
        <v>0</v>
      </c>
      <c r="J35">
        <f t="shared" si="0"/>
        <v>-0.22000000000002728</v>
      </c>
      <c r="K35">
        <v>2E-3</v>
      </c>
    </row>
    <row r="36" spans="1:14">
      <c r="A36" s="5"/>
      <c r="B36" s="2"/>
      <c r="C36" s="3">
        <v>882</v>
      </c>
      <c r="D36">
        <v>1719.501</v>
      </c>
      <c r="E36">
        <v>1719.49</v>
      </c>
      <c r="G36">
        <f>G35-2.2</f>
        <v>1717.52</v>
      </c>
      <c r="H36">
        <v>1717.52</v>
      </c>
      <c r="I36">
        <f t="shared" si="2"/>
        <v>0</v>
      </c>
      <c r="J36">
        <f t="shared" si="0"/>
        <v>1.9700000000000273</v>
      </c>
      <c r="K36">
        <v>2E-3</v>
      </c>
      <c r="N36" s="3"/>
    </row>
    <row r="37" spans="1:14">
      <c r="B37" s="5"/>
      <c r="C37" s="3">
        <v>900</v>
      </c>
      <c r="E37">
        <f>E36-(C37-C36)*0.012</f>
        <v>1719.2740000000001</v>
      </c>
      <c r="G37">
        <f t="shared" ref="G37:G44" si="7">ROUND(G36-(C37-C36)*K36,2)</f>
        <v>1717.48</v>
      </c>
      <c r="H37">
        <v>1717.48</v>
      </c>
      <c r="I37">
        <f t="shared" si="2"/>
        <v>0</v>
      </c>
      <c r="J37">
        <f t="shared" si="0"/>
        <v>1.7940000000000964</v>
      </c>
      <c r="K37">
        <v>2E-3</v>
      </c>
      <c r="M37">
        <f>E36-E38</f>
        <v>0.70000000000004547</v>
      </c>
      <c r="N37" s="3">
        <f>C38-C36</f>
        <v>58</v>
      </c>
    </row>
    <row r="38" spans="1:14">
      <c r="B38" s="2" t="s">
        <v>24</v>
      </c>
      <c r="C38" s="3">
        <v>940</v>
      </c>
      <c r="D38">
        <v>1718.7929999999999</v>
      </c>
      <c r="E38">
        <f t="shared" si="1"/>
        <v>1718.79</v>
      </c>
      <c r="F38" t="str">
        <f t="shared" si="3"/>
        <v>1/500</v>
      </c>
      <c r="G38">
        <f t="shared" si="7"/>
        <v>1717.4</v>
      </c>
      <c r="H38">
        <v>1717.4</v>
      </c>
      <c r="I38">
        <f t="shared" si="2"/>
        <v>0</v>
      </c>
      <c r="J38">
        <f t="shared" si="0"/>
        <v>1.3899999999998727</v>
      </c>
      <c r="K38">
        <v>2E-3</v>
      </c>
      <c r="M38">
        <f>M37/N37</f>
        <v>1.2068965517242163E-2</v>
      </c>
    </row>
    <row r="39" spans="1:14">
      <c r="B39" t="s">
        <v>25</v>
      </c>
      <c r="C39" s="3">
        <v>950</v>
      </c>
      <c r="D39">
        <v>1718.597</v>
      </c>
      <c r="E39">
        <f t="shared" si="1"/>
        <v>1718.6</v>
      </c>
      <c r="F39" t="str">
        <f t="shared" si="3"/>
        <v>1/500</v>
      </c>
      <c r="G39">
        <f t="shared" si="7"/>
        <v>1717.38</v>
      </c>
      <c r="H39">
        <v>1717.38</v>
      </c>
      <c r="I39">
        <f t="shared" si="2"/>
        <v>0</v>
      </c>
      <c r="J39">
        <f t="shared" si="0"/>
        <v>1.2199999999997999</v>
      </c>
      <c r="K39">
        <v>2E-3</v>
      </c>
    </row>
    <row r="40" spans="1:14">
      <c r="B40" t="s">
        <v>26</v>
      </c>
      <c r="C40" s="3">
        <v>1000</v>
      </c>
      <c r="D40">
        <v>1717.904</v>
      </c>
      <c r="E40">
        <f t="shared" ref="E40:E66" si="8">ROUND(D40,2)</f>
        <v>1717.9</v>
      </c>
      <c r="F40" t="str">
        <f t="shared" ref="F40:F66" si="9">"1/"&amp;ROUND(1/K40,0)</f>
        <v>1/500</v>
      </c>
      <c r="G40">
        <f t="shared" si="7"/>
        <v>1717.28</v>
      </c>
      <c r="H40">
        <v>1717.28</v>
      </c>
      <c r="I40">
        <f t="shared" si="2"/>
        <v>0</v>
      </c>
      <c r="J40">
        <f t="shared" si="0"/>
        <v>0.62000000000011823</v>
      </c>
      <c r="K40">
        <v>2E-3</v>
      </c>
    </row>
    <row r="41" spans="1:14">
      <c r="B41" t="s">
        <v>27</v>
      </c>
      <c r="C41" s="3">
        <v>1050</v>
      </c>
      <c r="D41">
        <v>1717.665</v>
      </c>
      <c r="E41">
        <f t="shared" si="8"/>
        <v>1717.67</v>
      </c>
      <c r="F41" t="str">
        <f t="shared" si="9"/>
        <v>1/500</v>
      </c>
      <c r="G41">
        <f t="shared" si="7"/>
        <v>1717.18</v>
      </c>
      <c r="H41">
        <v>1717.18</v>
      </c>
      <c r="I41">
        <f t="shared" si="2"/>
        <v>0</v>
      </c>
      <c r="J41">
        <f t="shared" si="0"/>
        <v>0.49000000000000909</v>
      </c>
      <c r="K41">
        <v>2E-3</v>
      </c>
    </row>
    <row r="42" spans="1:14">
      <c r="B42" t="s">
        <v>28</v>
      </c>
      <c r="C42" s="3">
        <v>1100</v>
      </c>
      <c r="D42">
        <v>1717.6320000000001</v>
      </c>
      <c r="E42">
        <f t="shared" si="8"/>
        <v>1717.63</v>
      </c>
      <c r="F42" t="str">
        <f t="shared" si="9"/>
        <v>1/500</v>
      </c>
      <c r="G42">
        <f t="shared" si="7"/>
        <v>1717.08</v>
      </c>
      <c r="H42">
        <v>1717.08</v>
      </c>
      <c r="I42">
        <f t="shared" si="2"/>
        <v>0</v>
      </c>
      <c r="J42">
        <f t="shared" si="0"/>
        <v>0.5500000000001819</v>
      </c>
      <c r="K42">
        <v>2E-3</v>
      </c>
    </row>
    <row r="43" spans="1:14">
      <c r="B43" s="2" t="s">
        <v>29</v>
      </c>
      <c r="C43" s="3">
        <v>1150</v>
      </c>
      <c r="D43">
        <v>1716.9939999999999</v>
      </c>
      <c r="E43">
        <f t="shared" si="8"/>
        <v>1716.99</v>
      </c>
      <c r="F43" t="str">
        <f t="shared" si="9"/>
        <v>1/500</v>
      </c>
      <c r="G43">
        <f t="shared" si="7"/>
        <v>1716.98</v>
      </c>
      <c r="H43">
        <v>1716.98</v>
      </c>
      <c r="I43">
        <f t="shared" si="2"/>
        <v>0</v>
      </c>
      <c r="J43">
        <f t="shared" si="0"/>
        <v>9.9999999999909051E-3</v>
      </c>
      <c r="K43">
        <v>2E-3</v>
      </c>
      <c r="M43">
        <f>D43-D46</f>
        <v>0.89400000000000546</v>
      </c>
      <c r="N43" s="3">
        <f>C46-C43</f>
        <v>50</v>
      </c>
    </row>
    <row r="44" spans="1:14">
      <c r="A44" s="5" t="s">
        <v>318</v>
      </c>
      <c r="B44" s="5"/>
      <c r="C44" s="3">
        <v>1170</v>
      </c>
      <c r="E44">
        <f>E43-(C44-C43)*0.018</f>
        <v>1716.63</v>
      </c>
      <c r="G44">
        <f t="shared" si="7"/>
        <v>1716.94</v>
      </c>
      <c r="H44">
        <v>1716.94</v>
      </c>
      <c r="I44">
        <f t="shared" si="2"/>
        <v>0</v>
      </c>
      <c r="J44">
        <f t="shared" si="0"/>
        <v>-0.30999999999994543</v>
      </c>
      <c r="K44">
        <v>2E-3</v>
      </c>
      <c r="M44">
        <f>M43/N43</f>
        <v>1.7880000000000108E-2</v>
      </c>
    </row>
    <row r="45" spans="1:14">
      <c r="A45" s="5"/>
      <c r="B45" s="5"/>
      <c r="C45" s="3">
        <v>1173</v>
      </c>
      <c r="E45">
        <f>E44-(C45-C44)*0.018</f>
        <v>1716.576</v>
      </c>
      <c r="G45">
        <f>G44-2.2</f>
        <v>1714.74</v>
      </c>
      <c r="H45">
        <v>1714.74</v>
      </c>
      <c r="I45">
        <f t="shared" si="2"/>
        <v>0</v>
      </c>
      <c r="J45">
        <f t="shared" si="0"/>
        <v>1.8360000000000127</v>
      </c>
      <c r="K45">
        <v>2E-3</v>
      </c>
    </row>
    <row r="46" spans="1:14">
      <c r="B46" s="2"/>
      <c r="C46" s="3">
        <v>1200</v>
      </c>
      <c r="D46">
        <v>1716.1</v>
      </c>
      <c r="E46">
        <f t="shared" si="8"/>
        <v>1716.1</v>
      </c>
      <c r="G46">
        <f>ROUND(G45-(C46-C45+1)*K45,2)</f>
        <v>1714.68</v>
      </c>
      <c r="H46">
        <v>1714.68</v>
      </c>
      <c r="I46">
        <f t="shared" si="2"/>
        <v>0</v>
      </c>
      <c r="J46">
        <f t="shared" si="0"/>
        <v>1.4199999999998454</v>
      </c>
      <c r="K46">
        <v>2E-3</v>
      </c>
    </row>
    <row r="47" spans="1:14">
      <c r="B47" s="2" t="s">
        <v>30</v>
      </c>
      <c r="C47" s="3">
        <v>1250</v>
      </c>
      <c r="D47">
        <v>1715.2260000000001</v>
      </c>
      <c r="E47">
        <f t="shared" si="8"/>
        <v>1715.23</v>
      </c>
      <c r="F47" t="str">
        <f t="shared" si="9"/>
        <v>1/500</v>
      </c>
      <c r="G47">
        <f>ROUND(G46-(C47-C46)*K46,2)</f>
        <v>1714.58</v>
      </c>
      <c r="H47">
        <v>1714.58</v>
      </c>
      <c r="I47">
        <f t="shared" si="2"/>
        <v>0</v>
      </c>
      <c r="J47">
        <f t="shared" si="0"/>
        <v>0.65000000000009095</v>
      </c>
      <c r="K47">
        <v>2E-3</v>
      </c>
    </row>
    <row r="48" spans="1:14">
      <c r="B48" s="2" t="s">
        <v>31</v>
      </c>
      <c r="C48" s="3">
        <v>1260</v>
      </c>
      <c r="D48">
        <v>1715.146</v>
      </c>
      <c r="E48">
        <f t="shared" si="8"/>
        <v>1715.15</v>
      </c>
      <c r="F48" t="str">
        <f t="shared" si="9"/>
        <v>1/500</v>
      </c>
      <c r="G48">
        <f>ROUND(G47-(C48-C47)*K47,2)</f>
        <v>1714.56</v>
      </c>
      <c r="H48">
        <v>1714.56</v>
      </c>
      <c r="I48">
        <f t="shared" si="2"/>
        <v>0</v>
      </c>
      <c r="J48">
        <f t="shared" si="0"/>
        <v>0.59000000000014552</v>
      </c>
      <c r="K48">
        <v>2E-3</v>
      </c>
      <c r="M48" t="e">
        <f>E48-#REF!</f>
        <v>#REF!</v>
      </c>
      <c r="N48" s="3" t="e">
        <f>#REF!-C48</f>
        <v>#REF!</v>
      </c>
    </row>
    <row r="49" spans="1:13">
      <c r="B49" s="2"/>
      <c r="C49" s="3">
        <v>1300</v>
      </c>
      <c r="E49">
        <f>E48-(C49-C48)*0.011</f>
        <v>1714.71</v>
      </c>
      <c r="G49">
        <f>ROUND(G48-(C49-C48)*K48,2)</f>
        <v>1714.48</v>
      </c>
      <c r="H49">
        <v>1714.48</v>
      </c>
      <c r="I49">
        <f t="shared" si="2"/>
        <v>0</v>
      </c>
      <c r="J49">
        <f t="shared" si="0"/>
        <v>0.23000000000001819</v>
      </c>
      <c r="K49">
        <v>2E-3</v>
      </c>
      <c r="M49" t="e">
        <f>M48/N48</f>
        <v>#REF!</v>
      </c>
    </row>
    <row r="50" spans="1:13">
      <c r="B50" s="2"/>
      <c r="C50" s="3">
        <v>1350</v>
      </c>
      <c r="E50">
        <f>E49-(C50-C49)*0.011</f>
        <v>1714.16</v>
      </c>
      <c r="G50">
        <f>ROUND(G49-(C50-C49)*K49,2)</f>
        <v>1714.38</v>
      </c>
      <c r="H50">
        <v>1714.38</v>
      </c>
      <c r="I50">
        <f t="shared" si="2"/>
        <v>0</v>
      </c>
      <c r="J50">
        <f t="shared" si="0"/>
        <v>-0.22000000000002728</v>
      </c>
      <c r="K50">
        <v>2E-3</v>
      </c>
    </row>
    <row r="51" spans="1:13">
      <c r="A51" s="5" t="s">
        <v>318</v>
      </c>
      <c r="B51" s="2"/>
      <c r="C51" s="3">
        <v>1360</v>
      </c>
      <c r="E51">
        <f>E50-(C51-C50)*0.011</f>
        <v>1714.0500000000002</v>
      </c>
      <c r="G51">
        <f>ROUND(G50-(C51-C50)*K50,2)</f>
        <v>1714.36</v>
      </c>
      <c r="H51">
        <v>1714.36</v>
      </c>
      <c r="I51">
        <f t="shared" si="2"/>
        <v>0</v>
      </c>
      <c r="J51">
        <f t="shared" si="0"/>
        <v>-0.30999999999971806</v>
      </c>
      <c r="K51">
        <v>2E-3</v>
      </c>
    </row>
    <row r="52" spans="1:13">
      <c r="A52" s="5"/>
      <c r="B52" s="2"/>
      <c r="C52" s="3">
        <v>1363</v>
      </c>
      <c r="D52">
        <f>D51-(B52-B51)*0.011</f>
        <v>0</v>
      </c>
      <c r="E52">
        <v>1714</v>
      </c>
      <c r="G52">
        <f>G51-2.2</f>
        <v>1712.1599999999999</v>
      </c>
      <c r="H52">
        <v>1712.1599999999999</v>
      </c>
      <c r="I52">
        <f t="shared" si="2"/>
        <v>0</v>
      </c>
      <c r="J52">
        <f t="shared" si="0"/>
        <v>1.8400000000001455</v>
      </c>
      <c r="K52">
        <v>2E-3</v>
      </c>
    </row>
    <row r="53" spans="1:13">
      <c r="B53" s="2"/>
      <c r="C53" s="3">
        <v>1400</v>
      </c>
      <c r="E53">
        <f>E50-(C53-C50)*0.011</f>
        <v>1713.6100000000001</v>
      </c>
      <c r="G53">
        <f>ROUND(G52-(C53-C52+1)*K52,2)</f>
        <v>1712.08</v>
      </c>
      <c r="H53">
        <v>1712.08</v>
      </c>
      <c r="I53">
        <f t="shared" si="2"/>
        <v>0</v>
      </c>
      <c r="J53">
        <f t="shared" si="0"/>
        <v>1.5300000000002001</v>
      </c>
      <c r="K53">
        <v>2E-3</v>
      </c>
    </row>
    <row r="54" spans="1:13">
      <c r="B54" t="s">
        <v>32</v>
      </c>
      <c r="C54" s="3">
        <v>1450</v>
      </c>
      <c r="D54">
        <v>1712.885</v>
      </c>
      <c r="E54">
        <f t="shared" si="8"/>
        <v>1712.89</v>
      </c>
      <c r="F54" t="str">
        <f t="shared" si="9"/>
        <v>1/500</v>
      </c>
      <c r="G54">
        <f t="shared" ref="G54:G59" si="10">ROUND(G53-(C54-C53)*K53,2)</f>
        <v>1711.98</v>
      </c>
      <c r="H54">
        <v>1711.98</v>
      </c>
      <c r="I54">
        <f t="shared" si="2"/>
        <v>0</v>
      </c>
      <c r="J54">
        <f t="shared" si="0"/>
        <v>0.91000000000008185</v>
      </c>
      <c r="K54">
        <v>2E-3</v>
      </c>
    </row>
    <row r="55" spans="1:13">
      <c r="B55" t="s">
        <v>33</v>
      </c>
      <c r="C55" s="3">
        <v>1500</v>
      </c>
      <c r="D55">
        <v>1712.329</v>
      </c>
      <c r="E55">
        <f t="shared" si="8"/>
        <v>1712.33</v>
      </c>
      <c r="F55" t="str">
        <f t="shared" si="9"/>
        <v>1/500</v>
      </c>
      <c r="G55">
        <f t="shared" si="10"/>
        <v>1711.88</v>
      </c>
      <c r="H55">
        <v>1711.88</v>
      </c>
      <c r="I55">
        <f t="shared" si="2"/>
        <v>0</v>
      </c>
      <c r="J55">
        <f t="shared" si="0"/>
        <v>0.4499999999998181</v>
      </c>
      <c r="K55">
        <v>2E-3</v>
      </c>
    </row>
    <row r="56" spans="1:13">
      <c r="B56" s="2" t="s">
        <v>34</v>
      </c>
      <c r="C56" s="3">
        <v>1510</v>
      </c>
      <c r="D56">
        <v>1712.289</v>
      </c>
      <c r="E56">
        <f t="shared" si="8"/>
        <v>1712.29</v>
      </c>
      <c r="F56" t="str">
        <f t="shared" si="9"/>
        <v>1/500</v>
      </c>
      <c r="G56">
        <f t="shared" si="10"/>
        <v>1711.86</v>
      </c>
      <c r="H56">
        <v>1711.86</v>
      </c>
      <c r="I56">
        <f t="shared" si="2"/>
        <v>0</v>
      </c>
      <c r="J56">
        <f t="shared" si="0"/>
        <v>0.43000000000006366</v>
      </c>
      <c r="K56">
        <v>2E-3</v>
      </c>
    </row>
    <row r="57" spans="1:13">
      <c r="B57" t="s">
        <v>35</v>
      </c>
      <c r="C57" s="3">
        <v>1600</v>
      </c>
      <c r="D57">
        <v>1712.136</v>
      </c>
      <c r="E57">
        <f t="shared" si="8"/>
        <v>1712.14</v>
      </c>
      <c r="F57" t="str">
        <f t="shared" si="9"/>
        <v>1/500</v>
      </c>
      <c r="G57">
        <f t="shared" si="10"/>
        <v>1711.68</v>
      </c>
      <c r="H57">
        <v>1711.68</v>
      </c>
      <c r="I57">
        <f t="shared" si="2"/>
        <v>0</v>
      </c>
      <c r="J57">
        <f t="shared" si="0"/>
        <v>0.46000000000003638</v>
      </c>
      <c r="K57">
        <v>2E-3</v>
      </c>
    </row>
    <row r="58" spans="1:13">
      <c r="B58" t="s">
        <v>36</v>
      </c>
      <c r="C58" s="3">
        <v>1620</v>
      </c>
      <c r="D58">
        <v>1711.6179999999999</v>
      </c>
      <c r="E58">
        <f t="shared" si="8"/>
        <v>1711.62</v>
      </c>
      <c r="F58" t="str">
        <f t="shared" si="9"/>
        <v>1/500</v>
      </c>
      <c r="G58">
        <f t="shared" si="10"/>
        <v>1711.64</v>
      </c>
      <c r="H58">
        <v>1711.64</v>
      </c>
      <c r="I58">
        <f t="shared" si="2"/>
        <v>0</v>
      </c>
      <c r="J58">
        <f t="shared" si="0"/>
        <v>-2.0000000000209184E-2</v>
      </c>
      <c r="K58">
        <v>2E-3</v>
      </c>
    </row>
    <row r="59" spans="1:13">
      <c r="A59" s="5" t="s">
        <v>318</v>
      </c>
      <c r="B59" t="s">
        <v>37</v>
      </c>
      <c r="C59" s="3">
        <v>1630</v>
      </c>
      <c r="D59">
        <v>1711.278</v>
      </c>
      <c r="E59">
        <f t="shared" si="8"/>
        <v>1711.28</v>
      </c>
      <c r="F59" t="str">
        <f t="shared" si="9"/>
        <v>1/500</v>
      </c>
      <c r="G59">
        <f t="shared" si="10"/>
        <v>1711.62</v>
      </c>
      <c r="H59">
        <v>1711.62</v>
      </c>
      <c r="I59">
        <f t="shared" si="2"/>
        <v>0</v>
      </c>
      <c r="J59">
        <f t="shared" si="0"/>
        <v>-0.33999999999991815</v>
      </c>
      <c r="K59">
        <v>2E-3</v>
      </c>
    </row>
    <row r="60" spans="1:13">
      <c r="A60" s="5"/>
      <c r="C60" s="3">
        <v>1633</v>
      </c>
      <c r="D60">
        <v>1711.278</v>
      </c>
      <c r="E60">
        <f t="shared" si="8"/>
        <v>1711.28</v>
      </c>
      <c r="F60" t="str">
        <f t="shared" ref="F60" si="11">"1/"&amp;ROUND(1/K60,0)</f>
        <v>1/500</v>
      </c>
      <c r="G60">
        <f>G59-2.2</f>
        <v>1709.4199999999998</v>
      </c>
      <c r="H60">
        <v>1709.4199999999998</v>
      </c>
      <c r="I60">
        <f t="shared" si="2"/>
        <v>0</v>
      </c>
      <c r="J60">
        <f t="shared" si="0"/>
        <v>1.8600000000001273</v>
      </c>
      <c r="K60">
        <v>2E-3</v>
      </c>
    </row>
    <row r="61" spans="1:13">
      <c r="B61" t="s">
        <v>38</v>
      </c>
      <c r="C61" s="3">
        <v>1650</v>
      </c>
      <c r="D61">
        <v>1710.693</v>
      </c>
      <c r="E61">
        <f t="shared" si="8"/>
        <v>1710.69</v>
      </c>
      <c r="F61" t="str">
        <f t="shared" si="9"/>
        <v>1/500</v>
      </c>
      <c r="G61">
        <f>ROUND(G60-(C61-C60+1)*K60,2)</f>
        <v>1709.38</v>
      </c>
      <c r="H61">
        <v>1709.38</v>
      </c>
      <c r="I61">
        <f t="shared" si="2"/>
        <v>0</v>
      </c>
      <c r="J61">
        <f t="shared" si="0"/>
        <v>1.3099999999999454</v>
      </c>
      <c r="K61">
        <v>2E-3</v>
      </c>
    </row>
    <row r="62" spans="1:13">
      <c r="B62" t="s">
        <v>39</v>
      </c>
      <c r="C62" s="3">
        <v>1700</v>
      </c>
      <c r="D62">
        <v>1710.011</v>
      </c>
      <c r="E62">
        <f t="shared" si="8"/>
        <v>1710.01</v>
      </c>
      <c r="F62" t="str">
        <f t="shared" si="9"/>
        <v>1/500</v>
      </c>
      <c r="G62">
        <f>ROUND(G61-(C62-C61)*K61,2)</f>
        <v>1709.28</v>
      </c>
      <c r="H62">
        <v>1709.28</v>
      </c>
      <c r="I62">
        <f t="shared" si="2"/>
        <v>0</v>
      </c>
      <c r="J62">
        <f t="shared" si="0"/>
        <v>0.73000000000001819</v>
      </c>
      <c r="K62">
        <v>2E-3</v>
      </c>
    </row>
    <row r="63" spans="1:13">
      <c r="B63" t="s">
        <v>40</v>
      </c>
      <c r="C63" s="3">
        <v>1800</v>
      </c>
      <c r="D63">
        <v>1709.2170000000001</v>
      </c>
      <c r="E63">
        <f t="shared" si="8"/>
        <v>1709.22</v>
      </c>
      <c r="F63" t="str">
        <f t="shared" si="9"/>
        <v>1/500</v>
      </c>
      <c r="G63">
        <f>ROUND(G62-(C63-C62)*K62,2)</f>
        <v>1709.08</v>
      </c>
      <c r="H63">
        <v>1709.08</v>
      </c>
      <c r="I63">
        <f t="shared" si="2"/>
        <v>0</v>
      </c>
      <c r="J63">
        <f t="shared" si="0"/>
        <v>0.14000000000010004</v>
      </c>
      <c r="K63">
        <v>2E-3</v>
      </c>
    </row>
    <row r="64" spans="1:13">
      <c r="A64" s="5" t="s">
        <v>318</v>
      </c>
      <c r="B64" t="s">
        <v>41</v>
      </c>
      <c r="C64" s="3">
        <v>1850</v>
      </c>
      <c r="D64">
        <v>1708.663</v>
      </c>
      <c r="E64">
        <f t="shared" si="8"/>
        <v>1708.66</v>
      </c>
      <c r="F64" t="str">
        <f t="shared" si="9"/>
        <v>1/500</v>
      </c>
      <c r="G64">
        <f>ROUND(G63-(C64-C63)*K63,2)</f>
        <v>1708.98</v>
      </c>
      <c r="H64">
        <v>1708.98</v>
      </c>
      <c r="I64">
        <f t="shared" si="2"/>
        <v>0</v>
      </c>
      <c r="J64">
        <f t="shared" si="0"/>
        <v>-0.31999999999993634</v>
      </c>
      <c r="K64">
        <v>2E-3</v>
      </c>
    </row>
    <row r="65" spans="1:11">
      <c r="A65" s="5"/>
      <c r="C65" s="3">
        <v>1853</v>
      </c>
      <c r="D65">
        <v>1708.663</v>
      </c>
      <c r="E65">
        <f t="shared" si="8"/>
        <v>1708.66</v>
      </c>
      <c r="F65" t="str">
        <f t="shared" ref="F65" si="12">"1/"&amp;ROUND(1/K65,0)</f>
        <v>1/500</v>
      </c>
      <c r="G65">
        <f>G64-2.2</f>
        <v>1706.78</v>
      </c>
      <c r="H65">
        <v>1706.78</v>
      </c>
      <c r="I65">
        <f t="shared" si="2"/>
        <v>0</v>
      </c>
      <c r="J65">
        <f t="shared" si="0"/>
        <v>1.8800000000001091</v>
      </c>
      <c r="K65">
        <v>2E-3</v>
      </c>
    </row>
    <row r="66" spans="1:11">
      <c r="B66" t="s">
        <v>42</v>
      </c>
      <c r="C66" s="3">
        <v>1900</v>
      </c>
      <c r="D66">
        <v>1708.0930000000001</v>
      </c>
      <c r="E66">
        <f t="shared" si="8"/>
        <v>1708.09</v>
      </c>
      <c r="F66" t="str">
        <f t="shared" si="9"/>
        <v>1/500</v>
      </c>
      <c r="G66">
        <f>ROUND(G65-(C66-C65+1)*K65,2)</f>
        <v>1706.68</v>
      </c>
      <c r="H66">
        <v>1706.68</v>
      </c>
      <c r="I66">
        <f t="shared" si="2"/>
        <v>0</v>
      </c>
      <c r="J66">
        <f t="shared" ref="J66:J129" si="13">E66-G66</f>
        <v>1.4099999999998545</v>
      </c>
      <c r="K66">
        <v>2E-3</v>
      </c>
    </row>
    <row r="67" spans="1:11">
      <c r="B67" t="s">
        <v>43</v>
      </c>
      <c r="C67" s="3">
        <v>1950</v>
      </c>
      <c r="D67">
        <v>1708.2139999999999</v>
      </c>
      <c r="E67">
        <f t="shared" ref="E67:E84" si="14">ROUND(D67,2)</f>
        <v>1708.21</v>
      </c>
      <c r="F67" t="str">
        <f t="shared" ref="F67:F84" si="15">"1/"&amp;ROUND(1/K67,0)</f>
        <v>1/500</v>
      </c>
      <c r="G67">
        <f>ROUND(G66-(C67-C66)*K66,2)</f>
        <v>1706.58</v>
      </c>
      <c r="H67">
        <v>1706.58</v>
      </c>
      <c r="I67">
        <f t="shared" ref="I67:I130" si="16">G67-H67</f>
        <v>0</v>
      </c>
      <c r="J67">
        <f t="shared" si="13"/>
        <v>1.6300000000001091</v>
      </c>
      <c r="K67">
        <v>2E-3</v>
      </c>
    </row>
    <row r="68" spans="1:11">
      <c r="B68" t="s">
        <v>44</v>
      </c>
      <c r="C68" s="3">
        <v>2000</v>
      </c>
      <c r="D68">
        <v>1707.9090000000001</v>
      </c>
      <c r="E68">
        <f t="shared" si="14"/>
        <v>1707.91</v>
      </c>
      <c r="F68" t="str">
        <f t="shared" si="15"/>
        <v>1/500</v>
      </c>
      <c r="G68">
        <f>ROUND(G67-(C68-C67)*K67,2)</f>
        <v>1706.48</v>
      </c>
      <c r="H68">
        <v>1706.48</v>
      </c>
      <c r="I68">
        <f t="shared" si="16"/>
        <v>0</v>
      </c>
      <c r="J68">
        <f t="shared" si="13"/>
        <v>1.4300000000000637</v>
      </c>
      <c r="K68">
        <v>2E-3</v>
      </c>
    </row>
    <row r="69" spans="1:11">
      <c r="B69" t="s">
        <v>45</v>
      </c>
      <c r="C69" s="3">
        <v>2050</v>
      </c>
      <c r="D69">
        <v>1707.0840000000001</v>
      </c>
      <c r="E69">
        <f t="shared" si="14"/>
        <v>1707.08</v>
      </c>
      <c r="F69" t="str">
        <f t="shared" si="15"/>
        <v>1/500</v>
      </c>
      <c r="G69">
        <f>ROUND(G68-(C69-C68)*K68,2)</f>
        <v>1706.38</v>
      </c>
      <c r="H69">
        <v>1706.38</v>
      </c>
      <c r="I69">
        <f t="shared" si="16"/>
        <v>0</v>
      </c>
      <c r="J69">
        <f t="shared" si="13"/>
        <v>0.6999999999998181</v>
      </c>
      <c r="K69">
        <v>2E-3</v>
      </c>
    </row>
    <row r="70" spans="1:11">
      <c r="B70" t="s">
        <v>46</v>
      </c>
      <c r="C70" s="3">
        <v>2100</v>
      </c>
      <c r="D70">
        <v>1706.3430000000001</v>
      </c>
      <c r="E70">
        <f t="shared" si="14"/>
        <v>1706.34</v>
      </c>
      <c r="F70" t="str">
        <f t="shared" si="15"/>
        <v>1/500</v>
      </c>
      <c r="G70">
        <f>ROUND(G69-(C70-C69)*K69,2)</f>
        <v>1706.28</v>
      </c>
      <c r="H70">
        <v>1706.28</v>
      </c>
      <c r="I70">
        <f t="shared" si="16"/>
        <v>0</v>
      </c>
      <c r="J70">
        <f t="shared" si="13"/>
        <v>5.999999999994543E-2</v>
      </c>
      <c r="K70">
        <v>2E-3</v>
      </c>
    </row>
    <row r="71" spans="1:11">
      <c r="A71" s="5" t="s">
        <v>318</v>
      </c>
      <c r="B71" t="s">
        <v>47</v>
      </c>
      <c r="C71" s="3">
        <v>2120</v>
      </c>
      <c r="D71">
        <v>1705.9490000000001</v>
      </c>
      <c r="E71">
        <f t="shared" si="14"/>
        <v>1705.95</v>
      </c>
      <c r="F71" t="str">
        <f t="shared" si="15"/>
        <v>1/500</v>
      </c>
      <c r="G71">
        <f>ROUND(G70-(C71-C70)*K70,2)</f>
        <v>1706.24</v>
      </c>
      <c r="H71">
        <v>1706.24</v>
      </c>
      <c r="I71">
        <f t="shared" si="16"/>
        <v>0</v>
      </c>
      <c r="J71">
        <f t="shared" si="13"/>
        <v>-0.28999999999996362</v>
      </c>
      <c r="K71">
        <v>2E-3</v>
      </c>
    </row>
    <row r="72" spans="1:11">
      <c r="A72" s="5"/>
      <c r="C72" s="3">
        <v>2123</v>
      </c>
      <c r="D72">
        <v>1705.9490000000001</v>
      </c>
      <c r="E72">
        <f t="shared" si="14"/>
        <v>1705.95</v>
      </c>
      <c r="F72" t="str">
        <f t="shared" ref="F72" si="17">"1/"&amp;ROUND(1/K72,0)</f>
        <v>1/500</v>
      </c>
      <c r="G72">
        <f>G71-2.2</f>
        <v>1704.04</v>
      </c>
      <c r="H72">
        <v>1704.04</v>
      </c>
      <c r="I72">
        <f t="shared" si="16"/>
        <v>0</v>
      </c>
      <c r="J72">
        <f t="shared" si="13"/>
        <v>1.9100000000000819</v>
      </c>
      <c r="K72">
        <v>2E-3</v>
      </c>
    </row>
    <row r="73" spans="1:11">
      <c r="B73" t="s">
        <v>48</v>
      </c>
      <c r="C73" s="3">
        <v>2150</v>
      </c>
      <c r="D73">
        <v>1705.4639999999999</v>
      </c>
      <c r="E73">
        <f t="shared" si="14"/>
        <v>1705.46</v>
      </c>
      <c r="F73" t="str">
        <f t="shared" si="15"/>
        <v>1/500</v>
      </c>
      <c r="G73">
        <f>ROUND(G72-(C73-C72+1)*K72,2)</f>
        <v>1703.98</v>
      </c>
      <c r="H73">
        <v>1703.98</v>
      </c>
      <c r="I73">
        <f t="shared" si="16"/>
        <v>0</v>
      </c>
      <c r="J73">
        <f t="shared" si="13"/>
        <v>1.4800000000000182</v>
      </c>
      <c r="K73">
        <v>2E-3</v>
      </c>
    </row>
    <row r="74" spans="1:11">
      <c r="B74" t="s">
        <v>49</v>
      </c>
      <c r="C74" s="3">
        <v>2200</v>
      </c>
      <c r="D74">
        <v>1704.8710000000001</v>
      </c>
      <c r="E74">
        <f t="shared" si="14"/>
        <v>1704.87</v>
      </c>
      <c r="F74" t="str">
        <f t="shared" si="15"/>
        <v>1/500</v>
      </c>
      <c r="G74">
        <f t="shared" ref="G74:G80" si="18">ROUND(G73-(C74-C73)*K73,2)</f>
        <v>1703.88</v>
      </c>
      <c r="H74">
        <v>1703.88</v>
      </c>
      <c r="I74">
        <f t="shared" si="16"/>
        <v>0</v>
      </c>
      <c r="J74">
        <f t="shared" si="13"/>
        <v>0.98999999999978172</v>
      </c>
      <c r="K74">
        <v>2E-3</v>
      </c>
    </row>
    <row r="75" spans="1:11">
      <c r="B75" t="s">
        <v>50</v>
      </c>
      <c r="C75" s="3">
        <v>2250</v>
      </c>
      <c r="D75">
        <v>1704.1690000000001</v>
      </c>
      <c r="E75">
        <f t="shared" si="14"/>
        <v>1704.17</v>
      </c>
      <c r="F75" t="str">
        <f t="shared" si="15"/>
        <v>1/500</v>
      </c>
      <c r="G75">
        <f t="shared" si="18"/>
        <v>1703.78</v>
      </c>
      <c r="H75">
        <v>1703.78</v>
      </c>
      <c r="I75">
        <f t="shared" si="16"/>
        <v>0</v>
      </c>
      <c r="J75">
        <f t="shared" si="13"/>
        <v>0.39000000000010004</v>
      </c>
      <c r="K75">
        <v>2E-3</v>
      </c>
    </row>
    <row r="76" spans="1:11">
      <c r="B76" t="s">
        <v>51</v>
      </c>
      <c r="C76" s="3">
        <v>2300</v>
      </c>
      <c r="D76">
        <v>1703.4970000000001</v>
      </c>
      <c r="E76">
        <f t="shared" si="14"/>
        <v>1703.5</v>
      </c>
      <c r="F76" t="str">
        <f t="shared" si="15"/>
        <v>1/500</v>
      </c>
      <c r="G76">
        <f t="shared" si="18"/>
        <v>1703.68</v>
      </c>
      <c r="H76">
        <v>1703.68</v>
      </c>
      <c r="I76">
        <f t="shared" si="16"/>
        <v>0</v>
      </c>
      <c r="J76">
        <f t="shared" si="13"/>
        <v>-0.18000000000006366</v>
      </c>
      <c r="K76">
        <v>2E-3</v>
      </c>
    </row>
    <row r="77" spans="1:11">
      <c r="B77" t="s">
        <v>52</v>
      </c>
      <c r="C77" s="3">
        <v>2310</v>
      </c>
      <c r="D77">
        <v>1703.645</v>
      </c>
      <c r="E77">
        <f t="shared" si="14"/>
        <v>1703.65</v>
      </c>
      <c r="F77" t="str">
        <f t="shared" si="15"/>
        <v>1/500</v>
      </c>
      <c r="G77">
        <f t="shared" si="18"/>
        <v>1703.66</v>
      </c>
      <c r="H77">
        <v>1703.66</v>
      </c>
      <c r="I77">
        <f t="shared" si="16"/>
        <v>0</v>
      </c>
      <c r="J77">
        <f t="shared" si="13"/>
        <v>-9.9999999999909051E-3</v>
      </c>
      <c r="K77">
        <v>2E-3</v>
      </c>
    </row>
    <row r="78" spans="1:11">
      <c r="B78" t="s">
        <v>53</v>
      </c>
      <c r="C78" s="3">
        <v>2320</v>
      </c>
      <c r="D78">
        <v>1703.5239999999999</v>
      </c>
      <c r="E78">
        <f t="shared" si="14"/>
        <v>1703.52</v>
      </c>
      <c r="F78" t="str">
        <f t="shared" si="15"/>
        <v>1/500</v>
      </c>
      <c r="G78">
        <f t="shared" si="18"/>
        <v>1703.64</v>
      </c>
      <c r="H78">
        <v>1703.64</v>
      </c>
      <c r="I78">
        <f t="shared" si="16"/>
        <v>0</v>
      </c>
      <c r="J78">
        <f t="shared" si="13"/>
        <v>-0.12000000000011823</v>
      </c>
      <c r="K78">
        <v>2E-3</v>
      </c>
    </row>
    <row r="79" spans="1:11">
      <c r="B79" t="s">
        <v>54</v>
      </c>
      <c r="C79" s="3">
        <v>2330</v>
      </c>
      <c r="D79">
        <v>1703.394</v>
      </c>
      <c r="E79">
        <f t="shared" si="14"/>
        <v>1703.39</v>
      </c>
      <c r="F79" t="str">
        <f t="shared" si="15"/>
        <v>1/500</v>
      </c>
      <c r="G79">
        <f t="shared" si="18"/>
        <v>1703.62</v>
      </c>
      <c r="H79">
        <v>1703.62</v>
      </c>
      <c r="I79">
        <f t="shared" si="16"/>
        <v>0</v>
      </c>
      <c r="J79">
        <f t="shared" si="13"/>
        <v>-0.22999999999979082</v>
      </c>
      <c r="K79">
        <v>2E-3</v>
      </c>
    </row>
    <row r="80" spans="1:11">
      <c r="A80" s="5" t="s">
        <v>318</v>
      </c>
      <c r="B80" t="s">
        <v>55</v>
      </c>
      <c r="C80" s="3">
        <v>2340</v>
      </c>
      <c r="D80">
        <v>1703.252</v>
      </c>
      <c r="E80">
        <f t="shared" si="14"/>
        <v>1703.25</v>
      </c>
      <c r="F80" t="str">
        <f t="shared" si="15"/>
        <v>1/500</v>
      </c>
      <c r="G80">
        <f t="shared" si="18"/>
        <v>1703.6</v>
      </c>
      <c r="H80">
        <v>1703.6</v>
      </c>
      <c r="I80">
        <f t="shared" si="16"/>
        <v>0</v>
      </c>
      <c r="J80">
        <f t="shared" si="13"/>
        <v>-0.34999999999990905</v>
      </c>
      <c r="K80">
        <v>2E-3</v>
      </c>
    </row>
    <row r="81" spans="1:11">
      <c r="A81" s="5"/>
      <c r="C81" s="3">
        <v>2343</v>
      </c>
      <c r="D81">
        <v>1703.252</v>
      </c>
      <c r="E81">
        <f t="shared" ref="E81" si="19">ROUND(D81,2)</f>
        <v>1703.25</v>
      </c>
      <c r="F81" t="str">
        <f t="shared" ref="F81" si="20">"1/"&amp;ROUND(1/K81,0)</f>
        <v>1/500</v>
      </c>
      <c r="G81">
        <f>G80-2.2</f>
        <v>1701.3999999999999</v>
      </c>
      <c r="H81">
        <v>1701.3999999999999</v>
      </c>
      <c r="I81">
        <f t="shared" si="16"/>
        <v>0</v>
      </c>
      <c r="J81">
        <f t="shared" si="13"/>
        <v>1.8500000000001364</v>
      </c>
      <c r="K81">
        <v>2E-3</v>
      </c>
    </row>
    <row r="82" spans="1:11">
      <c r="B82" t="s">
        <v>56</v>
      </c>
      <c r="C82" s="3">
        <v>2350</v>
      </c>
      <c r="D82">
        <v>1703.143</v>
      </c>
      <c r="E82">
        <f t="shared" si="14"/>
        <v>1703.14</v>
      </c>
      <c r="F82" t="str">
        <f t="shared" si="15"/>
        <v>1/500</v>
      </c>
      <c r="G82">
        <f>ROUND(G81-(C82-C81+1)*K81,2)</f>
        <v>1701.38</v>
      </c>
      <c r="H82">
        <v>1701.38</v>
      </c>
      <c r="I82">
        <f t="shared" si="16"/>
        <v>0</v>
      </c>
      <c r="J82">
        <f t="shared" si="13"/>
        <v>1.7599999999999909</v>
      </c>
      <c r="K82">
        <v>2E-3</v>
      </c>
    </row>
    <row r="83" spans="1:11">
      <c r="B83" t="s">
        <v>57</v>
      </c>
      <c r="C83" s="3">
        <v>2400</v>
      </c>
      <c r="D83">
        <v>1702.413</v>
      </c>
      <c r="E83">
        <f t="shared" si="14"/>
        <v>1702.41</v>
      </c>
      <c r="F83" t="str">
        <f t="shared" si="15"/>
        <v>1/500</v>
      </c>
      <c r="G83">
        <f>ROUND(G82-(C83-C82)*K82,2)</f>
        <v>1701.28</v>
      </c>
      <c r="H83">
        <v>1701.28</v>
      </c>
      <c r="I83">
        <f t="shared" si="16"/>
        <v>0</v>
      </c>
      <c r="J83">
        <f t="shared" si="13"/>
        <v>1.1300000000001091</v>
      </c>
      <c r="K83">
        <v>2E-3</v>
      </c>
    </row>
    <row r="84" spans="1:11">
      <c r="B84" t="s">
        <v>58</v>
      </c>
      <c r="C84" s="3">
        <v>2450</v>
      </c>
      <c r="D84">
        <v>1701.729</v>
      </c>
      <c r="E84">
        <f t="shared" si="14"/>
        <v>1701.73</v>
      </c>
      <c r="F84" t="str">
        <f t="shared" si="15"/>
        <v>1/500</v>
      </c>
      <c r="G84">
        <f>ROUND(G83-(C84-C83)*K83,2)</f>
        <v>1701.18</v>
      </c>
      <c r="H84">
        <v>1701.18</v>
      </c>
      <c r="I84">
        <f t="shared" si="16"/>
        <v>0</v>
      </c>
      <c r="J84">
        <f t="shared" si="13"/>
        <v>0.54999999999995453</v>
      </c>
      <c r="K84">
        <v>2E-3</v>
      </c>
    </row>
    <row r="85" spans="1:11">
      <c r="B85" t="s">
        <v>59</v>
      </c>
      <c r="C85" s="3">
        <v>2500</v>
      </c>
      <c r="D85">
        <v>1701.316</v>
      </c>
      <c r="E85">
        <f t="shared" ref="E85:E101" si="21">ROUND(D85,2)</f>
        <v>1701.32</v>
      </c>
      <c r="F85" t="str">
        <f t="shared" ref="F85:F101" si="22">"1/"&amp;ROUND(1/K85,0)</f>
        <v>1/500</v>
      </c>
      <c r="G85">
        <f>ROUND(G84-(C85-C84)*K84,2)</f>
        <v>1701.08</v>
      </c>
      <c r="H85">
        <v>1701.08</v>
      </c>
      <c r="I85">
        <f t="shared" si="16"/>
        <v>0</v>
      </c>
      <c r="J85">
        <f t="shared" si="13"/>
        <v>0.24000000000000909</v>
      </c>
      <c r="K85">
        <v>2E-3</v>
      </c>
    </row>
    <row r="86" spans="1:11">
      <c r="B86" t="s">
        <v>60</v>
      </c>
      <c r="C86" s="3">
        <v>2550</v>
      </c>
      <c r="D86">
        <v>1700.8520000000001</v>
      </c>
      <c r="E86">
        <f t="shared" si="21"/>
        <v>1700.85</v>
      </c>
      <c r="F86" t="str">
        <f t="shared" si="22"/>
        <v>1/500</v>
      </c>
      <c r="G86">
        <f>ROUND(G85-(C86-C85)*K85,2)</f>
        <v>1700.98</v>
      </c>
      <c r="H86">
        <v>1700.98</v>
      </c>
      <c r="I86">
        <f t="shared" si="16"/>
        <v>0</v>
      </c>
      <c r="J86">
        <f t="shared" si="13"/>
        <v>-0.13000000000010914</v>
      </c>
      <c r="K86">
        <v>2E-3</v>
      </c>
    </row>
    <row r="87" spans="1:11">
      <c r="A87" s="5" t="s">
        <v>318</v>
      </c>
      <c r="B87" t="s">
        <v>61</v>
      </c>
      <c r="C87" s="3">
        <v>2560</v>
      </c>
      <c r="D87">
        <v>1700.652</v>
      </c>
      <c r="E87">
        <f t="shared" si="21"/>
        <v>1700.65</v>
      </c>
      <c r="F87" t="str">
        <f t="shared" si="22"/>
        <v>1/500</v>
      </c>
      <c r="G87">
        <f>ROUND(G86-(C87-C86)*K86,2)</f>
        <v>1700.96</v>
      </c>
      <c r="H87">
        <v>1700.96</v>
      </c>
      <c r="I87">
        <f t="shared" si="16"/>
        <v>0</v>
      </c>
      <c r="J87">
        <f t="shared" si="13"/>
        <v>-0.30999999999994543</v>
      </c>
      <c r="K87">
        <v>2E-3</v>
      </c>
    </row>
    <row r="88" spans="1:11">
      <c r="A88" s="5"/>
      <c r="C88" s="3">
        <v>2563</v>
      </c>
      <c r="D88">
        <v>1700.652</v>
      </c>
      <c r="E88">
        <f t="shared" si="21"/>
        <v>1700.65</v>
      </c>
      <c r="G88">
        <f>G87-2.2</f>
        <v>1698.76</v>
      </c>
      <c r="H88">
        <v>1698.76</v>
      </c>
      <c r="I88">
        <f t="shared" si="16"/>
        <v>0</v>
      </c>
      <c r="J88">
        <f t="shared" si="13"/>
        <v>1.8900000000001</v>
      </c>
      <c r="K88">
        <v>2E-3</v>
      </c>
    </row>
    <row r="89" spans="1:11">
      <c r="B89" t="s">
        <v>62</v>
      </c>
      <c r="C89" s="3">
        <v>2600</v>
      </c>
      <c r="D89">
        <v>1700.367</v>
      </c>
      <c r="E89">
        <f t="shared" si="21"/>
        <v>1700.37</v>
      </c>
      <c r="F89" t="str">
        <f t="shared" si="22"/>
        <v>1/500</v>
      </c>
      <c r="G89">
        <f>ROUND(G88-(C89-C88+1)*K88,2)</f>
        <v>1698.68</v>
      </c>
      <c r="H89">
        <v>1698.68</v>
      </c>
      <c r="I89">
        <f t="shared" si="16"/>
        <v>0</v>
      </c>
      <c r="J89">
        <f t="shared" si="13"/>
        <v>1.6899999999998272</v>
      </c>
      <c r="K89">
        <v>2E-3</v>
      </c>
    </row>
    <row r="90" spans="1:11">
      <c r="B90" t="s">
        <v>63</v>
      </c>
      <c r="C90" s="3">
        <v>2650</v>
      </c>
      <c r="D90">
        <v>1700.0119999999999</v>
      </c>
      <c r="E90">
        <f t="shared" si="21"/>
        <v>1700.01</v>
      </c>
      <c r="F90" t="str">
        <f t="shared" si="22"/>
        <v>1/500</v>
      </c>
      <c r="G90">
        <f t="shared" ref="G90:G96" si="23">ROUND(G89-(C90-C89)*K89,2)</f>
        <v>1698.58</v>
      </c>
      <c r="H90">
        <v>1698.58</v>
      </c>
      <c r="I90">
        <f t="shared" si="16"/>
        <v>0</v>
      </c>
      <c r="J90">
        <f t="shared" si="13"/>
        <v>1.4300000000000637</v>
      </c>
      <c r="K90">
        <v>2E-3</v>
      </c>
    </row>
    <row r="91" spans="1:11">
      <c r="B91" t="s">
        <v>64</v>
      </c>
      <c r="C91" s="3">
        <v>2700</v>
      </c>
      <c r="D91">
        <v>1699.796</v>
      </c>
      <c r="E91">
        <f t="shared" si="21"/>
        <v>1699.8</v>
      </c>
      <c r="F91" t="str">
        <f t="shared" si="22"/>
        <v>1/500</v>
      </c>
      <c r="G91">
        <f t="shared" si="23"/>
        <v>1698.48</v>
      </c>
      <c r="H91">
        <v>1698.48</v>
      </c>
      <c r="I91">
        <f t="shared" si="16"/>
        <v>0</v>
      </c>
      <c r="J91">
        <f t="shared" si="13"/>
        <v>1.3199999999999363</v>
      </c>
      <c r="K91">
        <v>2E-3</v>
      </c>
    </row>
    <row r="92" spans="1:11">
      <c r="B92" t="s">
        <v>65</v>
      </c>
      <c r="C92" s="3">
        <v>2750</v>
      </c>
      <c r="D92">
        <v>1699.182</v>
      </c>
      <c r="E92">
        <f t="shared" si="21"/>
        <v>1699.18</v>
      </c>
      <c r="F92" t="str">
        <f t="shared" si="22"/>
        <v>1/500</v>
      </c>
      <c r="G92">
        <f t="shared" si="23"/>
        <v>1698.38</v>
      </c>
      <c r="H92">
        <v>1698.38</v>
      </c>
      <c r="I92">
        <f t="shared" si="16"/>
        <v>0</v>
      </c>
      <c r="J92">
        <f t="shared" si="13"/>
        <v>0.79999999999995453</v>
      </c>
      <c r="K92">
        <v>2E-3</v>
      </c>
    </row>
    <row r="93" spans="1:11">
      <c r="B93" t="s">
        <v>66</v>
      </c>
      <c r="C93" s="3">
        <v>2800</v>
      </c>
      <c r="D93">
        <v>1698.7349999999999</v>
      </c>
      <c r="E93">
        <f t="shared" si="21"/>
        <v>1698.74</v>
      </c>
      <c r="F93" t="str">
        <f t="shared" si="22"/>
        <v>1/500</v>
      </c>
      <c r="G93">
        <f t="shared" si="23"/>
        <v>1698.28</v>
      </c>
      <c r="H93">
        <v>1698.28</v>
      </c>
      <c r="I93">
        <f t="shared" si="16"/>
        <v>0</v>
      </c>
      <c r="J93">
        <f t="shared" si="13"/>
        <v>0.46000000000003638</v>
      </c>
      <c r="K93">
        <v>2E-3</v>
      </c>
    </row>
    <row r="94" spans="1:11">
      <c r="B94" t="s">
        <v>67</v>
      </c>
      <c r="C94" s="3">
        <v>2810</v>
      </c>
      <c r="D94">
        <v>1698.2360000000001</v>
      </c>
      <c r="E94">
        <f t="shared" si="21"/>
        <v>1698.24</v>
      </c>
      <c r="F94" t="str">
        <f t="shared" si="22"/>
        <v>1/500</v>
      </c>
      <c r="G94">
        <f t="shared" si="23"/>
        <v>1698.26</v>
      </c>
      <c r="H94">
        <v>1698.26</v>
      </c>
      <c r="I94">
        <f t="shared" si="16"/>
        <v>0</v>
      </c>
      <c r="J94">
        <f t="shared" si="13"/>
        <v>-1.999999999998181E-2</v>
      </c>
      <c r="K94">
        <v>2E-3</v>
      </c>
    </row>
    <row r="95" spans="1:11">
      <c r="B95" t="s">
        <v>68</v>
      </c>
      <c r="C95" s="3">
        <v>2817</v>
      </c>
      <c r="D95">
        <v>1698</v>
      </c>
      <c r="E95">
        <f t="shared" si="21"/>
        <v>1698</v>
      </c>
      <c r="F95" t="str">
        <f t="shared" si="22"/>
        <v>1/500</v>
      </c>
      <c r="G95">
        <f t="shared" si="23"/>
        <v>1698.25</v>
      </c>
      <c r="H95">
        <v>1698.25</v>
      </c>
      <c r="I95">
        <f t="shared" si="16"/>
        <v>0</v>
      </c>
      <c r="J95">
        <f t="shared" si="13"/>
        <v>-0.25</v>
      </c>
      <c r="K95">
        <v>2E-3</v>
      </c>
    </row>
    <row r="96" spans="1:11">
      <c r="A96" s="5" t="s">
        <v>318</v>
      </c>
      <c r="B96" t="s">
        <v>69</v>
      </c>
      <c r="C96" s="3">
        <v>2820</v>
      </c>
      <c r="D96">
        <v>1697.9159999999999</v>
      </c>
      <c r="E96">
        <f t="shared" si="21"/>
        <v>1697.92</v>
      </c>
      <c r="F96" t="str">
        <f t="shared" si="22"/>
        <v>1/500</v>
      </c>
      <c r="G96">
        <f t="shared" si="23"/>
        <v>1698.24</v>
      </c>
      <c r="H96">
        <v>1698.24</v>
      </c>
      <c r="I96">
        <f t="shared" si="16"/>
        <v>0</v>
      </c>
      <c r="J96">
        <f t="shared" si="13"/>
        <v>-0.31999999999993634</v>
      </c>
      <c r="K96">
        <v>2E-3</v>
      </c>
    </row>
    <row r="97" spans="1:11">
      <c r="A97" s="5"/>
      <c r="C97" s="3">
        <v>2823</v>
      </c>
      <c r="D97">
        <v>1697.9159999999999</v>
      </c>
      <c r="E97">
        <f t="shared" ref="E97" si="24">ROUND(D97,2)</f>
        <v>1697.92</v>
      </c>
      <c r="G97">
        <f>G96-2.2</f>
        <v>1696.04</v>
      </c>
      <c r="H97">
        <v>1696.04</v>
      </c>
      <c r="I97">
        <f t="shared" si="16"/>
        <v>0</v>
      </c>
      <c r="J97">
        <f t="shared" si="13"/>
        <v>1.8800000000001091</v>
      </c>
      <c r="K97">
        <v>2E-3</v>
      </c>
    </row>
    <row r="98" spans="1:11">
      <c r="B98" t="s">
        <v>70</v>
      </c>
      <c r="C98" s="3">
        <v>2850</v>
      </c>
      <c r="D98">
        <v>1697.5830000000001</v>
      </c>
      <c r="E98">
        <f t="shared" si="21"/>
        <v>1697.58</v>
      </c>
      <c r="F98" t="str">
        <f t="shared" si="22"/>
        <v>1/500</v>
      </c>
      <c r="G98">
        <f>ROUND(G97-(C98-C97+1)*K97,2)</f>
        <v>1695.98</v>
      </c>
      <c r="H98">
        <v>1695.98</v>
      </c>
      <c r="I98">
        <f t="shared" si="16"/>
        <v>0</v>
      </c>
      <c r="J98">
        <f t="shared" si="13"/>
        <v>1.5999999999999091</v>
      </c>
      <c r="K98">
        <v>2E-3</v>
      </c>
    </row>
    <row r="99" spans="1:11">
      <c r="B99" t="s">
        <v>71</v>
      </c>
      <c r="C99" s="3">
        <v>2900</v>
      </c>
      <c r="D99">
        <v>1697.2180000000001</v>
      </c>
      <c r="E99">
        <f t="shared" si="21"/>
        <v>1697.22</v>
      </c>
      <c r="F99" t="str">
        <f t="shared" si="22"/>
        <v>1/500</v>
      </c>
      <c r="G99">
        <f t="shared" ref="G99:G105" si="25">ROUND(G98-(C99-C98)*K98,2)</f>
        <v>1695.88</v>
      </c>
      <c r="H99">
        <v>1695.88</v>
      </c>
      <c r="I99">
        <f t="shared" si="16"/>
        <v>0</v>
      </c>
      <c r="J99">
        <f t="shared" si="13"/>
        <v>1.3399999999999181</v>
      </c>
      <c r="K99">
        <v>2E-3</v>
      </c>
    </row>
    <row r="100" spans="1:11">
      <c r="B100" t="s">
        <v>72</v>
      </c>
      <c r="C100" s="3">
        <v>2950</v>
      </c>
      <c r="D100">
        <v>1696.854</v>
      </c>
      <c r="E100">
        <f t="shared" si="21"/>
        <v>1696.85</v>
      </c>
      <c r="F100" t="str">
        <f t="shared" si="22"/>
        <v>1/500</v>
      </c>
      <c r="G100">
        <f t="shared" si="25"/>
        <v>1695.78</v>
      </c>
      <c r="H100">
        <v>1695.78</v>
      </c>
      <c r="I100">
        <f t="shared" si="16"/>
        <v>0</v>
      </c>
      <c r="J100">
        <f t="shared" si="13"/>
        <v>1.0699999999999363</v>
      </c>
      <c r="K100">
        <v>2E-3</v>
      </c>
    </row>
    <row r="101" spans="1:11">
      <c r="B101" t="s">
        <v>73</v>
      </c>
      <c r="C101" s="3">
        <v>3000</v>
      </c>
      <c r="D101">
        <v>1696.4939999999999</v>
      </c>
      <c r="E101">
        <f t="shared" si="21"/>
        <v>1696.49</v>
      </c>
      <c r="F101" t="str">
        <f t="shared" si="22"/>
        <v>1/500</v>
      </c>
      <c r="G101">
        <f t="shared" si="25"/>
        <v>1695.68</v>
      </c>
      <c r="H101">
        <v>1695.68</v>
      </c>
      <c r="I101">
        <f t="shared" si="16"/>
        <v>0</v>
      </c>
      <c r="J101">
        <f t="shared" si="13"/>
        <v>0.80999999999994543</v>
      </c>
      <c r="K101">
        <v>2E-3</v>
      </c>
    </row>
    <row r="102" spans="1:11">
      <c r="B102" t="s">
        <v>74</v>
      </c>
      <c r="C102" s="3">
        <v>3050</v>
      </c>
      <c r="D102">
        <v>1696.1489999999999</v>
      </c>
      <c r="E102">
        <f t="shared" ref="E102:E118" si="26">ROUND(D102,2)</f>
        <v>1696.15</v>
      </c>
      <c r="F102" t="str">
        <f t="shared" ref="F102:F118" si="27">"1/"&amp;ROUND(1/K102,0)</f>
        <v>1/500</v>
      </c>
      <c r="G102">
        <f t="shared" si="25"/>
        <v>1695.58</v>
      </c>
      <c r="H102">
        <v>1695.58</v>
      </c>
      <c r="I102">
        <f t="shared" si="16"/>
        <v>0</v>
      </c>
      <c r="J102">
        <f t="shared" si="13"/>
        <v>0.57000000000016371</v>
      </c>
      <c r="K102">
        <v>2E-3</v>
      </c>
    </row>
    <row r="103" spans="1:11">
      <c r="B103" t="s">
        <v>75</v>
      </c>
      <c r="C103" s="3">
        <v>3100</v>
      </c>
      <c r="D103">
        <v>1696.078</v>
      </c>
      <c r="E103">
        <f t="shared" si="26"/>
        <v>1696.08</v>
      </c>
      <c r="F103" t="str">
        <f t="shared" si="27"/>
        <v>1/500</v>
      </c>
      <c r="G103">
        <f t="shared" si="25"/>
        <v>1695.48</v>
      </c>
      <c r="H103">
        <v>1695.48</v>
      </c>
      <c r="I103">
        <f t="shared" si="16"/>
        <v>0</v>
      </c>
      <c r="J103">
        <f t="shared" si="13"/>
        <v>0.59999999999990905</v>
      </c>
      <c r="K103">
        <v>2E-3</v>
      </c>
    </row>
    <row r="104" spans="1:11">
      <c r="B104" t="s">
        <v>76</v>
      </c>
      <c r="C104" s="3">
        <v>3150</v>
      </c>
      <c r="D104">
        <v>1695.59</v>
      </c>
      <c r="E104">
        <f t="shared" si="26"/>
        <v>1695.59</v>
      </c>
      <c r="F104" t="str">
        <f t="shared" si="27"/>
        <v>1/500</v>
      </c>
      <c r="G104">
        <f t="shared" si="25"/>
        <v>1695.38</v>
      </c>
      <c r="H104">
        <v>1695.38</v>
      </c>
      <c r="I104">
        <f t="shared" si="16"/>
        <v>0</v>
      </c>
      <c r="J104">
        <f t="shared" si="13"/>
        <v>0.20999999999980901</v>
      </c>
      <c r="K104">
        <v>2E-3</v>
      </c>
    </row>
    <row r="105" spans="1:11">
      <c r="A105" s="5" t="s">
        <v>318</v>
      </c>
      <c r="B105" t="s">
        <v>77</v>
      </c>
      <c r="C105" s="3">
        <v>3190</v>
      </c>
      <c r="D105">
        <v>1694.954</v>
      </c>
      <c r="E105">
        <f t="shared" si="26"/>
        <v>1694.95</v>
      </c>
      <c r="F105" t="str">
        <f t="shared" si="27"/>
        <v>1/500</v>
      </c>
      <c r="G105">
        <f t="shared" si="25"/>
        <v>1695.3</v>
      </c>
      <c r="H105">
        <v>1695.3</v>
      </c>
      <c r="I105">
        <f t="shared" si="16"/>
        <v>0</v>
      </c>
      <c r="J105">
        <f t="shared" si="13"/>
        <v>-0.34999999999990905</v>
      </c>
      <c r="K105">
        <v>2E-3</v>
      </c>
    </row>
    <row r="106" spans="1:11">
      <c r="A106" s="5"/>
      <c r="C106" s="3">
        <v>3193</v>
      </c>
      <c r="D106">
        <v>1694.954</v>
      </c>
      <c r="E106">
        <f t="shared" si="26"/>
        <v>1694.95</v>
      </c>
      <c r="G106">
        <f>G105-2.2</f>
        <v>1693.1</v>
      </c>
      <c r="H106">
        <v>1693.1</v>
      </c>
      <c r="I106">
        <f t="shared" si="16"/>
        <v>0</v>
      </c>
      <c r="J106">
        <f t="shared" si="13"/>
        <v>1.8500000000001364</v>
      </c>
      <c r="K106">
        <v>2E-3</v>
      </c>
    </row>
    <row r="107" spans="1:11">
      <c r="B107" t="s">
        <v>78</v>
      </c>
      <c r="C107" s="3">
        <v>3200</v>
      </c>
      <c r="D107">
        <v>1694.8009999999999</v>
      </c>
      <c r="E107">
        <f t="shared" si="26"/>
        <v>1694.8</v>
      </c>
      <c r="F107" t="str">
        <f t="shared" si="27"/>
        <v>1/500</v>
      </c>
      <c r="G107">
        <f>ROUND(G106-(C107-C106+1)*K106,2)</f>
        <v>1693.08</v>
      </c>
      <c r="H107">
        <v>1693.08</v>
      </c>
      <c r="I107">
        <f t="shared" si="16"/>
        <v>0</v>
      </c>
      <c r="J107">
        <f t="shared" si="13"/>
        <v>1.7200000000000273</v>
      </c>
      <c r="K107">
        <v>2E-3</v>
      </c>
    </row>
    <row r="108" spans="1:11">
      <c r="B108" t="s">
        <v>79</v>
      </c>
      <c r="C108" s="3">
        <v>3250</v>
      </c>
      <c r="D108">
        <v>1694.0319999999999</v>
      </c>
      <c r="E108">
        <f t="shared" si="26"/>
        <v>1694.03</v>
      </c>
      <c r="F108" t="str">
        <f t="shared" si="27"/>
        <v>1/500</v>
      </c>
      <c r="G108">
        <f>ROUND(G107-(C108-C107)*K107,2)</f>
        <v>1692.98</v>
      </c>
      <c r="H108">
        <v>1692.98</v>
      </c>
      <c r="I108">
        <f t="shared" si="16"/>
        <v>0</v>
      </c>
      <c r="J108">
        <f t="shared" si="13"/>
        <v>1.0499999999999545</v>
      </c>
      <c r="K108">
        <v>2E-3</v>
      </c>
    </row>
    <row r="109" spans="1:11">
      <c r="B109" t="s">
        <v>80</v>
      </c>
      <c r="C109" s="3">
        <v>3300</v>
      </c>
      <c r="D109">
        <v>1693.4549999999999</v>
      </c>
      <c r="E109">
        <f t="shared" si="26"/>
        <v>1693.46</v>
      </c>
      <c r="F109" t="str">
        <f t="shared" si="27"/>
        <v>1/500</v>
      </c>
      <c r="G109">
        <f>ROUND(G108-(C109-C108)*K108,2)</f>
        <v>1692.88</v>
      </c>
      <c r="H109">
        <v>1692.88</v>
      </c>
      <c r="I109">
        <f t="shared" si="16"/>
        <v>0</v>
      </c>
      <c r="J109">
        <f t="shared" si="13"/>
        <v>0.57999999999992724</v>
      </c>
      <c r="K109">
        <v>2E-3</v>
      </c>
    </row>
    <row r="110" spans="1:11">
      <c r="B110" t="s">
        <v>81</v>
      </c>
      <c r="C110" s="3">
        <v>3350</v>
      </c>
      <c r="D110">
        <v>1692.944</v>
      </c>
      <c r="E110">
        <f t="shared" si="26"/>
        <v>1692.94</v>
      </c>
      <c r="F110" t="str">
        <f t="shared" si="27"/>
        <v>1/500</v>
      </c>
      <c r="G110">
        <f>ROUND(G109-(C110-C109)*K109,2)</f>
        <v>1692.78</v>
      </c>
      <c r="H110">
        <v>1692.78</v>
      </c>
      <c r="I110">
        <f t="shared" si="16"/>
        <v>0</v>
      </c>
      <c r="J110">
        <f t="shared" si="13"/>
        <v>0.16000000000008185</v>
      </c>
      <c r="K110">
        <v>2E-3</v>
      </c>
    </row>
    <row r="111" spans="1:11">
      <c r="B111" t="s">
        <v>82</v>
      </c>
      <c r="C111" s="3">
        <v>3400</v>
      </c>
      <c r="D111">
        <v>1692.577</v>
      </c>
      <c r="E111">
        <f t="shared" si="26"/>
        <v>1692.58</v>
      </c>
      <c r="F111" t="str">
        <f t="shared" si="27"/>
        <v>1/500</v>
      </c>
      <c r="G111">
        <f>ROUND(G110-(C111-C110)*K110,2)</f>
        <v>1692.68</v>
      </c>
      <c r="H111">
        <v>1692.68</v>
      </c>
      <c r="I111">
        <f t="shared" si="16"/>
        <v>0</v>
      </c>
      <c r="J111">
        <f t="shared" si="13"/>
        <v>-0.10000000000013642</v>
      </c>
      <c r="K111">
        <v>2E-3</v>
      </c>
    </row>
    <row r="112" spans="1:11">
      <c r="A112" s="5" t="s">
        <v>318</v>
      </c>
      <c r="B112" t="s">
        <v>83</v>
      </c>
      <c r="C112" s="3">
        <v>3430</v>
      </c>
      <c r="D112">
        <v>1692.32</v>
      </c>
      <c r="E112">
        <f>ROUND(D112,2)</f>
        <v>1692.32</v>
      </c>
      <c r="F112" t="str">
        <f t="shared" si="27"/>
        <v>1/500</v>
      </c>
      <c r="G112">
        <f>ROUND(G111-(C112-C111)*K111,2)</f>
        <v>1692.62</v>
      </c>
      <c r="H112">
        <v>1692.62</v>
      </c>
      <c r="I112">
        <f t="shared" si="16"/>
        <v>0</v>
      </c>
      <c r="J112">
        <f t="shared" si="13"/>
        <v>-0.29999999999995453</v>
      </c>
      <c r="K112">
        <v>2E-3</v>
      </c>
    </row>
    <row r="113" spans="1:11">
      <c r="A113" s="5"/>
      <c r="C113" s="3">
        <v>3433</v>
      </c>
      <c r="D113">
        <v>1692.32</v>
      </c>
      <c r="E113">
        <f>ROUND(D113,2)</f>
        <v>1692.32</v>
      </c>
      <c r="G113">
        <f>G112-2.2</f>
        <v>1690.4199999999998</v>
      </c>
      <c r="H113">
        <v>1690.4199999999998</v>
      </c>
      <c r="I113">
        <f t="shared" si="16"/>
        <v>0</v>
      </c>
      <c r="J113">
        <f t="shared" si="13"/>
        <v>1.9000000000000909</v>
      </c>
      <c r="K113">
        <v>2E-3</v>
      </c>
    </row>
    <row r="114" spans="1:11">
      <c r="B114" t="s">
        <v>84</v>
      </c>
      <c r="C114" s="3">
        <v>3440</v>
      </c>
      <c r="D114">
        <v>1692.192</v>
      </c>
      <c r="E114">
        <f t="shared" si="26"/>
        <v>1692.19</v>
      </c>
      <c r="F114" t="str">
        <f t="shared" si="27"/>
        <v>1/500</v>
      </c>
      <c r="G114">
        <f>ROUND(G113-(C114-C113+1)*K113,2)</f>
        <v>1690.4</v>
      </c>
      <c r="H114">
        <v>1690.4</v>
      </c>
      <c r="I114">
        <f t="shared" si="16"/>
        <v>0</v>
      </c>
      <c r="J114">
        <f t="shared" si="13"/>
        <v>1.7899999999999636</v>
      </c>
      <c r="K114">
        <v>2E-3</v>
      </c>
    </row>
    <row r="115" spans="1:11">
      <c r="B115" t="s">
        <v>85</v>
      </c>
      <c r="C115" s="3">
        <v>3450</v>
      </c>
      <c r="D115">
        <v>1692.123</v>
      </c>
      <c r="E115">
        <f t="shared" si="26"/>
        <v>1692.12</v>
      </c>
      <c r="F115" t="str">
        <f t="shared" si="27"/>
        <v>1/500</v>
      </c>
      <c r="G115">
        <f t="shared" ref="G115:G121" si="28">ROUND(G114-(C115-C114)*K114,2)</f>
        <v>1690.38</v>
      </c>
      <c r="H115">
        <v>1690.38</v>
      </c>
      <c r="I115">
        <f t="shared" si="16"/>
        <v>0</v>
      </c>
      <c r="J115">
        <f t="shared" si="13"/>
        <v>1.7399999999997817</v>
      </c>
      <c r="K115">
        <v>2E-3</v>
      </c>
    </row>
    <row r="116" spans="1:11">
      <c r="B116" t="s">
        <v>86</v>
      </c>
      <c r="C116" s="3">
        <v>3500</v>
      </c>
      <c r="D116">
        <v>1691.683</v>
      </c>
      <c r="E116">
        <f t="shared" si="26"/>
        <v>1691.68</v>
      </c>
      <c r="F116" t="str">
        <f t="shared" si="27"/>
        <v>1/500</v>
      </c>
      <c r="G116">
        <f t="shared" si="28"/>
        <v>1690.28</v>
      </c>
      <c r="H116">
        <v>1690.28</v>
      </c>
      <c r="I116">
        <f t="shared" si="16"/>
        <v>0</v>
      </c>
      <c r="J116">
        <f t="shared" si="13"/>
        <v>1.4000000000000909</v>
      </c>
      <c r="K116">
        <v>2E-3</v>
      </c>
    </row>
    <row r="117" spans="1:11">
      <c r="B117" t="s">
        <v>87</v>
      </c>
      <c r="C117" s="3">
        <v>3550</v>
      </c>
      <c r="D117">
        <v>1691.26</v>
      </c>
      <c r="E117">
        <f t="shared" si="26"/>
        <v>1691.26</v>
      </c>
      <c r="F117" t="str">
        <f t="shared" si="27"/>
        <v>1/500</v>
      </c>
      <c r="G117">
        <f t="shared" si="28"/>
        <v>1690.18</v>
      </c>
      <c r="H117">
        <v>1690.18</v>
      </c>
      <c r="I117">
        <f t="shared" si="16"/>
        <v>0</v>
      </c>
      <c r="J117">
        <f t="shared" si="13"/>
        <v>1.0799999999999272</v>
      </c>
      <c r="K117">
        <v>2E-3</v>
      </c>
    </row>
    <row r="118" spans="1:11">
      <c r="B118" t="s">
        <v>88</v>
      </c>
      <c r="C118" s="3">
        <v>3600</v>
      </c>
      <c r="D118">
        <v>1691.075</v>
      </c>
      <c r="E118">
        <f t="shared" si="26"/>
        <v>1691.08</v>
      </c>
      <c r="F118" t="str">
        <f t="shared" si="27"/>
        <v>1/500</v>
      </c>
      <c r="G118">
        <f t="shared" si="28"/>
        <v>1690.08</v>
      </c>
      <c r="H118">
        <v>1690.08</v>
      </c>
      <c r="I118">
        <f t="shared" si="16"/>
        <v>0</v>
      </c>
      <c r="J118">
        <f t="shared" si="13"/>
        <v>1</v>
      </c>
      <c r="K118">
        <v>2E-3</v>
      </c>
    </row>
    <row r="119" spans="1:11">
      <c r="B119" t="s">
        <v>89</v>
      </c>
      <c r="C119" s="3">
        <v>3650</v>
      </c>
      <c r="D119">
        <v>1690.2819999999999</v>
      </c>
      <c r="E119">
        <f t="shared" ref="E119:E133" si="29">ROUND(D119,2)</f>
        <v>1690.28</v>
      </c>
      <c r="F119" t="str">
        <f t="shared" ref="F119:F133" si="30">"1/"&amp;ROUND(1/K119,0)</f>
        <v>1/500</v>
      </c>
      <c r="G119">
        <f t="shared" si="28"/>
        <v>1689.98</v>
      </c>
      <c r="H119">
        <v>1689.98</v>
      </c>
      <c r="I119">
        <f t="shared" si="16"/>
        <v>0</v>
      </c>
      <c r="J119">
        <f t="shared" si="13"/>
        <v>0.29999999999995453</v>
      </c>
      <c r="K119">
        <v>2E-3</v>
      </c>
    </row>
    <row r="120" spans="1:11">
      <c r="B120" t="s">
        <v>90</v>
      </c>
      <c r="C120" s="3">
        <v>3700</v>
      </c>
      <c r="D120">
        <v>1689.6790000000001</v>
      </c>
      <c r="E120">
        <f t="shared" si="29"/>
        <v>1689.68</v>
      </c>
      <c r="F120" t="str">
        <f t="shared" si="30"/>
        <v>1/500</v>
      </c>
      <c r="G120">
        <f t="shared" si="28"/>
        <v>1689.88</v>
      </c>
      <c r="H120">
        <v>1689.88</v>
      </c>
      <c r="I120">
        <f t="shared" si="16"/>
        <v>0</v>
      </c>
      <c r="J120">
        <f t="shared" si="13"/>
        <v>-0.20000000000004547</v>
      </c>
      <c r="K120">
        <v>2E-3</v>
      </c>
    </row>
    <row r="121" spans="1:11">
      <c r="A121" s="5" t="s">
        <v>318</v>
      </c>
      <c r="B121" t="s">
        <v>91</v>
      </c>
      <c r="C121" s="3">
        <v>3730</v>
      </c>
      <c r="D121">
        <v>1689.538</v>
      </c>
      <c r="E121">
        <f t="shared" si="29"/>
        <v>1689.54</v>
      </c>
      <c r="F121" t="str">
        <f t="shared" si="30"/>
        <v>1/500</v>
      </c>
      <c r="G121">
        <f t="shared" si="28"/>
        <v>1689.82</v>
      </c>
      <c r="H121">
        <v>1689.82</v>
      </c>
      <c r="I121">
        <f t="shared" si="16"/>
        <v>0</v>
      </c>
      <c r="J121">
        <f t="shared" si="13"/>
        <v>-0.27999999999997272</v>
      </c>
      <c r="K121">
        <v>2E-3</v>
      </c>
    </row>
    <row r="122" spans="1:11">
      <c r="A122" s="5"/>
      <c r="C122" s="3">
        <v>3733</v>
      </c>
      <c r="D122">
        <v>1689.538</v>
      </c>
      <c r="E122">
        <f t="shared" si="29"/>
        <v>1689.54</v>
      </c>
      <c r="G122">
        <f>G121-2.2</f>
        <v>1687.62</v>
      </c>
      <c r="H122">
        <v>1687.62</v>
      </c>
      <c r="I122">
        <f t="shared" si="16"/>
        <v>0</v>
      </c>
      <c r="J122">
        <f t="shared" si="13"/>
        <v>1.9200000000000728</v>
      </c>
      <c r="K122">
        <v>2E-3</v>
      </c>
    </row>
    <row r="123" spans="1:11">
      <c r="B123" t="s">
        <v>92</v>
      </c>
      <c r="C123" s="3">
        <v>3750</v>
      </c>
      <c r="D123">
        <v>1689.396</v>
      </c>
      <c r="E123">
        <f t="shared" si="29"/>
        <v>1689.4</v>
      </c>
      <c r="F123" t="str">
        <f t="shared" si="30"/>
        <v>1/500</v>
      </c>
      <c r="G123">
        <f>ROUND(G122-(C123-C122+1)*K122,2)</f>
        <v>1687.58</v>
      </c>
      <c r="H123">
        <v>1687.58</v>
      </c>
      <c r="I123">
        <f t="shared" si="16"/>
        <v>0</v>
      </c>
      <c r="J123">
        <f t="shared" si="13"/>
        <v>1.8200000000001637</v>
      </c>
      <c r="K123">
        <v>2E-3</v>
      </c>
    </row>
    <row r="124" spans="1:11">
      <c r="B124" t="s">
        <v>93</v>
      </c>
      <c r="C124" s="3">
        <v>3800</v>
      </c>
      <c r="D124">
        <v>1688.825</v>
      </c>
      <c r="E124">
        <f t="shared" si="29"/>
        <v>1688.83</v>
      </c>
      <c r="F124" t="str">
        <f t="shared" si="30"/>
        <v>1/500</v>
      </c>
      <c r="G124">
        <f t="shared" ref="G124:G130" si="31">ROUND(G123-(C124-C123)*K123,2)</f>
        <v>1687.48</v>
      </c>
      <c r="H124">
        <v>1687.48</v>
      </c>
      <c r="I124">
        <f t="shared" si="16"/>
        <v>0</v>
      </c>
      <c r="J124">
        <f t="shared" si="13"/>
        <v>1.3499999999999091</v>
      </c>
      <c r="K124">
        <v>2E-3</v>
      </c>
    </row>
    <row r="125" spans="1:11">
      <c r="B125" t="s">
        <v>94</v>
      </c>
      <c r="C125" s="3">
        <v>3850</v>
      </c>
      <c r="D125">
        <v>1688.3789999999999</v>
      </c>
      <c r="E125">
        <f t="shared" si="29"/>
        <v>1688.38</v>
      </c>
      <c r="F125" t="str">
        <f t="shared" si="30"/>
        <v>1/500</v>
      </c>
      <c r="G125">
        <f t="shared" si="31"/>
        <v>1687.38</v>
      </c>
      <c r="H125">
        <v>1687.38</v>
      </c>
      <c r="I125">
        <f t="shared" si="16"/>
        <v>0</v>
      </c>
      <c r="J125">
        <f t="shared" si="13"/>
        <v>1</v>
      </c>
      <c r="K125">
        <v>2E-3</v>
      </c>
    </row>
    <row r="126" spans="1:11">
      <c r="B126" t="s">
        <v>95</v>
      </c>
      <c r="C126" s="3">
        <v>3900</v>
      </c>
      <c r="D126">
        <v>1688.144</v>
      </c>
      <c r="E126">
        <f t="shared" si="29"/>
        <v>1688.14</v>
      </c>
      <c r="F126" t="str">
        <f t="shared" si="30"/>
        <v>1/500</v>
      </c>
      <c r="G126">
        <f t="shared" si="31"/>
        <v>1687.28</v>
      </c>
      <c r="H126">
        <v>1687.28</v>
      </c>
      <c r="I126">
        <f t="shared" si="16"/>
        <v>0</v>
      </c>
      <c r="J126">
        <f t="shared" si="13"/>
        <v>0.86000000000012733</v>
      </c>
      <c r="K126">
        <v>2E-3</v>
      </c>
    </row>
    <row r="127" spans="1:11">
      <c r="B127" t="s">
        <v>96</v>
      </c>
      <c r="C127" s="3">
        <v>3950</v>
      </c>
      <c r="D127">
        <v>1687.9390000000001</v>
      </c>
      <c r="E127">
        <f t="shared" si="29"/>
        <v>1687.94</v>
      </c>
      <c r="F127" t="str">
        <f t="shared" si="30"/>
        <v>1/500</v>
      </c>
      <c r="G127">
        <f t="shared" si="31"/>
        <v>1687.18</v>
      </c>
      <c r="H127">
        <v>1687.18</v>
      </c>
      <c r="I127">
        <f t="shared" si="16"/>
        <v>0</v>
      </c>
      <c r="J127">
        <f t="shared" si="13"/>
        <v>0.75999999999999091</v>
      </c>
      <c r="K127">
        <v>2E-3</v>
      </c>
    </row>
    <row r="128" spans="1:11">
      <c r="B128" t="s">
        <v>97</v>
      </c>
      <c r="C128" s="3">
        <v>4000</v>
      </c>
      <c r="D128">
        <v>1687.5429999999999</v>
      </c>
      <c r="E128">
        <f t="shared" si="29"/>
        <v>1687.54</v>
      </c>
      <c r="F128" t="str">
        <f t="shared" si="30"/>
        <v>1/500</v>
      </c>
      <c r="G128">
        <f t="shared" si="31"/>
        <v>1687.08</v>
      </c>
      <c r="H128">
        <v>1687.08</v>
      </c>
      <c r="I128">
        <f t="shared" si="16"/>
        <v>0</v>
      </c>
      <c r="J128">
        <f t="shared" si="13"/>
        <v>0.46000000000003638</v>
      </c>
      <c r="K128">
        <v>2E-3</v>
      </c>
    </row>
    <row r="129" spans="1:11">
      <c r="B129" t="s">
        <v>98</v>
      </c>
      <c r="C129" s="3">
        <v>4050</v>
      </c>
      <c r="D129">
        <v>1686.8969999999999</v>
      </c>
      <c r="E129">
        <f t="shared" si="29"/>
        <v>1686.9</v>
      </c>
      <c r="F129" t="str">
        <f t="shared" si="30"/>
        <v>1/500</v>
      </c>
      <c r="G129">
        <f t="shared" si="31"/>
        <v>1686.98</v>
      </c>
      <c r="H129">
        <v>1686.98</v>
      </c>
      <c r="I129">
        <f t="shared" si="16"/>
        <v>0</v>
      </c>
      <c r="J129">
        <f t="shared" si="13"/>
        <v>-7.999999999992724E-2</v>
      </c>
      <c r="K129">
        <v>2E-3</v>
      </c>
    </row>
    <row r="130" spans="1:11">
      <c r="A130" s="5" t="s">
        <v>318</v>
      </c>
      <c r="B130" t="s">
        <v>99</v>
      </c>
      <c r="C130" s="3">
        <v>4080</v>
      </c>
      <c r="D130">
        <v>1686.5920000000001</v>
      </c>
      <c r="E130">
        <f t="shared" si="29"/>
        <v>1686.59</v>
      </c>
      <c r="F130" t="str">
        <f t="shared" si="30"/>
        <v>1/500</v>
      </c>
      <c r="G130">
        <f t="shared" si="31"/>
        <v>1686.92</v>
      </c>
      <c r="H130">
        <v>1686.92</v>
      </c>
      <c r="I130">
        <f t="shared" si="16"/>
        <v>0</v>
      </c>
      <c r="J130">
        <f t="shared" ref="J130:J193" si="32">E130-G130</f>
        <v>-0.33000000000015461</v>
      </c>
      <c r="K130">
        <v>2E-3</v>
      </c>
    </row>
    <row r="131" spans="1:11">
      <c r="A131" s="5"/>
      <c r="C131" s="3">
        <v>4083</v>
      </c>
      <c r="D131">
        <v>1686.5920000000001</v>
      </c>
      <c r="E131">
        <f t="shared" si="29"/>
        <v>1686.59</v>
      </c>
      <c r="G131">
        <f>G130-2.2</f>
        <v>1684.72</v>
      </c>
      <c r="H131">
        <v>1684.72</v>
      </c>
      <c r="I131">
        <f t="shared" ref="I131:I194" si="33">G131-H131</f>
        <v>0</v>
      </c>
      <c r="J131">
        <f t="shared" si="32"/>
        <v>1.8699999999998909</v>
      </c>
      <c r="K131">
        <v>2E-3</v>
      </c>
    </row>
    <row r="132" spans="1:11">
      <c r="B132" t="s">
        <v>100</v>
      </c>
      <c r="C132" s="3">
        <v>4100</v>
      </c>
      <c r="D132">
        <v>1686.2180000000001</v>
      </c>
      <c r="E132">
        <f t="shared" si="29"/>
        <v>1686.22</v>
      </c>
      <c r="F132" t="str">
        <f t="shared" si="30"/>
        <v>1/500</v>
      </c>
      <c r="G132">
        <f>ROUND(G131-(C132-C131+1)*K131,2)</f>
        <v>1684.68</v>
      </c>
      <c r="H132">
        <v>1684.68</v>
      </c>
      <c r="I132">
        <f t="shared" si="33"/>
        <v>0</v>
      </c>
      <c r="J132">
        <f t="shared" si="32"/>
        <v>1.5399999999999636</v>
      </c>
      <c r="K132">
        <v>2E-3</v>
      </c>
    </row>
    <row r="133" spans="1:11">
      <c r="B133" t="s">
        <v>101</v>
      </c>
      <c r="C133" s="3">
        <v>4150</v>
      </c>
      <c r="D133">
        <v>1685.617</v>
      </c>
      <c r="E133">
        <f t="shared" si="29"/>
        <v>1685.62</v>
      </c>
      <c r="F133" t="str">
        <f t="shared" si="30"/>
        <v>1/500</v>
      </c>
      <c r="G133">
        <f t="shared" ref="G133:G138" si="34">ROUND(G132-(C133-C132)*K132,2)</f>
        <v>1684.58</v>
      </c>
      <c r="H133">
        <v>1684.58</v>
      </c>
      <c r="I133">
        <f t="shared" si="33"/>
        <v>0</v>
      </c>
      <c r="J133">
        <f t="shared" si="32"/>
        <v>1.0399999999999636</v>
      </c>
      <c r="K133">
        <v>2E-3</v>
      </c>
    </row>
    <row r="134" spans="1:11">
      <c r="B134" t="s">
        <v>102</v>
      </c>
      <c r="C134" s="3">
        <v>4200</v>
      </c>
      <c r="D134">
        <v>1685.0909999999999</v>
      </c>
      <c r="E134">
        <f t="shared" ref="E134:E148" si="35">ROUND(D134,2)</f>
        <v>1685.09</v>
      </c>
      <c r="F134" t="str">
        <f t="shared" ref="F134:F148" si="36">"1/"&amp;ROUND(1/K134,0)</f>
        <v>1/500</v>
      </c>
      <c r="G134">
        <f t="shared" si="34"/>
        <v>1684.48</v>
      </c>
      <c r="H134">
        <v>1684.48</v>
      </c>
      <c r="I134">
        <f t="shared" si="33"/>
        <v>0</v>
      </c>
      <c r="J134">
        <f t="shared" si="32"/>
        <v>0.60999999999989996</v>
      </c>
      <c r="K134">
        <v>2E-3</v>
      </c>
    </row>
    <row r="135" spans="1:11">
      <c r="B135" t="s">
        <v>103</v>
      </c>
      <c r="C135" s="3">
        <v>4250</v>
      </c>
      <c r="D135">
        <v>1684.751</v>
      </c>
      <c r="E135">
        <f t="shared" si="35"/>
        <v>1684.75</v>
      </c>
      <c r="F135" t="str">
        <f t="shared" si="36"/>
        <v>1/500</v>
      </c>
      <c r="G135">
        <f t="shared" si="34"/>
        <v>1684.38</v>
      </c>
      <c r="H135">
        <v>1684.38</v>
      </c>
      <c r="I135">
        <f t="shared" si="33"/>
        <v>0</v>
      </c>
      <c r="J135">
        <f t="shared" si="32"/>
        <v>0.36999999999989086</v>
      </c>
      <c r="K135">
        <v>2E-3</v>
      </c>
    </row>
    <row r="136" spans="1:11">
      <c r="B136" t="s">
        <v>104</v>
      </c>
      <c r="C136" s="3">
        <v>4300</v>
      </c>
      <c r="D136">
        <v>1684.319</v>
      </c>
      <c r="E136">
        <f t="shared" si="35"/>
        <v>1684.32</v>
      </c>
      <c r="F136" t="str">
        <f t="shared" si="36"/>
        <v>1/500</v>
      </c>
      <c r="G136">
        <f t="shared" si="34"/>
        <v>1684.28</v>
      </c>
      <c r="H136">
        <v>1684.28</v>
      </c>
      <c r="I136">
        <f t="shared" si="33"/>
        <v>0</v>
      </c>
      <c r="J136">
        <f t="shared" si="32"/>
        <v>3.999999999996362E-2</v>
      </c>
      <c r="K136">
        <v>2E-3</v>
      </c>
    </row>
    <row r="137" spans="1:11">
      <c r="B137" t="s">
        <v>105</v>
      </c>
      <c r="C137" s="3">
        <v>4350</v>
      </c>
      <c r="D137">
        <v>1683.925</v>
      </c>
      <c r="E137">
        <f t="shared" si="35"/>
        <v>1683.93</v>
      </c>
      <c r="F137" t="str">
        <f t="shared" si="36"/>
        <v>1/500</v>
      </c>
      <c r="G137">
        <f t="shared" si="34"/>
        <v>1684.18</v>
      </c>
      <c r="H137">
        <v>1684.18</v>
      </c>
      <c r="I137">
        <f t="shared" si="33"/>
        <v>0</v>
      </c>
      <c r="J137">
        <f t="shared" si="32"/>
        <v>-0.25</v>
      </c>
      <c r="K137">
        <v>2E-3</v>
      </c>
    </row>
    <row r="138" spans="1:11">
      <c r="A138" s="5" t="s">
        <v>318</v>
      </c>
      <c r="B138" t="s">
        <v>106</v>
      </c>
      <c r="C138" s="3">
        <v>4360</v>
      </c>
      <c r="D138">
        <v>1683.84</v>
      </c>
      <c r="E138">
        <f t="shared" si="35"/>
        <v>1683.84</v>
      </c>
      <c r="F138" t="str">
        <f t="shared" si="36"/>
        <v>1/500</v>
      </c>
      <c r="G138">
        <f t="shared" si="34"/>
        <v>1684.16</v>
      </c>
      <c r="H138">
        <v>1684.16</v>
      </c>
      <c r="I138">
        <f t="shared" si="33"/>
        <v>0</v>
      </c>
      <c r="J138">
        <f t="shared" si="32"/>
        <v>-0.32000000000016371</v>
      </c>
      <c r="K138">
        <v>2E-3</v>
      </c>
    </row>
    <row r="139" spans="1:11">
      <c r="A139" s="5"/>
      <c r="C139" s="3">
        <v>4363</v>
      </c>
      <c r="D139">
        <v>1683.84</v>
      </c>
      <c r="E139">
        <f t="shared" si="35"/>
        <v>1683.84</v>
      </c>
      <c r="G139">
        <f>G138-2.2</f>
        <v>1681.96</v>
      </c>
      <c r="H139">
        <v>1681.96</v>
      </c>
      <c r="I139">
        <f t="shared" si="33"/>
        <v>0</v>
      </c>
      <c r="J139">
        <f t="shared" si="32"/>
        <v>1.8799999999998818</v>
      </c>
      <c r="K139">
        <v>2E-3</v>
      </c>
    </row>
    <row r="140" spans="1:11">
      <c r="B140" t="s">
        <v>107</v>
      </c>
      <c r="C140" s="3">
        <v>4400</v>
      </c>
      <c r="D140">
        <v>1683.463</v>
      </c>
      <c r="E140">
        <f t="shared" si="35"/>
        <v>1683.46</v>
      </c>
      <c r="F140" t="str">
        <f t="shared" si="36"/>
        <v>1/500</v>
      </c>
      <c r="G140">
        <f>ROUND(G139-(C140-C139+1)*K139,2)</f>
        <v>1681.88</v>
      </c>
      <c r="H140">
        <v>1681.88</v>
      </c>
      <c r="I140">
        <f t="shared" si="33"/>
        <v>0</v>
      </c>
      <c r="J140">
        <f t="shared" si="32"/>
        <v>1.5799999999999272</v>
      </c>
      <c r="K140">
        <v>2E-3</v>
      </c>
    </row>
    <row r="141" spans="1:11">
      <c r="B141" t="s">
        <v>108</v>
      </c>
      <c r="C141" s="3">
        <v>4450</v>
      </c>
      <c r="D141">
        <v>1682.826</v>
      </c>
      <c r="E141">
        <f t="shared" si="35"/>
        <v>1682.83</v>
      </c>
      <c r="F141" t="str">
        <f t="shared" si="36"/>
        <v>1/500</v>
      </c>
      <c r="G141">
        <f>ROUND(G140-(C141-C140)*K140,2)</f>
        <v>1681.78</v>
      </c>
      <c r="H141">
        <v>1681.78</v>
      </c>
      <c r="I141">
        <f t="shared" si="33"/>
        <v>0</v>
      </c>
      <c r="J141">
        <f t="shared" si="32"/>
        <v>1.0499999999999545</v>
      </c>
      <c r="K141">
        <v>2E-3</v>
      </c>
    </row>
    <row r="142" spans="1:11">
      <c r="B142" t="s">
        <v>109</v>
      </c>
      <c r="C142" s="3">
        <v>4500</v>
      </c>
      <c r="D142">
        <v>1682.357</v>
      </c>
      <c r="E142">
        <f t="shared" si="35"/>
        <v>1682.36</v>
      </c>
      <c r="F142" t="str">
        <f t="shared" si="36"/>
        <v>1/500</v>
      </c>
      <c r="G142">
        <f>ROUND(G141-(C142-C141)*K141,2)</f>
        <v>1681.68</v>
      </c>
      <c r="H142">
        <v>1681.68</v>
      </c>
      <c r="I142">
        <f t="shared" si="33"/>
        <v>0</v>
      </c>
      <c r="J142">
        <f t="shared" si="32"/>
        <v>0.67999999999983629</v>
      </c>
      <c r="K142">
        <v>2E-3</v>
      </c>
    </row>
    <row r="143" spans="1:11">
      <c r="B143" t="s">
        <v>110</v>
      </c>
      <c r="C143" s="3">
        <v>4550</v>
      </c>
      <c r="D143">
        <v>1682.2</v>
      </c>
      <c r="E143">
        <f t="shared" si="35"/>
        <v>1682.2</v>
      </c>
      <c r="F143" t="str">
        <f t="shared" si="36"/>
        <v>1/500</v>
      </c>
      <c r="G143">
        <f>ROUND(G142-(C143-C142)*K142,2)</f>
        <v>1681.58</v>
      </c>
      <c r="H143">
        <v>1681.58</v>
      </c>
      <c r="I143">
        <f t="shared" si="33"/>
        <v>0</v>
      </c>
      <c r="J143">
        <f t="shared" si="32"/>
        <v>0.62000000000011823</v>
      </c>
      <c r="K143">
        <v>2E-3</v>
      </c>
    </row>
    <row r="144" spans="1:11">
      <c r="B144" t="s">
        <v>111</v>
      </c>
      <c r="C144" s="3">
        <v>4600</v>
      </c>
      <c r="D144">
        <v>1681.8420000000001</v>
      </c>
      <c r="E144">
        <f t="shared" si="35"/>
        <v>1681.84</v>
      </c>
      <c r="F144" t="str">
        <f t="shared" si="36"/>
        <v>1/500</v>
      </c>
      <c r="G144">
        <f>ROUND(G143-(C144-C143)*K143,2)</f>
        <v>1681.48</v>
      </c>
      <c r="H144">
        <v>1681.48</v>
      </c>
      <c r="I144">
        <f t="shared" si="33"/>
        <v>0</v>
      </c>
      <c r="J144">
        <f t="shared" si="32"/>
        <v>0.35999999999989996</v>
      </c>
      <c r="K144">
        <v>2E-3</v>
      </c>
    </row>
    <row r="145" spans="1:11">
      <c r="A145" s="5" t="s">
        <v>318</v>
      </c>
      <c r="B145" t="s">
        <v>112</v>
      </c>
      <c r="C145" s="3">
        <v>4650</v>
      </c>
      <c r="D145">
        <v>1681.0840000000001</v>
      </c>
      <c r="E145">
        <f t="shared" si="35"/>
        <v>1681.08</v>
      </c>
      <c r="F145" t="str">
        <f t="shared" si="36"/>
        <v>1/500</v>
      </c>
      <c r="G145">
        <f>ROUND(G144-(C145-C144)*K144,2)</f>
        <v>1681.38</v>
      </c>
      <c r="H145">
        <v>1681.38</v>
      </c>
      <c r="I145">
        <f t="shared" si="33"/>
        <v>0</v>
      </c>
      <c r="J145">
        <f t="shared" si="32"/>
        <v>-0.3000000000001819</v>
      </c>
      <c r="K145">
        <v>2E-3</v>
      </c>
    </row>
    <row r="146" spans="1:11">
      <c r="A146" s="5"/>
      <c r="C146" s="3">
        <v>4653</v>
      </c>
      <c r="D146">
        <v>1681.0840000000001</v>
      </c>
      <c r="E146">
        <f t="shared" si="35"/>
        <v>1681.08</v>
      </c>
      <c r="G146">
        <f>G145-2.2</f>
        <v>1679.18</v>
      </c>
      <c r="H146">
        <v>1679.18</v>
      </c>
      <c r="I146">
        <f t="shared" si="33"/>
        <v>0</v>
      </c>
      <c r="J146">
        <f t="shared" si="32"/>
        <v>1.8999999999998636</v>
      </c>
      <c r="K146">
        <v>2E-3</v>
      </c>
    </row>
    <row r="147" spans="1:11">
      <c r="B147" t="s">
        <v>113</v>
      </c>
      <c r="C147" s="3">
        <v>4700</v>
      </c>
      <c r="D147">
        <v>1680.8779999999999</v>
      </c>
      <c r="E147">
        <f t="shared" si="35"/>
        <v>1680.88</v>
      </c>
      <c r="F147" t="str">
        <f t="shared" si="36"/>
        <v>1/500</v>
      </c>
      <c r="G147">
        <f>ROUND(G146-(C147-C146+1)*K146,2)</f>
        <v>1679.08</v>
      </c>
      <c r="H147">
        <v>1679.08</v>
      </c>
      <c r="I147">
        <f t="shared" si="33"/>
        <v>0</v>
      </c>
      <c r="J147">
        <f t="shared" si="32"/>
        <v>1.8000000000001819</v>
      </c>
      <c r="K147">
        <v>2E-3</v>
      </c>
    </row>
    <row r="148" spans="1:11">
      <c r="B148" t="s">
        <v>114</v>
      </c>
      <c r="C148" s="3">
        <v>4750</v>
      </c>
      <c r="D148">
        <v>1680.356</v>
      </c>
      <c r="E148">
        <f t="shared" si="35"/>
        <v>1680.36</v>
      </c>
      <c r="F148" t="str">
        <f t="shared" si="36"/>
        <v>1/500</v>
      </c>
      <c r="G148">
        <f t="shared" ref="G148:G155" si="37">ROUND(G147-(C148-C147)*K147,2)</f>
        <v>1678.98</v>
      </c>
      <c r="H148">
        <v>1678.98</v>
      </c>
      <c r="I148">
        <f t="shared" si="33"/>
        <v>0</v>
      </c>
      <c r="J148">
        <f t="shared" si="32"/>
        <v>1.3799999999998818</v>
      </c>
      <c r="K148">
        <v>2E-3</v>
      </c>
    </row>
    <row r="149" spans="1:11">
      <c r="B149" t="s">
        <v>115</v>
      </c>
      <c r="C149" s="3">
        <v>4800</v>
      </c>
      <c r="D149">
        <v>1679.9459999999999</v>
      </c>
      <c r="E149">
        <f t="shared" ref="E149:E162" si="38">ROUND(D149,2)</f>
        <v>1679.95</v>
      </c>
      <c r="F149" t="str">
        <f t="shared" ref="F149:F166" si="39">"1/"&amp;ROUND(1/K149,0)</f>
        <v>1/500</v>
      </c>
      <c r="G149">
        <f t="shared" si="37"/>
        <v>1678.88</v>
      </c>
      <c r="H149">
        <v>1678.88</v>
      </c>
      <c r="I149">
        <f t="shared" si="33"/>
        <v>0</v>
      </c>
      <c r="J149">
        <f t="shared" si="32"/>
        <v>1.0699999999999363</v>
      </c>
      <c r="K149">
        <v>2E-3</v>
      </c>
    </row>
    <row r="150" spans="1:11">
      <c r="B150" t="s">
        <v>116</v>
      </c>
      <c r="C150" s="3">
        <v>4850</v>
      </c>
      <c r="D150">
        <v>1679.508</v>
      </c>
      <c r="E150">
        <f t="shared" si="38"/>
        <v>1679.51</v>
      </c>
      <c r="F150" t="str">
        <f t="shared" si="39"/>
        <v>1/500</v>
      </c>
      <c r="G150">
        <f t="shared" si="37"/>
        <v>1678.78</v>
      </c>
      <c r="H150">
        <v>1678.78</v>
      </c>
      <c r="I150">
        <f t="shared" si="33"/>
        <v>0</v>
      </c>
      <c r="J150">
        <f t="shared" si="32"/>
        <v>0.73000000000001819</v>
      </c>
      <c r="K150">
        <v>2E-3</v>
      </c>
    </row>
    <row r="151" spans="1:11">
      <c r="B151" t="s">
        <v>117</v>
      </c>
      <c r="C151" s="3">
        <v>4900</v>
      </c>
      <c r="D151">
        <v>1679.231</v>
      </c>
      <c r="E151">
        <f t="shared" si="38"/>
        <v>1679.23</v>
      </c>
      <c r="F151" t="str">
        <f t="shared" si="39"/>
        <v>1/500</v>
      </c>
      <c r="G151">
        <f t="shared" si="37"/>
        <v>1678.68</v>
      </c>
      <c r="H151">
        <v>1678.68</v>
      </c>
      <c r="I151">
        <f t="shared" si="33"/>
        <v>0</v>
      </c>
      <c r="J151">
        <f t="shared" si="32"/>
        <v>0.54999999999995453</v>
      </c>
      <c r="K151">
        <v>2E-3</v>
      </c>
    </row>
    <row r="152" spans="1:11">
      <c r="B152" t="s">
        <v>118</v>
      </c>
      <c r="C152" s="3">
        <v>4950</v>
      </c>
      <c r="D152">
        <v>1679.229</v>
      </c>
      <c r="E152">
        <f t="shared" si="38"/>
        <v>1679.23</v>
      </c>
      <c r="F152" t="str">
        <f t="shared" si="39"/>
        <v>1/500</v>
      </c>
      <c r="G152">
        <f t="shared" si="37"/>
        <v>1678.58</v>
      </c>
      <c r="H152">
        <v>1678.58</v>
      </c>
      <c r="I152">
        <f t="shared" si="33"/>
        <v>0</v>
      </c>
      <c r="J152">
        <f t="shared" si="32"/>
        <v>0.65000000000009095</v>
      </c>
      <c r="K152">
        <v>2E-3</v>
      </c>
    </row>
    <row r="153" spans="1:11">
      <c r="B153" t="s">
        <v>119</v>
      </c>
      <c r="C153" s="3">
        <v>5000</v>
      </c>
      <c r="D153">
        <v>1678.893</v>
      </c>
      <c r="E153">
        <f t="shared" si="38"/>
        <v>1678.89</v>
      </c>
      <c r="F153" t="str">
        <f t="shared" si="39"/>
        <v>1/500</v>
      </c>
      <c r="G153">
        <f t="shared" si="37"/>
        <v>1678.48</v>
      </c>
      <c r="H153">
        <v>1678.48</v>
      </c>
      <c r="I153">
        <f t="shared" si="33"/>
        <v>0</v>
      </c>
      <c r="J153">
        <f t="shared" si="32"/>
        <v>0.41000000000008185</v>
      </c>
      <c r="K153">
        <v>2E-3</v>
      </c>
    </row>
    <row r="154" spans="1:11">
      <c r="B154" t="s">
        <v>120</v>
      </c>
      <c r="C154" s="3">
        <v>5050</v>
      </c>
      <c r="D154">
        <v>1678.3140000000001</v>
      </c>
      <c r="E154">
        <f t="shared" si="38"/>
        <v>1678.31</v>
      </c>
      <c r="F154" t="str">
        <f t="shared" si="39"/>
        <v>1/500</v>
      </c>
      <c r="G154">
        <f t="shared" si="37"/>
        <v>1678.38</v>
      </c>
      <c r="H154">
        <v>1678.38</v>
      </c>
      <c r="I154">
        <f t="shared" si="33"/>
        <v>0</v>
      </c>
      <c r="J154">
        <f t="shared" si="32"/>
        <v>-7.0000000000163709E-2</v>
      </c>
      <c r="K154">
        <v>2E-3</v>
      </c>
    </row>
    <row r="155" spans="1:11">
      <c r="A155" s="5" t="s">
        <v>318</v>
      </c>
      <c r="B155" t="s">
        <v>121</v>
      </c>
      <c r="C155" s="3">
        <v>5060</v>
      </c>
      <c r="D155">
        <v>1677.925</v>
      </c>
      <c r="E155">
        <f t="shared" si="38"/>
        <v>1677.93</v>
      </c>
      <c r="F155" t="str">
        <f t="shared" si="39"/>
        <v>1/500</v>
      </c>
      <c r="G155">
        <f t="shared" si="37"/>
        <v>1678.36</v>
      </c>
      <c r="H155">
        <v>1678.36</v>
      </c>
      <c r="I155">
        <f t="shared" si="33"/>
        <v>0</v>
      </c>
      <c r="J155">
        <f t="shared" si="32"/>
        <v>-0.42999999999983629</v>
      </c>
      <c r="K155">
        <v>2E-3</v>
      </c>
    </row>
    <row r="156" spans="1:11">
      <c r="A156" s="5"/>
      <c r="C156" s="3">
        <v>5063</v>
      </c>
      <c r="D156">
        <v>1677.925</v>
      </c>
      <c r="E156">
        <f t="shared" si="38"/>
        <v>1677.93</v>
      </c>
      <c r="G156">
        <f>G155-2.2</f>
        <v>1676.1599999999999</v>
      </c>
      <c r="H156">
        <v>1676.1599999999999</v>
      </c>
      <c r="I156">
        <f t="shared" si="33"/>
        <v>0</v>
      </c>
      <c r="J156">
        <f t="shared" si="32"/>
        <v>1.7700000000002092</v>
      </c>
      <c r="K156">
        <v>2E-3</v>
      </c>
    </row>
    <row r="157" spans="1:11">
      <c r="B157" t="s">
        <v>122</v>
      </c>
      <c r="C157" s="3">
        <v>5100</v>
      </c>
      <c r="D157">
        <v>1677.5530000000001</v>
      </c>
      <c r="E157">
        <f t="shared" si="38"/>
        <v>1677.55</v>
      </c>
      <c r="F157" t="str">
        <f t="shared" si="39"/>
        <v>1/500</v>
      </c>
      <c r="G157">
        <f>ROUND(G156-(C157-C156+1)*K156,2)</f>
        <v>1676.08</v>
      </c>
      <c r="H157">
        <v>1676.08</v>
      </c>
      <c r="I157">
        <f t="shared" si="33"/>
        <v>0</v>
      </c>
      <c r="J157">
        <f t="shared" si="32"/>
        <v>1.4700000000000273</v>
      </c>
      <c r="K157">
        <v>2E-3</v>
      </c>
    </row>
    <row r="158" spans="1:11">
      <c r="B158" t="s">
        <v>123</v>
      </c>
      <c r="C158" s="3">
        <v>5150</v>
      </c>
      <c r="D158">
        <v>1677.3889999999999</v>
      </c>
      <c r="E158">
        <f t="shared" si="38"/>
        <v>1677.39</v>
      </c>
      <c r="F158" t="str">
        <f t="shared" si="39"/>
        <v>1/500</v>
      </c>
      <c r="G158">
        <f>ROUND(G157-(C158-C157)*K157,2)</f>
        <v>1675.98</v>
      </c>
      <c r="H158">
        <v>1675.98</v>
      </c>
      <c r="I158">
        <f t="shared" si="33"/>
        <v>0</v>
      </c>
      <c r="J158">
        <f t="shared" si="32"/>
        <v>1.4100000000000819</v>
      </c>
      <c r="K158">
        <v>2E-3</v>
      </c>
    </row>
    <row r="159" spans="1:11">
      <c r="B159" t="s">
        <v>124</v>
      </c>
      <c r="C159" s="3">
        <v>5200</v>
      </c>
      <c r="D159">
        <v>1676.8150000000001</v>
      </c>
      <c r="E159">
        <f t="shared" si="38"/>
        <v>1676.82</v>
      </c>
      <c r="F159" t="str">
        <f t="shared" si="39"/>
        <v>1/500</v>
      </c>
      <c r="G159">
        <f>ROUND(G158-(C159-C158)*K158,2)</f>
        <v>1675.88</v>
      </c>
      <c r="H159">
        <v>1675.88</v>
      </c>
      <c r="I159">
        <f t="shared" si="33"/>
        <v>0</v>
      </c>
      <c r="J159">
        <f t="shared" si="32"/>
        <v>0.9399999999998272</v>
      </c>
      <c r="K159">
        <v>2E-3</v>
      </c>
    </row>
    <row r="160" spans="1:11">
      <c r="B160" t="s">
        <v>125</v>
      </c>
      <c r="C160" s="3">
        <v>5250</v>
      </c>
      <c r="D160">
        <v>1676.8810000000001</v>
      </c>
      <c r="E160">
        <f t="shared" si="38"/>
        <v>1676.88</v>
      </c>
      <c r="F160" t="str">
        <f t="shared" si="39"/>
        <v>1/500</v>
      </c>
      <c r="G160">
        <f>ROUND(G159-(C160-C159)*K159,2)</f>
        <v>1675.78</v>
      </c>
      <c r="H160">
        <v>1675.78</v>
      </c>
      <c r="I160">
        <f t="shared" si="33"/>
        <v>0</v>
      </c>
      <c r="J160">
        <f t="shared" si="32"/>
        <v>1.1000000000001364</v>
      </c>
      <c r="K160">
        <v>2E-3</v>
      </c>
    </row>
    <row r="161" spans="1:12">
      <c r="A161" s="5" t="s">
        <v>393</v>
      </c>
      <c r="B161" t="s">
        <v>126</v>
      </c>
      <c r="C161" s="3">
        <v>5290</v>
      </c>
      <c r="D161">
        <v>1677.056</v>
      </c>
      <c r="E161">
        <f t="shared" si="38"/>
        <v>1677.06</v>
      </c>
      <c r="F161" t="str">
        <f t="shared" si="39"/>
        <v>1/500</v>
      </c>
      <c r="G161">
        <f>ROUND(G160-(C161-C160)*K160,2)</f>
        <v>1675.7</v>
      </c>
      <c r="H161">
        <v>1675.7</v>
      </c>
      <c r="I161">
        <f t="shared" si="33"/>
        <v>0</v>
      </c>
      <c r="J161">
        <f t="shared" si="32"/>
        <v>1.3599999999999</v>
      </c>
      <c r="K161">
        <v>2E-3</v>
      </c>
    </row>
    <row r="162" spans="1:12">
      <c r="A162" s="5"/>
      <c r="C162" s="3">
        <v>5293</v>
      </c>
      <c r="D162">
        <v>1677.056</v>
      </c>
      <c r="E162">
        <f t="shared" si="38"/>
        <v>1677.06</v>
      </c>
      <c r="G162">
        <f>G161-0.5</f>
        <v>1675.2</v>
      </c>
      <c r="H162">
        <v>1675.2</v>
      </c>
      <c r="I162">
        <f t="shared" si="33"/>
        <v>0</v>
      </c>
      <c r="J162">
        <f t="shared" si="32"/>
        <v>1.8599999999999</v>
      </c>
      <c r="K162">
        <v>2E-3</v>
      </c>
    </row>
    <row r="163" spans="1:12">
      <c r="A163" s="5"/>
      <c r="C163" s="7">
        <v>5295</v>
      </c>
      <c r="D163" s="5">
        <v>1677.2</v>
      </c>
      <c r="E163" s="8">
        <v>1677.4</v>
      </c>
      <c r="F163" s="5"/>
      <c r="G163">
        <v>1675.2</v>
      </c>
      <c r="H163">
        <v>1675.2</v>
      </c>
      <c r="I163">
        <f t="shared" si="33"/>
        <v>0</v>
      </c>
      <c r="J163" s="5">
        <f t="shared" si="32"/>
        <v>2.2000000000000455</v>
      </c>
      <c r="K163" s="5">
        <v>2E-3</v>
      </c>
      <c r="L163" t="s">
        <v>324</v>
      </c>
    </row>
    <row r="164" spans="1:12">
      <c r="A164" t="s">
        <v>320</v>
      </c>
      <c r="B164" t="s">
        <v>127</v>
      </c>
      <c r="C164" s="7">
        <v>5300</v>
      </c>
      <c r="D164" s="5">
        <v>1677.2</v>
      </c>
      <c r="E164" s="5">
        <v>1677.4</v>
      </c>
      <c r="F164" s="5" t="str">
        <f t="shared" si="39"/>
        <v>1/500</v>
      </c>
      <c r="G164">
        <v>1675.2</v>
      </c>
      <c r="H164">
        <v>1675.2</v>
      </c>
      <c r="I164">
        <f t="shared" si="33"/>
        <v>0</v>
      </c>
      <c r="J164" s="5">
        <f t="shared" si="32"/>
        <v>2.2000000000000455</v>
      </c>
      <c r="K164" s="5">
        <v>2E-3</v>
      </c>
      <c r="L164" t="s">
        <v>322</v>
      </c>
    </row>
    <row r="165" spans="1:12">
      <c r="A165" t="s">
        <v>321</v>
      </c>
      <c r="C165" s="7">
        <v>5305</v>
      </c>
      <c r="D165" s="5">
        <v>1677.2</v>
      </c>
      <c r="E165" s="5">
        <v>1677.4</v>
      </c>
      <c r="F165" s="5"/>
      <c r="G165">
        <v>1675.18</v>
      </c>
      <c r="H165">
        <v>1675.18</v>
      </c>
      <c r="I165">
        <f t="shared" si="33"/>
        <v>0</v>
      </c>
      <c r="J165" s="5">
        <f t="shared" si="32"/>
        <v>2.2200000000000273</v>
      </c>
      <c r="K165" s="5">
        <v>2E-3</v>
      </c>
    </row>
    <row r="166" spans="1:12">
      <c r="B166" t="s">
        <v>128</v>
      </c>
      <c r="C166" s="3">
        <v>5350</v>
      </c>
      <c r="D166">
        <v>1676.5250000000001</v>
      </c>
      <c r="E166">
        <f t="shared" ref="E166:E177" si="40">ROUND(D166,2)</f>
        <v>1676.53</v>
      </c>
      <c r="F166" t="str">
        <f t="shared" si="39"/>
        <v>1/500</v>
      </c>
      <c r="G166">
        <f t="shared" ref="G166:G180" si="41">ROUND(G165-(C166-C165)*K165,2)</f>
        <v>1675.09</v>
      </c>
      <c r="H166">
        <v>1675.09</v>
      </c>
      <c r="I166">
        <f t="shared" si="33"/>
        <v>0</v>
      </c>
      <c r="J166">
        <f t="shared" si="32"/>
        <v>1.4400000000000546</v>
      </c>
      <c r="K166">
        <v>2E-3</v>
      </c>
    </row>
    <row r="167" spans="1:12">
      <c r="B167" t="s">
        <v>129</v>
      </c>
      <c r="C167" s="3">
        <v>5400</v>
      </c>
      <c r="D167">
        <v>1676.1610000000001</v>
      </c>
      <c r="E167">
        <f t="shared" si="40"/>
        <v>1676.16</v>
      </c>
      <c r="F167" t="str">
        <f t="shared" ref="F167:F177" si="42">"1/"&amp;ROUND(1/K167,0)</f>
        <v>1/500</v>
      </c>
      <c r="G167">
        <f t="shared" si="41"/>
        <v>1674.99</v>
      </c>
      <c r="H167">
        <v>1674.99</v>
      </c>
      <c r="I167">
        <f t="shared" si="33"/>
        <v>0</v>
      </c>
      <c r="J167">
        <f t="shared" si="32"/>
        <v>1.1700000000000728</v>
      </c>
      <c r="K167">
        <v>2E-3</v>
      </c>
    </row>
    <row r="168" spans="1:12">
      <c r="B168" t="s">
        <v>130</v>
      </c>
      <c r="C168" s="3">
        <v>5450</v>
      </c>
      <c r="D168">
        <v>1676.383</v>
      </c>
      <c r="E168">
        <f t="shared" si="40"/>
        <v>1676.38</v>
      </c>
      <c r="F168" t="str">
        <f t="shared" si="42"/>
        <v>1/500</v>
      </c>
      <c r="G168">
        <f t="shared" si="41"/>
        <v>1674.89</v>
      </c>
      <c r="H168">
        <v>1674.89</v>
      </c>
      <c r="I168">
        <f t="shared" si="33"/>
        <v>0</v>
      </c>
      <c r="J168">
        <f t="shared" si="32"/>
        <v>1.4900000000000091</v>
      </c>
      <c r="K168">
        <v>2E-3</v>
      </c>
    </row>
    <row r="169" spans="1:12">
      <c r="B169" t="s">
        <v>131</v>
      </c>
      <c r="C169" s="3">
        <v>5500</v>
      </c>
      <c r="D169">
        <v>1676.038</v>
      </c>
      <c r="E169">
        <f t="shared" si="40"/>
        <v>1676.04</v>
      </c>
      <c r="F169" t="str">
        <f t="shared" si="42"/>
        <v>1/500</v>
      </c>
      <c r="G169">
        <f t="shared" si="41"/>
        <v>1674.79</v>
      </c>
      <c r="H169">
        <v>1674.79</v>
      </c>
      <c r="I169">
        <f t="shared" si="33"/>
        <v>0</v>
      </c>
      <c r="J169">
        <f t="shared" si="32"/>
        <v>1.25</v>
      </c>
      <c r="K169">
        <v>2E-3</v>
      </c>
    </row>
    <row r="170" spans="1:12">
      <c r="B170" t="s">
        <v>132</v>
      </c>
      <c r="C170" s="3">
        <v>5550</v>
      </c>
      <c r="D170">
        <v>1676.0119999999999</v>
      </c>
      <c r="E170">
        <f t="shared" si="40"/>
        <v>1676.01</v>
      </c>
      <c r="F170" t="str">
        <f t="shared" si="42"/>
        <v>1/500</v>
      </c>
      <c r="G170">
        <f t="shared" si="41"/>
        <v>1674.69</v>
      </c>
      <c r="H170">
        <v>1674.69</v>
      </c>
      <c r="I170">
        <f t="shared" si="33"/>
        <v>0</v>
      </c>
      <c r="J170">
        <f t="shared" si="32"/>
        <v>1.3199999999999363</v>
      </c>
      <c r="K170">
        <v>2E-3</v>
      </c>
    </row>
    <row r="171" spans="1:12">
      <c r="B171" t="s">
        <v>133</v>
      </c>
      <c r="C171" s="3">
        <v>5600</v>
      </c>
      <c r="D171">
        <v>1675.8420000000001</v>
      </c>
      <c r="E171">
        <f t="shared" si="40"/>
        <v>1675.84</v>
      </c>
      <c r="F171" t="str">
        <f t="shared" si="42"/>
        <v>1/500</v>
      </c>
      <c r="G171">
        <f t="shared" si="41"/>
        <v>1674.59</v>
      </c>
      <c r="H171">
        <v>1674.59</v>
      </c>
      <c r="I171">
        <f t="shared" si="33"/>
        <v>0</v>
      </c>
      <c r="J171">
        <f t="shared" si="32"/>
        <v>1.25</v>
      </c>
      <c r="K171">
        <v>2E-3</v>
      </c>
    </row>
    <row r="172" spans="1:12">
      <c r="B172" t="s">
        <v>134</v>
      </c>
      <c r="C172" s="3">
        <v>5650</v>
      </c>
      <c r="D172">
        <v>1675.9639999999999</v>
      </c>
      <c r="E172">
        <f t="shared" si="40"/>
        <v>1675.96</v>
      </c>
      <c r="F172" t="str">
        <f t="shared" si="42"/>
        <v>1/500</v>
      </c>
      <c r="G172">
        <f t="shared" si="41"/>
        <v>1674.49</v>
      </c>
      <c r="H172">
        <v>1674.49</v>
      </c>
      <c r="I172">
        <f t="shared" si="33"/>
        <v>0</v>
      </c>
      <c r="J172">
        <f t="shared" si="32"/>
        <v>1.4700000000000273</v>
      </c>
      <c r="K172">
        <v>2E-3</v>
      </c>
    </row>
    <row r="173" spans="1:12">
      <c r="B173" t="s">
        <v>135</v>
      </c>
      <c r="C173" s="3">
        <v>5700</v>
      </c>
      <c r="D173">
        <v>1676.057</v>
      </c>
      <c r="E173">
        <f t="shared" si="40"/>
        <v>1676.06</v>
      </c>
      <c r="F173" t="str">
        <f t="shared" si="42"/>
        <v>1/500</v>
      </c>
      <c r="G173">
        <f t="shared" si="41"/>
        <v>1674.39</v>
      </c>
      <c r="H173">
        <v>1674.39</v>
      </c>
      <c r="I173">
        <f t="shared" si="33"/>
        <v>0</v>
      </c>
      <c r="J173">
        <f t="shared" si="32"/>
        <v>1.6699999999998454</v>
      </c>
      <c r="K173">
        <v>2E-3</v>
      </c>
    </row>
    <row r="174" spans="1:12">
      <c r="B174" t="s">
        <v>136</v>
      </c>
      <c r="C174" s="3">
        <v>5750</v>
      </c>
      <c r="D174">
        <v>1676.0540000000001</v>
      </c>
      <c r="E174">
        <f t="shared" si="40"/>
        <v>1676.05</v>
      </c>
      <c r="F174" t="str">
        <f t="shared" si="42"/>
        <v>1/500</v>
      </c>
      <c r="G174">
        <f t="shared" si="41"/>
        <v>1674.29</v>
      </c>
      <c r="H174">
        <v>1674.29</v>
      </c>
      <c r="I174">
        <f t="shared" si="33"/>
        <v>0</v>
      </c>
      <c r="J174">
        <f t="shared" si="32"/>
        <v>1.7599999999999909</v>
      </c>
      <c r="K174">
        <v>2E-3</v>
      </c>
    </row>
    <row r="175" spans="1:12">
      <c r="B175" t="s">
        <v>137</v>
      </c>
      <c r="C175" s="3">
        <v>5800</v>
      </c>
      <c r="D175">
        <v>1675.7760000000001</v>
      </c>
      <c r="E175">
        <f t="shared" si="40"/>
        <v>1675.78</v>
      </c>
      <c r="F175" t="str">
        <f t="shared" si="42"/>
        <v>1/500</v>
      </c>
      <c r="G175">
        <f t="shared" si="41"/>
        <v>1674.19</v>
      </c>
      <c r="H175">
        <v>1674.19</v>
      </c>
      <c r="I175">
        <f t="shared" si="33"/>
        <v>0</v>
      </c>
      <c r="J175">
        <f t="shared" si="32"/>
        <v>1.5899999999999181</v>
      </c>
      <c r="K175">
        <v>2E-3</v>
      </c>
    </row>
    <row r="176" spans="1:12">
      <c r="B176" t="s">
        <v>138</v>
      </c>
      <c r="C176" s="3">
        <v>5850</v>
      </c>
      <c r="D176">
        <v>1675.075</v>
      </c>
      <c r="E176">
        <f t="shared" si="40"/>
        <v>1675.08</v>
      </c>
      <c r="F176" t="str">
        <f t="shared" si="42"/>
        <v>1/500</v>
      </c>
      <c r="G176">
        <f t="shared" si="41"/>
        <v>1674.09</v>
      </c>
      <c r="H176">
        <v>1674.09</v>
      </c>
      <c r="I176">
        <f t="shared" si="33"/>
        <v>0</v>
      </c>
      <c r="J176">
        <f t="shared" si="32"/>
        <v>0.99000000000000909</v>
      </c>
      <c r="K176">
        <v>2E-3</v>
      </c>
    </row>
    <row r="177" spans="1:11">
      <c r="B177" t="s">
        <v>139</v>
      </c>
      <c r="C177" s="3">
        <v>5900</v>
      </c>
      <c r="D177">
        <v>1674.5319999999999</v>
      </c>
      <c r="E177">
        <f t="shared" si="40"/>
        <v>1674.53</v>
      </c>
      <c r="F177" t="str">
        <f t="shared" si="42"/>
        <v>1/500</v>
      </c>
      <c r="G177">
        <f t="shared" si="41"/>
        <v>1673.99</v>
      </c>
      <c r="H177">
        <v>1673.99</v>
      </c>
      <c r="I177">
        <f t="shared" si="33"/>
        <v>0</v>
      </c>
      <c r="J177">
        <f t="shared" si="32"/>
        <v>0.53999999999996362</v>
      </c>
      <c r="K177">
        <v>2E-3</v>
      </c>
    </row>
    <row r="178" spans="1:11">
      <c r="B178" t="s">
        <v>140</v>
      </c>
      <c r="C178" s="3">
        <v>5950</v>
      </c>
      <c r="D178">
        <v>1674.115</v>
      </c>
      <c r="E178">
        <f t="shared" ref="E178:E192" si="43">ROUND(D178,2)</f>
        <v>1674.12</v>
      </c>
      <c r="F178" t="str">
        <f t="shared" ref="F178:F192" si="44">"1/"&amp;ROUND(1/K178,0)</f>
        <v>1/500</v>
      </c>
      <c r="G178">
        <f t="shared" si="41"/>
        <v>1673.89</v>
      </c>
      <c r="H178">
        <v>1673.89</v>
      </c>
      <c r="I178">
        <f t="shared" si="33"/>
        <v>0</v>
      </c>
      <c r="J178">
        <f t="shared" si="32"/>
        <v>0.22999999999979082</v>
      </c>
      <c r="K178">
        <v>2E-3</v>
      </c>
    </row>
    <row r="179" spans="1:11">
      <c r="B179" t="s">
        <v>141</v>
      </c>
      <c r="C179" s="3">
        <v>6000</v>
      </c>
      <c r="D179">
        <v>1673.7560000000001</v>
      </c>
      <c r="E179">
        <f t="shared" si="43"/>
        <v>1673.76</v>
      </c>
      <c r="F179" t="str">
        <f t="shared" si="44"/>
        <v>1/500</v>
      </c>
      <c r="G179">
        <f t="shared" si="41"/>
        <v>1673.79</v>
      </c>
      <c r="H179">
        <v>1673.79</v>
      </c>
      <c r="I179">
        <f t="shared" si="33"/>
        <v>0</v>
      </c>
      <c r="J179">
        <f t="shared" si="32"/>
        <v>-2.9999999999972715E-2</v>
      </c>
      <c r="K179">
        <v>2E-3</v>
      </c>
    </row>
    <row r="180" spans="1:11">
      <c r="A180" s="5" t="s">
        <v>318</v>
      </c>
      <c r="B180" t="s">
        <v>142</v>
      </c>
      <c r="C180" s="3">
        <v>6050</v>
      </c>
      <c r="D180">
        <v>1673.4079999999999</v>
      </c>
      <c r="E180">
        <f t="shared" si="43"/>
        <v>1673.41</v>
      </c>
      <c r="F180" t="str">
        <f t="shared" si="44"/>
        <v>1/500</v>
      </c>
      <c r="G180">
        <f t="shared" si="41"/>
        <v>1673.69</v>
      </c>
      <c r="H180">
        <v>1673.69</v>
      </c>
      <c r="I180">
        <f t="shared" si="33"/>
        <v>0</v>
      </c>
      <c r="J180">
        <f t="shared" si="32"/>
        <v>-0.27999999999997272</v>
      </c>
      <c r="K180">
        <v>2E-3</v>
      </c>
    </row>
    <row r="181" spans="1:11">
      <c r="A181" s="5"/>
      <c r="C181" s="3">
        <v>6053</v>
      </c>
      <c r="D181">
        <v>1673.4079999999999</v>
      </c>
      <c r="E181">
        <f t="shared" si="43"/>
        <v>1673.41</v>
      </c>
      <c r="G181">
        <f>G180-2</f>
        <v>1671.69</v>
      </c>
      <c r="H181">
        <v>1671.69</v>
      </c>
      <c r="I181">
        <f t="shared" si="33"/>
        <v>0</v>
      </c>
      <c r="J181">
        <f t="shared" si="32"/>
        <v>1.7200000000000273</v>
      </c>
      <c r="K181">
        <v>2E-3</v>
      </c>
    </row>
    <row r="182" spans="1:11">
      <c r="B182" t="s">
        <v>143</v>
      </c>
      <c r="C182" s="3">
        <v>6100</v>
      </c>
      <c r="D182">
        <v>1673.0930000000001</v>
      </c>
      <c r="E182">
        <f t="shared" si="43"/>
        <v>1673.09</v>
      </c>
      <c r="F182" t="str">
        <f t="shared" si="44"/>
        <v>1/500</v>
      </c>
      <c r="G182">
        <f>ROUND(G181-(C182-C181+1)*K181,2)</f>
        <v>1671.59</v>
      </c>
      <c r="H182">
        <v>1671.59</v>
      </c>
      <c r="I182">
        <f t="shared" si="33"/>
        <v>0</v>
      </c>
      <c r="J182">
        <f t="shared" si="32"/>
        <v>1.5</v>
      </c>
      <c r="K182">
        <v>2E-3</v>
      </c>
    </row>
    <row r="183" spans="1:11">
      <c r="B183" t="s">
        <v>144</v>
      </c>
      <c r="C183" s="3">
        <v>6150</v>
      </c>
      <c r="D183">
        <v>1672.693</v>
      </c>
      <c r="E183">
        <f t="shared" si="43"/>
        <v>1672.69</v>
      </c>
      <c r="F183" t="str">
        <f t="shared" si="44"/>
        <v>1/500</v>
      </c>
      <c r="G183">
        <f t="shared" ref="G183:G189" si="45">ROUND(G182-(C183-C182)*K182,2)</f>
        <v>1671.49</v>
      </c>
      <c r="H183">
        <v>1671.49</v>
      </c>
      <c r="I183">
        <f t="shared" si="33"/>
        <v>0</v>
      </c>
      <c r="J183">
        <f t="shared" si="32"/>
        <v>1.2000000000000455</v>
      </c>
      <c r="K183">
        <v>2E-3</v>
      </c>
    </row>
    <row r="184" spans="1:11">
      <c r="B184" t="s">
        <v>145</v>
      </c>
      <c r="C184" s="3">
        <v>6200</v>
      </c>
      <c r="D184">
        <v>1672.3510000000001</v>
      </c>
      <c r="E184">
        <f t="shared" si="43"/>
        <v>1672.35</v>
      </c>
      <c r="F184" t="str">
        <f t="shared" si="44"/>
        <v>1/500</v>
      </c>
      <c r="G184">
        <f t="shared" si="45"/>
        <v>1671.39</v>
      </c>
      <c r="H184">
        <v>1671.39</v>
      </c>
      <c r="I184">
        <f t="shared" si="33"/>
        <v>0</v>
      </c>
      <c r="J184">
        <f t="shared" si="32"/>
        <v>0.95999999999980901</v>
      </c>
      <c r="K184">
        <v>2E-3</v>
      </c>
    </row>
    <row r="185" spans="1:11">
      <c r="B185" t="s">
        <v>146</v>
      </c>
      <c r="C185" s="3">
        <v>6250</v>
      </c>
      <c r="D185">
        <v>1671.992</v>
      </c>
      <c r="E185">
        <f t="shared" si="43"/>
        <v>1671.99</v>
      </c>
      <c r="F185" t="str">
        <f t="shared" si="44"/>
        <v>1/500</v>
      </c>
      <c r="G185">
        <f t="shared" si="45"/>
        <v>1671.29</v>
      </c>
      <c r="H185">
        <v>1671.29</v>
      </c>
      <c r="I185">
        <f t="shared" si="33"/>
        <v>0</v>
      </c>
      <c r="J185">
        <f t="shared" si="32"/>
        <v>0.70000000000004547</v>
      </c>
      <c r="K185">
        <v>2E-3</v>
      </c>
    </row>
    <row r="186" spans="1:11">
      <c r="B186" t="s">
        <v>147</v>
      </c>
      <c r="C186" s="3">
        <v>6300</v>
      </c>
      <c r="D186">
        <v>1671.5989999999999</v>
      </c>
      <c r="E186">
        <f t="shared" si="43"/>
        <v>1671.6</v>
      </c>
      <c r="F186" t="str">
        <f t="shared" si="44"/>
        <v>1/500</v>
      </c>
      <c r="G186">
        <f t="shared" si="45"/>
        <v>1671.19</v>
      </c>
      <c r="H186">
        <v>1671.19</v>
      </c>
      <c r="I186">
        <f t="shared" si="33"/>
        <v>0</v>
      </c>
      <c r="J186">
        <f t="shared" si="32"/>
        <v>0.40999999999985448</v>
      </c>
      <c r="K186">
        <v>2E-3</v>
      </c>
    </row>
    <row r="187" spans="1:11">
      <c r="B187" t="s">
        <v>148</v>
      </c>
      <c r="C187" s="3">
        <v>6350</v>
      </c>
      <c r="D187">
        <v>1671.4760000000001</v>
      </c>
      <c r="E187">
        <f t="shared" si="43"/>
        <v>1671.48</v>
      </c>
      <c r="F187" t="str">
        <f t="shared" si="44"/>
        <v>1/500</v>
      </c>
      <c r="G187">
        <f t="shared" si="45"/>
        <v>1671.09</v>
      </c>
      <c r="H187">
        <v>1671.09</v>
      </c>
      <c r="I187">
        <f t="shared" si="33"/>
        <v>0</v>
      </c>
      <c r="J187">
        <f t="shared" si="32"/>
        <v>0.39000000000010004</v>
      </c>
      <c r="K187">
        <v>2E-3</v>
      </c>
    </row>
    <row r="188" spans="1:11">
      <c r="B188" t="s">
        <v>149</v>
      </c>
      <c r="C188" s="3">
        <v>6400</v>
      </c>
      <c r="D188">
        <v>1670.8440000000001</v>
      </c>
      <c r="E188">
        <f t="shared" si="43"/>
        <v>1670.84</v>
      </c>
      <c r="F188" t="str">
        <f t="shared" si="44"/>
        <v>1/500</v>
      </c>
      <c r="G188">
        <f t="shared" si="45"/>
        <v>1670.99</v>
      </c>
      <c r="H188">
        <v>1670.99</v>
      </c>
      <c r="I188">
        <f t="shared" si="33"/>
        <v>0</v>
      </c>
      <c r="J188">
        <f t="shared" si="32"/>
        <v>-0.15000000000009095</v>
      </c>
      <c r="K188">
        <v>2E-3</v>
      </c>
    </row>
    <row r="189" spans="1:11">
      <c r="A189" s="5" t="s">
        <v>779</v>
      </c>
      <c r="B189" t="s">
        <v>150</v>
      </c>
      <c r="C189" s="3">
        <v>6420</v>
      </c>
      <c r="D189">
        <v>1670.62</v>
      </c>
      <c r="E189">
        <f t="shared" si="43"/>
        <v>1670.62</v>
      </c>
      <c r="F189" t="str">
        <f t="shared" si="44"/>
        <v>1/500</v>
      </c>
      <c r="G189">
        <f t="shared" si="45"/>
        <v>1670.95</v>
      </c>
      <c r="H189">
        <v>1670.95</v>
      </c>
      <c r="I189">
        <f t="shared" si="33"/>
        <v>0</v>
      </c>
      <c r="J189">
        <f t="shared" si="32"/>
        <v>-0.33000000000015461</v>
      </c>
      <c r="K189">
        <v>2E-3</v>
      </c>
    </row>
    <row r="190" spans="1:11">
      <c r="A190" s="5"/>
      <c r="C190" s="3">
        <v>6423</v>
      </c>
      <c r="D190">
        <v>1670.62</v>
      </c>
      <c r="E190">
        <f t="shared" si="43"/>
        <v>1670.62</v>
      </c>
      <c r="G190">
        <f>G189-1</f>
        <v>1669.95</v>
      </c>
      <c r="H190">
        <v>1669.95</v>
      </c>
      <c r="I190">
        <f t="shared" si="33"/>
        <v>0</v>
      </c>
      <c r="J190">
        <f t="shared" si="32"/>
        <v>0.66999999999984539</v>
      </c>
      <c r="K190">
        <v>2E-3</v>
      </c>
    </row>
    <row r="191" spans="1:11">
      <c r="B191" t="s">
        <v>151</v>
      </c>
      <c r="C191" s="3">
        <v>6450</v>
      </c>
      <c r="D191">
        <v>1670.47</v>
      </c>
      <c r="E191">
        <f t="shared" si="43"/>
        <v>1670.47</v>
      </c>
      <c r="F191" t="str">
        <f t="shared" si="44"/>
        <v>1/500</v>
      </c>
      <c r="G191">
        <f>ROUND(G190-(C191-C190+1)*K190,2)</f>
        <v>1669.89</v>
      </c>
      <c r="H191">
        <v>1669.89</v>
      </c>
      <c r="I191">
        <f t="shared" si="33"/>
        <v>0</v>
      </c>
      <c r="J191">
        <f t="shared" si="32"/>
        <v>0.57999999999992724</v>
      </c>
      <c r="K191">
        <v>2E-3</v>
      </c>
    </row>
    <row r="192" spans="1:11">
      <c r="B192" t="s">
        <v>152</v>
      </c>
      <c r="C192" s="3">
        <v>6500</v>
      </c>
      <c r="D192">
        <v>1670.2550000000001</v>
      </c>
      <c r="E192">
        <f t="shared" si="43"/>
        <v>1670.26</v>
      </c>
      <c r="F192" t="str">
        <f t="shared" si="44"/>
        <v>1/500</v>
      </c>
      <c r="G192">
        <f t="shared" ref="G192:G223" si="46">ROUND(G191-(C192-C191)*K191,2)</f>
        <v>1669.79</v>
      </c>
      <c r="H192">
        <v>1669.79</v>
      </c>
      <c r="I192">
        <f t="shared" si="33"/>
        <v>0</v>
      </c>
      <c r="J192">
        <f t="shared" si="32"/>
        <v>0.47000000000002728</v>
      </c>
      <c r="K192">
        <v>2E-3</v>
      </c>
    </row>
    <row r="193" spans="1:11">
      <c r="B193" t="s">
        <v>153</v>
      </c>
      <c r="C193" s="3">
        <v>6550</v>
      </c>
      <c r="D193">
        <v>1669.925</v>
      </c>
      <c r="E193">
        <f t="shared" ref="E193:E204" si="47">ROUND(D193,2)</f>
        <v>1669.93</v>
      </c>
      <c r="F193" t="str">
        <f t="shared" ref="F193:F204" si="48">"1/"&amp;ROUND(1/K193,0)</f>
        <v>1/500</v>
      </c>
      <c r="G193">
        <f t="shared" si="46"/>
        <v>1669.69</v>
      </c>
      <c r="H193">
        <v>1669.69</v>
      </c>
      <c r="I193">
        <f t="shared" si="33"/>
        <v>0</v>
      </c>
      <c r="J193">
        <f t="shared" si="32"/>
        <v>0.24000000000000909</v>
      </c>
      <c r="K193">
        <v>2E-3</v>
      </c>
    </row>
    <row r="194" spans="1:11">
      <c r="A194" t="s">
        <v>323</v>
      </c>
      <c r="B194" t="s">
        <v>154</v>
      </c>
      <c r="C194" s="3">
        <v>6600</v>
      </c>
      <c r="D194">
        <v>1669.81</v>
      </c>
      <c r="E194">
        <f t="shared" si="47"/>
        <v>1669.81</v>
      </c>
      <c r="F194" t="str">
        <f t="shared" si="48"/>
        <v>1/500</v>
      </c>
      <c r="G194">
        <f t="shared" si="46"/>
        <v>1669.59</v>
      </c>
      <c r="H194">
        <v>1669.59</v>
      </c>
      <c r="I194">
        <f t="shared" si="33"/>
        <v>0</v>
      </c>
      <c r="J194">
        <f t="shared" ref="J194:J257" si="49">E194-G194</f>
        <v>0.22000000000002728</v>
      </c>
      <c r="K194">
        <v>2E-3</v>
      </c>
    </row>
    <row r="195" spans="1:11">
      <c r="B195" t="s">
        <v>155</v>
      </c>
      <c r="C195" s="3">
        <v>6650</v>
      </c>
      <c r="D195">
        <v>1669.826</v>
      </c>
      <c r="E195">
        <f t="shared" si="47"/>
        <v>1669.83</v>
      </c>
      <c r="F195" t="str">
        <f t="shared" si="48"/>
        <v>1/500</v>
      </c>
      <c r="G195">
        <f t="shared" si="46"/>
        <v>1669.49</v>
      </c>
      <c r="H195">
        <v>1669.49</v>
      </c>
      <c r="I195">
        <f t="shared" ref="I195:I258" si="50">G195-H195</f>
        <v>0</v>
      </c>
      <c r="J195">
        <f t="shared" si="49"/>
        <v>0.33999999999991815</v>
      </c>
      <c r="K195">
        <v>2E-3</v>
      </c>
    </row>
    <row r="196" spans="1:11">
      <c r="B196" t="s">
        <v>156</v>
      </c>
      <c r="C196" s="3">
        <v>6700</v>
      </c>
      <c r="D196">
        <v>1669.7170000000001</v>
      </c>
      <c r="E196">
        <f t="shared" si="47"/>
        <v>1669.72</v>
      </c>
      <c r="F196" t="str">
        <f t="shared" si="48"/>
        <v>1/500</v>
      </c>
      <c r="G196">
        <f t="shared" si="46"/>
        <v>1669.39</v>
      </c>
      <c r="H196">
        <v>1669.39</v>
      </c>
      <c r="I196">
        <f t="shared" si="50"/>
        <v>0</v>
      </c>
      <c r="J196">
        <f t="shared" si="49"/>
        <v>0.32999999999992724</v>
      </c>
      <c r="K196">
        <v>2E-3</v>
      </c>
    </row>
    <row r="197" spans="1:11">
      <c r="B197" t="s">
        <v>157</v>
      </c>
      <c r="C197" s="3">
        <v>6750</v>
      </c>
      <c r="D197">
        <v>1669.8019999999999</v>
      </c>
      <c r="E197">
        <f t="shared" si="47"/>
        <v>1669.8</v>
      </c>
      <c r="F197" t="str">
        <f t="shared" si="48"/>
        <v>1/500</v>
      </c>
      <c r="G197">
        <f t="shared" si="46"/>
        <v>1669.29</v>
      </c>
      <c r="H197">
        <v>1669.29</v>
      </c>
      <c r="I197">
        <f t="shared" si="50"/>
        <v>0</v>
      </c>
      <c r="J197">
        <f t="shared" si="49"/>
        <v>0.50999999999999091</v>
      </c>
      <c r="K197">
        <v>2E-3</v>
      </c>
    </row>
    <row r="198" spans="1:11">
      <c r="B198" t="s">
        <v>158</v>
      </c>
      <c r="C198" s="3">
        <v>6800</v>
      </c>
      <c r="D198">
        <v>1669.6030000000001</v>
      </c>
      <c r="E198">
        <f t="shared" si="47"/>
        <v>1669.6</v>
      </c>
      <c r="F198" t="str">
        <f t="shared" si="48"/>
        <v>1/500</v>
      </c>
      <c r="G198">
        <f t="shared" si="46"/>
        <v>1669.19</v>
      </c>
      <c r="H198">
        <v>1669.19</v>
      </c>
      <c r="I198">
        <f t="shared" si="50"/>
        <v>0</v>
      </c>
      <c r="J198">
        <f t="shared" si="49"/>
        <v>0.40999999999985448</v>
      </c>
      <c r="K198">
        <v>2E-3</v>
      </c>
    </row>
    <row r="199" spans="1:11">
      <c r="B199" t="s">
        <v>159</v>
      </c>
      <c r="C199" s="3">
        <v>6850</v>
      </c>
      <c r="D199">
        <v>1669.864</v>
      </c>
      <c r="E199">
        <f t="shared" si="47"/>
        <v>1669.86</v>
      </c>
      <c r="F199" t="str">
        <f t="shared" si="48"/>
        <v>1/500</v>
      </c>
      <c r="G199">
        <f t="shared" si="46"/>
        <v>1669.09</v>
      </c>
      <c r="H199">
        <v>1669.09</v>
      </c>
      <c r="I199">
        <f t="shared" si="50"/>
        <v>0</v>
      </c>
      <c r="J199">
        <f t="shared" si="49"/>
        <v>0.76999999999998181</v>
      </c>
      <c r="K199">
        <v>2E-3</v>
      </c>
    </row>
    <row r="200" spans="1:11">
      <c r="B200" t="s">
        <v>160</v>
      </c>
      <c r="C200" s="3">
        <v>6900</v>
      </c>
      <c r="D200">
        <v>1669.684</v>
      </c>
      <c r="E200">
        <f t="shared" si="47"/>
        <v>1669.68</v>
      </c>
      <c r="F200" t="str">
        <f t="shared" si="48"/>
        <v>1/500</v>
      </c>
      <c r="G200">
        <f t="shared" si="46"/>
        <v>1668.99</v>
      </c>
      <c r="H200">
        <v>1668.99</v>
      </c>
      <c r="I200">
        <f t="shared" si="50"/>
        <v>0</v>
      </c>
      <c r="J200">
        <f t="shared" si="49"/>
        <v>0.69000000000005457</v>
      </c>
      <c r="K200">
        <v>2E-3</v>
      </c>
    </row>
    <row r="201" spans="1:11">
      <c r="B201" t="s">
        <v>161</v>
      </c>
      <c r="C201" s="3">
        <v>6950</v>
      </c>
      <c r="D201">
        <v>1669.74</v>
      </c>
      <c r="E201">
        <f t="shared" si="47"/>
        <v>1669.74</v>
      </c>
      <c r="F201" t="str">
        <f t="shared" si="48"/>
        <v>1/500</v>
      </c>
      <c r="G201">
        <f t="shared" si="46"/>
        <v>1668.89</v>
      </c>
      <c r="H201">
        <v>1668.89</v>
      </c>
      <c r="I201">
        <f t="shared" si="50"/>
        <v>0</v>
      </c>
      <c r="J201">
        <f t="shared" si="49"/>
        <v>0.84999999999990905</v>
      </c>
      <c r="K201">
        <v>2E-3</v>
      </c>
    </row>
    <row r="202" spans="1:11">
      <c r="B202" t="s">
        <v>162</v>
      </c>
      <c r="C202" s="3">
        <v>7000</v>
      </c>
      <c r="D202">
        <v>1669.691</v>
      </c>
      <c r="E202">
        <f t="shared" si="47"/>
        <v>1669.69</v>
      </c>
      <c r="F202" t="str">
        <f t="shared" si="48"/>
        <v>1/500</v>
      </c>
      <c r="G202">
        <f t="shared" si="46"/>
        <v>1668.79</v>
      </c>
      <c r="H202">
        <v>1668.79</v>
      </c>
      <c r="I202">
        <f t="shared" si="50"/>
        <v>0</v>
      </c>
      <c r="J202">
        <f t="shared" si="49"/>
        <v>0.90000000000009095</v>
      </c>
      <c r="K202">
        <v>2E-3</v>
      </c>
    </row>
    <row r="203" spans="1:11">
      <c r="B203" t="s">
        <v>163</v>
      </c>
      <c r="C203" s="3">
        <v>7050</v>
      </c>
      <c r="D203">
        <v>1669.5930000000001</v>
      </c>
      <c r="E203">
        <f t="shared" si="47"/>
        <v>1669.59</v>
      </c>
      <c r="F203" t="str">
        <f t="shared" si="48"/>
        <v>1/500</v>
      </c>
      <c r="G203">
        <f t="shared" si="46"/>
        <v>1668.69</v>
      </c>
      <c r="H203">
        <v>1668.69</v>
      </c>
      <c r="I203">
        <f t="shared" si="50"/>
        <v>0</v>
      </c>
      <c r="J203">
        <f t="shared" si="49"/>
        <v>0.89999999999986358</v>
      </c>
      <c r="K203">
        <v>2E-3</v>
      </c>
    </row>
    <row r="204" spans="1:11">
      <c r="B204" t="s">
        <v>164</v>
      </c>
      <c r="C204" s="3">
        <v>7100</v>
      </c>
      <c r="D204">
        <v>1669.64</v>
      </c>
      <c r="E204">
        <f t="shared" si="47"/>
        <v>1669.64</v>
      </c>
      <c r="F204" t="str">
        <f t="shared" si="48"/>
        <v>1/500</v>
      </c>
      <c r="G204">
        <f t="shared" si="46"/>
        <v>1668.59</v>
      </c>
      <c r="H204">
        <v>1668.59</v>
      </c>
      <c r="I204">
        <f t="shared" si="50"/>
        <v>0</v>
      </c>
      <c r="J204">
        <f t="shared" si="49"/>
        <v>1.0500000000001819</v>
      </c>
      <c r="K204">
        <v>2E-3</v>
      </c>
    </row>
    <row r="205" spans="1:11">
      <c r="B205" t="s">
        <v>165</v>
      </c>
      <c r="C205" s="3">
        <v>7150</v>
      </c>
      <c r="D205">
        <v>1669.7349999999999</v>
      </c>
      <c r="E205">
        <f t="shared" ref="E205:E219" si="51">ROUND(D205,2)</f>
        <v>1669.74</v>
      </c>
      <c r="F205" t="str">
        <f t="shared" ref="F205:F219" si="52">"1/"&amp;ROUND(1/K205,0)</f>
        <v>1/500</v>
      </c>
      <c r="G205">
        <f t="shared" si="46"/>
        <v>1668.49</v>
      </c>
      <c r="H205">
        <v>1668.49</v>
      </c>
      <c r="I205">
        <f t="shared" si="50"/>
        <v>0</v>
      </c>
      <c r="J205">
        <f t="shared" si="49"/>
        <v>1.25</v>
      </c>
      <c r="K205">
        <v>2E-3</v>
      </c>
    </row>
    <row r="206" spans="1:11">
      <c r="B206" t="s">
        <v>166</v>
      </c>
      <c r="C206" s="3">
        <v>7200</v>
      </c>
      <c r="D206">
        <v>1670.135</v>
      </c>
      <c r="E206">
        <f t="shared" si="51"/>
        <v>1670.14</v>
      </c>
      <c r="F206" t="str">
        <f t="shared" si="52"/>
        <v>1/500</v>
      </c>
      <c r="G206">
        <f t="shared" si="46"/>
        <v>1668.39</v>
      </c>
      <c r="H206">
        <v>1668.39</v>
      </c>
      <c r="I206">
        <f t="shared" si="50"/>
        <v>0</v>
      </c>
      <c r="J206">
        <f t="shared" si="49"/>
        <v>1.75</v>
      </c>
      <c r="K206">
        <v>2E-3</v>
      </c>
    </row>
    <row r="207" spans="1:11">
      <c r="B207" t="s">
        <v>167</v>
      </c>
      <c r="C207" s="3">
        <v>7250</v>
      </c>
      <c r="D207">
        <v>1669.684</v>
      </c>
      <c r="E207">
        <f t="shared" si="51"/>
        <v>1669.68</v>
      </c>
      <c r="F207" t="str">
        <f t="shared" si="52"/>
        <v>1/500</v>
      </c>
      <c r="G207">
        <f t="shared" si="46"/>
        <v>1668.29</v>
      </c>
      <c r="H207">
        <v>1668.29</v>
      </c>
      <c r="I207">
        <f t="shared" si="50"/>
        <v>0</v>
      </c>
      <c r="J207">
        <f t="shared" si="49"/>
        <v>1.3900000000001</v>
      </c>
      <c r="K207">
        <v>2E-3</v>
      </c>
    </row>
    <row r="208" spans="1:11">
      <c r="A208" t="s">
        <v>320</v>
      </c>
      <c r="B208" t="s">
        <v>325</v>
      </c>
      <c r="C208" s="3">
        <v>7282</v>
      </c>
      <c r="D208">
        <v>1669.749</v>
      </c>
      <c r="E208" s="8">
        <v>1670.1</v>
      </c>
      <c r="F208" t="str">
        <f t="shared" si="52"/>
        <v>1/500</v>
      </c>
      <c r="G208">
        <f t="shared" si="46"/>
        <v>1668.23</v>
      </c>
      <c r="H208">
        <v>1668.23</v>
      </c>
      <c r="I208">
        <f t="shared" si="50"/>
        <v>0</v>
      </c>
      <c r="J208">
        <f t="shared" si="49"/>
        <v>1.8699999999998909</v>
      </c>
      <c r="K208">
        <v>2E-3</v>
      </c>
    </row>
    <row r="209" spans="1:14">
      <c r="A209" t="s">
        <v>321</v>
      </c>
      <c r="B209" t="s">
        <v>326</v>
      </c>
      <c r="C209" s="3">
        <v>7292</v>
      </c>
      <c r="D209">
        <v>1669.7170000000001</v>
      </c>
      <c r="E209" s="8">
        <f>E208</f>
        <v>1670.1</v>
      </c>
      <c r="F209" t="str">
        <f t="shared" si="52"/>
        <v>1/500</v>
      </c>
      <c r="G209">
        <f t="shared" si="46"/>
        <v>1668.21</v>
      </c>
      <c r="H209">
        <v>1668.21</v>
      </c>
      <c r="I209">
        <f t="shared" si="50"/>
        <v>0</v>
      </c>
      <c r="J209">
        <f t="shared" si="49"/>
        <v>1.8899999999998727</v>
      </c>
      <c r="K209">
        <v>2E-3</v>
      </c>
      <c r="L209">
        <v>1670.66</v>
      </c>
      <c r="M209">
        <v>1668.23</v>
      </c>
      <c r="N209">
        <f>L209-M209</f>
        <v>2.4300000000000637</v>
      </c>
    </row>
    <row r="210" spans="1:14">
      <c r="A210" t="s">
        <v>327</v>
      </c>
      <c r="B210" t="s">
        <v>168</v>
      </c>
      <c r="C210" s="3">
        <v>7300</v>
      </c>
      <c r="D210">
        <v>1669.675</v>
      </c>
      <c r="E210">
        <f t="shared" si="51"/>
        <v>1669.68</v>
      </c>
      <c r="F210" t="str">
        <f t="shared" si="52"/>
        <v>1/500</v>
      </c>
      <c r="G210">
        <f t="shared" si="46"/>
        <v>1668.19</v>
      </c>
      <c r="H210">
        <v>1668.19</v>
      </c>
      <c r="I210">
        <f t="shared" si="50"/>
        <v>0</v>
      </c>
      <c r="J210">
        <f t="shared" si="49"/>
        <v>1.4900000000000091</v>
      </c>
      <c r="K210">
        <v>2E-3</v>
      </c>
    </row>
    <row r="211" spans="1:14">
      <c r="A211" t="s">
        <v>328</v>
      </c>
      <c r="B211" t="s">
        <v>169</v>
      </c>
      <c r="C211" s="3">
        <v>7310</v>
      </c>
      <c r="D211">
        <v>1669.6389999999999</v>
      </c>
      <c r="E211">
        <f t="shared" si="51"/>
        <v>1669.64</v>
      </c>
      <c r="F211" t="str">
        <f t="shared" si="52"/>
        <v>1/500</v>
      </c>
      <c r="G211">
        <f t="shared" si="46"/>
        <v>1668.17</v>
      </c>
      <c r="H211">
        <v>1668.17</v>
      </c>
      <c r="I211">
        <f t="shared" si="50"/>
        <v>0</v>
      </c>
      <c r="J211">
        <f t="shared" si="49"/>
        <v>1.4700000000000273</v>
      </c>
      <c r="K211">
        <v>2E-3</v>
      </c>
    </row>
    <row r="212" spans="1:14">
      <c r="B212" t="s">
        <v>170</v>
      </c>
      <c r="C212" s="3">
        <v>7350</v>
      </c>
      <c r="D212">
        <v>1669.576</v>
      </c>
      <c r="E212">
        <f t="shared" si="51"/>
        <v>1669.58</v>
      </c>
      <c r="F212" t="str">
        <f t="shared" si="52"/>
        <v>1/500</v>
      </c>
      <c r="G212">
        <f t="shared" si="46"/>
        <v>1668.09</v>
      </c>
      <c r="H212">
        <v>1668.09</v>
      </c>
      <c r="I212">
        <f t="shared" si="50"/>
        <v>0</v>
      </c>
      <c r="J212">
        <f t="shared" si="49"/>
        <v>1.4900000000000091</v>
      </c>
      <c r="K212">
        <v>2E-3</v>
      </c>
    </row>
    <row r="213" spans="1:14">
      <c r="B213" t="s">
        <v>171</v>
      </c>
      <c r="C213" s="3">
        <v>7400</v>
      </c>
      <c r="D213">
        <v>1669.058</v>
      </c>
      <c r="E213">
        <f t="shared" si="51"/>
        <v>1669.06</v>
      </c>
      <c r="F213" t="str">
        <f t="shared" si="52"/>
        <v>1/500</v>
      </c>
      <c r="G213">
        <f t="shared" si="46"/>
        <v>1667.99</v>
      </c>
      <c r="H213">
        <v>1667.99</v>
      </c>
      <c r="I213">
        <f t="shared" si="50"/>
        <v>0</v>
      </c>
      <c r="J213">
        <f t="shared" si="49"/>
        <v>1.0699999999999363</v>
      </c>
      <c r="K213">
        <v>2E-3</v>
      </c>
    </row>
    <row r="214" spans="1:14">
      <c r="B214" t="s">
        <v>172</v>
      </c>
      <c r="C214" s="3">
        <v>7450</v>
      </c>
      <c r="D214">
        <v>1668.837</v>
      </c>
      <c r="E214">
        <f t="shared" si="51"/>
        <v>1668.84</v>
      </c>
      <c r="F214" t="str">
        <f t="shared" si="52"/>
        <v>1/500</v>
      </c>
      <c r="G214">
        <f t="shared" si="46"/>
        <v>1667.89</v>
      </c>
      <c r="H214">
        <v>1667.89</v>
      </c>
      <c r="I214">
        <f t="shared" si="50"/>
        <v>0</v>
      </c>
      <c r="J214">
        <f t="shared" si="49"/>
        <v>0.9499999999998181</v>
      </c>
      <c r="K214">
        <v>2E-3</v>
      </c>
    </row>
    <row r="215" spans="1:14">
      <c r="B215" t="s">
        <v>173</v>
      </c>
      <c r="C215" s="3">
        <v>7500</v>
      </c>
      <c r="D215">
        <v>1668.6659999999999</v>
      </c>
      <c r="E215">
        <f t="shared" si="51"/>
        <v>1668.67</v>
      </c>
      <c r="F215" t="str">
        <f t="shared" si="52"/>
        <v>1/500</v>
      </c>
      <c r="G215">
        <f t="shared" si="46"/>
        <v>1667.79</v>
      </c>
      <c r="H215">
        <v>1667.79</v>
      </c>
      <c r="I215">
        <f t="shared" si="50"/>
        <v>0</v>
      </c>
      <c r="J215">
        <f t="shared" si="49"/>
        <v>0.88000000000010914</v>
      </c>
      <c r="K215">
        <v>2E-3</v>
      </c>
    </row>
    <row r="216" spans="1:14">
      <c r="B216" t="s">
        <v>174</v>
      </c>
      <c r="C216" s="3">
        <v>7550</v>
      </c>
      <c r="D216">
        <v>1668.748</v>
      </c>
      <c r="E216">
        <f t="shared" si="51"/>
        <v>1668.75</v>
      </c>
      <c r="F216" t="str">
        <f t="shared" si="52"/>
        <v>1/500</v>
      </c>
      <c r="G216">
        <f t="shared" si="46"/>
        <v>1667.69</v>
      </c>
      <c r="H216">
        <v>1667.69</v>
      </c>
      <c r="I216">
        <f t="shared" si="50"/>
        <v>0</v>
      </c>
      <c r="J216">
        <f t="shared" si="49"/>
        <v>1.0599999999999454</v>
      </c>
      <c r="K216">
        <v>2E-3</v>
      </c>
    </row>
    <row r="217" spans="1:14">
      <c r="B217" t="s">
        <v>175</v>
      </c>
      <c r="C217" s="3">
        <v>7600</v>
      </c>
      <c r="D217">
        <v>1668.9010000000001</v>
      </c>
      <c r="E217">
        <f t="shared" si="51"/>
        <v>1668.9</v>
      </c>
      <c r="F217" t="str">
        <f t="shared" si="52"/>
        <v>1/500</v>
      </c>
      <c r="G217">
        <f t="shared" si="46"/>
        <v>1667.59</v>
      </c>
      <c r="H217">
        <v>1667.59</v>
      </c>
      <c r="I217">
        <f t="shared" si="50"/>
        <v>0</v>
      </c>
      <c r="J217">
        <f t="shared" si="49"/>
        <v>1.3100000000001728</v>
      </c>
      <c r="K217">
        <v>2E-3</v>
      </c>
    </row>
    <row r="218" spans="1:14">
      <c r="B218" t="s">
        <v>176</v>
      </c>
      <c r="C218" s="3">
        <v>7650</v>
      </c>
      <c r="D218">
        <v>1668.836</v>
      </c>
      <c r="E218">
        <f t="shared" si="51"/>
        <v>1668.84</v>
      </c>
      <c r="F218" t="str">
        <f t="shared" si="52"/>
        <v>1/500</v>
      </c>
      <c r="G218">
        <f t="shared" si="46"/>
        <v>1667.49</v>
      </c>
      <c r="H218">
        <v>1667.49</v>
      </c>
      <c r="I218">
        <f t="shared" si="50"/>
        <v>0</v>
      </c>
      <c r="J218">
        <f t="shared" si="49"/>
        <v>1.3499999999999091</v>
      </c>
      <c r="K218">
        <v>2E-3</v>
      </c>
    </row>
    <row r="219" spans="1:14">
      <c r="B219" t="s">
        <v>177</v>
      </c>
      <c r="C219" s="3">
        <v>7700</v>
      </c>
      <c r="D219">
        <v>1668.577</v>
      </c>
      <c r="E219">
        <f t="shared" si="51"/>
        <v>1668.58</v>
      </c>
      <c r="F219" t="str">
        <f t="shared" si="52"/>
        <v>1/500</v>
      </c>
      <c r="G219">
        <f t="shared" si="46"/>
        <v>1667.39</v>
      </c>
      <c r="H219">
        <v>1667.39</v>
      </c>
      <c r="I219">
        <f t="shared" si="50"/>
        <v>0</v>
      </c>
      <c r="J219">
        <f t="shared" si="49"/>
        <v>1.1899999999998272</v>
      </c>
      <c r="K219">
        <v>2E-3</v>
      </c>
    </row>
    <row r="220" spans="1:14">
      <c r="B220" t="s">
        <v>178</v>
      </c>
      <c r="C220" s="3">
        <v>7750</v>
      </c>
      <c r="D220">
        <v>1668.258</v>
      </c>
      <c r="E220">
        <f t="shared" ref="E220:E232" si="53">ROUND(D220,2)</f>
        <v>1668.26</v>
      </c>
      <c r="F220" t="str">
        <f t="shared" ref="F220:F232" si="54">"1/"&amp;ROUND(1/K220,0)</f>
        <v>1/500</v>
      </c>
      <c r="G220">
        <f t="shared" si="46"/>
        <v>1667.29</v>
      </c>
      <c r="H220">
        <v>1667.29</v>
      </c>
      <c r="I220">
        <f t="shared" si="50"/>
        <v>0</v>
      </c>
      <c r="J220">
        <f t="shared" si="49"/>
        <v>0.97000000000002728</v>
      </c>
      <c r="K220">
        <v>2E-3</v>
      </c>
    </row>
    <row r="221" spans="1:14">
      <c r="B221" t="s">
        <v>179</v>
      </c>
      <c r="C221" s="3">
        <v>7800</v>
      </c>
      <c r="D221">
        <v>1667.9549999999999</v>
      </c>
      <c r="E221">
        <f t="shared" si="53"/>
        <v>1667.96</v>
      </c>
      <c r="F221" t="str">
        <f t="shared" si="54"/>
        <v>1/500</v>
      </c>
      <c r="G221">
        <f t="shared" si="46"/>
        <v>1667.19</v>
      </c>
      <c r="H221">
        <v>1667.19</v>
      </c>
      <c r="I221">
        <f t="shared" si="50"/>
        <v>0</v>
      </c>
      <c r="J221">
        <f t="shared" si="49"/>
        <v>0.76999999999998181</v>
      </c>
      <c r="K221">
        <v>2E-3</v>
      </c>
    </row>
    <row r="222" spans="1:14">
      <c r="B222" t="s">
        <v>180</v>
      </c>
      <c r="C222" s="3">
        <v>7850</v>
      </c>
      <c r="D222">
        <v>1667.67</v>
      </c>
      <c r="E222">
        <f t="shared" si="53"/>
        <v>1667.67</v>
      </c>
      <c r="F222" t="str">
        <f t="shared" si="54"/>
        <v>1/500</v>
      </c>
      <c r="G222">
        <f t="shared" si="46"/>
        <v>1667.09</v>
      </c>
      <c r="H222">
        <v>1667.09</v>
      </c>
      <c r="I222">
        <f t="shared" si="50"/>
        <v>0</v>
      </c>
      <c r="J222">
        <f t="shared" si="49"/>
        <v>0.58000000000015461</v>
      </c>
      <c r="K222">
        <v>2E-3</v>
      </c>
    </row>
    <row r="223" spans="1:14">
      <c r="B223" t="s">
        <v>181</v>
      </c>
      <c r="C223" s="3">
        <v>7900</v>
      </c>
      <c r="D223">
        <v>1667.586</v>
      </c>
      <c r="E223">
        <f t="shared" si="53"/>
        <v>1667.59</v>
      </c>
      <c r="F223" t="str">
        <f t="shared" si="54"/>
        <v>1/500</v>
      </c>
      <c r="G223">
        <f t="shared" si="46"/>
        <v>1666.99</v>
      </c>
      <c r="H223">
        <v>1666.99</v>
      </c>
      <c r="I223">
        <f t="shared" si="50"/>
        <v>0</v>
      </c>
      <c r="J223">
        <f t="shared" si="49"/>
        <v>0.59999999999990905</v>
      </c>
      <c r="K223">
        <v>2E-3</v>
      </c>
    </row>
    <row r="224" spans="1:14">
      <c r="B224" t="s">
        <v>182</v>
      </c>
      <c r="C224" s="3">
        <v>7950</v>
      </c>
      <c r="D224">
        <v>1667.615</v>
      </c>
      <c r="E224">
        <f t="shared" si="53"/>
        <v>1667.62</v>
      </c>
      <c r="F224" t="str">
        <f t="shared" si="54"/>
        <v>1/500</v>
      </c>
      <c r="G224">
        <f t="shared" ref="G224:G255" si="55">ROUND(G223-(C224-C223)*K223,2)</f>
        <v>1666.89</v>
      </c>
      <c r="H224">
        <v>1666.89</v>
      </c>
      <c r="I224">
        <f t="shared" si="50"/>
        <v>0</v>
      </c>
      <c r="J224">
        <f t="shared" si="49"/>
        <v>0.72999999999979082</v>
      </c>
      <c r="K224">
        <v>2E-3</v>
      </c>
    </row>
    <row r="225" spans="1:11">
      <c r="B225" t="s">
        <v>183</v>
      </c>
      <c r="C225" s="3">
        <v>8000</v>
      </c>
      <c r="D225">
        <v>1667.4069999999999</v>
      </c>
      <c r="E225">
        <f t="shared" si="53"/>
        <v>1667.41</v>
      </c>
      <c r="F225" t="str">
        <f t="shared" si="54"/>
        <v>1/500</v>
      </c>
      <c r="G225">
        <f t="shared" si="55"/>
        <v>1666.79</v>
      </c>
      <c r="H225">
        <v>1666.79</v>
      </c>
      <c r="I225">
        <f t="shared" si="50"/>
        <v>0</v>
      </c>
      <c r="J225">
        <f t="shared" si="49"/>
        <v>0.62000000000011823</v>
      </c>
      <c r="K225">
        <v>2E-3</v>
      </c>
    </row>
    <row r="226" spans="1:11">
      <c r="B226" t="s">
        <v>184</v>
      </c>
      <c r="C226" s="3">
        <v>8050</v>
      </c>
      <c r="D226">
        <v>1667.374</v>
      </c>
      <c r="E226">
        <f t="shared" si="53"/>
        <v>1667.37</v>
      </c>
      <c r="F226" t="str">
        <f t="shared" si="54"/>
        <v>1/1000</v>
      </c>
      <c r="G226">
        <f t="shared" si="55"/>
        <v>1666.69</v>
      </c>
      <c r="H226">
        <v>1666.69</v>
      </c>
      <c r="I226">
        <f t="shared" si="50"/>
        <v>0</v>
      </c>
      <c r="J226">
        <f t="shared" si="49"/>
        <v>0.67999999999983629</v>
      </c>
      <c r="K226">
        <v>1E-3</v>
      </c>
    </row>
    <row r="227" spans="1:11">
      <c r="B227" t="s">
        <v>185</v>
      </c>
      <c r="C227" s="3">
        <v>8100</v>
      </c>
      <c r="D227">
        <v>1667.288</v>
      </c>
      <c r="E227">
        <f t="shared" si="53"/>
        <v>1667.29</v>
      </c>
      <c r="F227" t="str">
        <f t="shared" si="54"/>
        <v>1/1000</v>
      </c>
      <c r="G227">
        <f t="shared" si="55"/>
        <v>1666.64</v>
      </c>
      <c r="H227">
        <v>1666.64</v>
      </c>
      <c r="I227">
        <f t="shared" si="50"/>
        <v>0</v>
      </c>
      <c r="J227">
        <f t="shared" si="49"/>
        <v>0.64999999999986358</v>
      </c>
      <c r="K227">
        <v>1E-3</v>
      </c>
    </row>
    <row r="228" spans="1:11">
      <c r="B228" t="s">
        <v>186</v>
      </c>
      <c r="C228" s="3">
        <v>8150</v>
      </c>
      <c r="D228">
        <v>1667.164</v>
      </c>
      <c r="E228">
        <f t="shared" si="53"/>
        <v>1667.16</v>
      </c>
      <c r="F228" t="str">
        <f t="shared" si="54"/>
        <v>1/1000</v>
      </c>
      <c r="G228">
        <f t="shared" si="55"/>
        <v>1666.59</v>
      </c>
      <c r="H228">
        <v>1666.59</v>
      </c>
      <c r="I228">
        <f t="shared" si="50"/>
        <v>0</v>
      </c>
      <c r="J228">
        <f t="shared" si="49"/>
        <v>0.57000000000016371</v>
      </c>
      <c r="K228">
        <v>1E-3</v>
      </c>
    </row>
    <row r="229" spans="1:11">
      <c r="B229" t="s">
        <v>187</v>
      </c>
      <c r="C229" s="3">
        <v>8200</v>
      </c>
      <c r="D229">
        <v>1666.932</v>
      </c>
      <c r="E229">
        <f t="shared" si="53"/>
        <v>1666.93</v>
      </c>
      <c r="F229" t="str">
        <f t="shared" si="54"/>
        <v>1/1000</v>
      </c>
      <c r="G229">
        <f t="shared" si="55"/>
        <v>1666.54</v>
      </c>
      <c r="H229">
        <v>1666.54</v>
      </c>
      <c r="I229">
        <f t="shared" si="50"/>
        <v>0</v>
      </c>
      <c r="J229">
        <f t="shared" si="49"/>
        <v>0.39000000000010004</v>
      </c>
      <c r="K229">
        <v>1E-3</v>
      </c>
    </row>
    <row r="230" spans="1:11">
      <c r="B230" t="s">
        <v>188</v>
      </c>
      <c r="C230" s="3">
        <v>8250</v>
      </c>
      <c r="D230">
        <v>1666.819</v>
      </c>
      <c r="E230">
        <f t="shared" si="53"/>
        <v>1666.82</v>
      </c>
      <c r="F230" t="str">
        <f t="shared" si="54"/>
        <v>1/1000</v>
      </c>
      <c r="G230">
        <f t="shared" si="55"/>
        <v>1666.49</v>
      </c>
      <c r="H230">
        <v>1666.49</v>
      </c>
      <c r="I230">
        <f t="shared" si="50"/>
        <v>0</v>
      </c>
      <c r="J230">
        <f t="shared" si="49"/>
        <v>0.32999999999992724</v>
      </c>
      <c r="K230">
        <v>1E-3</v>
      </c>
    </row>
    <row r="231" spans="1:11">
      <c r="A231" t="s">
        <v>331</v>
      </c>
      <c r="B231" t="s">
        <v>189</v>
      </c>
      <c r="C231" s="3">
        <v>8300</v>
      </c>
      <c r="D231">
        <v>1666.654</v>
      </c>
      <c r="E231">
        <f t="shared" si="53"/>
        <v>1666.65</v>
      </c>
      <c r="F231" t="str">
        <f t="shared" si="54"/>
        <v>1/1000</v>
      </c>
      <c r="G231">
        <f t="shared" si="55"/>
        <v>1666.44</v>
      </c>
      <c r="H231">
        <v>1666.44</v>
      </c>
      <c r="I231">
        <f t="shared" si="50"/>
        <v>0</v>
      </c>
      <c r="J231">
        <f t="shared" si="49"/>
        <v>0.21000000000003638</v>
      </c>
      <c r="K231">
        <v>1E-3</v>
      </c>
    </row>
    <row r="232" spans="1:11">
      <c r="B232" t="s">
        <v>190</v>
      </c>
      <c r="C232" s="3">
        <v>8350</v>
      </c>
      <c r="D232">
        <v>1666.492</v>
      </c>
      <c r="E232">
        <f t="shared" si="53"/>
        <v>1666.49</v>
      </c>
      <c r="F232" t="str">
        <f t="shared" si="54"/>
        <v>1/1000</v>
      </c>
      <c r="G232">
        <f t="shared" si="55"/>
        <v>1666.39</v>
      </c>
      <c r="H232">
        <v>1666.39</v>
      </c>
      <c r="I232">
        <f t="shared" si="50"/>
        <v>0</v>
      </c>
      <c r="J232">
        <f t="shared" si="49"/>
        <v>9.9999999999909051E-2</v>
      </c>
      <c r="K232">
        <v>1E-3</v>
      </c>
    </row>
    <row r="233" spans="1:11">
      <c r="B233" t="s">
        <v>191</v>
      </c>
      <c r="C233" s="3">
        <v>8400</v>
      </c>
      <c r="D233">
        <v>1666.4</v>
      </c>
      <c r="E233">
        <f t="shared" ref="E233:E244" si="56">ROUND(D233,2)</f>
        <v>1666.4</v>
      </c>
      <c r="F233" t="str">
        <f t="shared" ref="F233:F244" si="57">"1/"&amp;ROUND(1/K233,0)</f>
        <v>1/1000</v>
      </c>
      <c r="G233">
        <f t="shared" si="55"/>
        <v>1666.34</v>
      </c>
      <c r="H233">
        <v>1666.34</v>
      </c>
      <c r="I233">
        <f t="shared" si="50"/>
        <v>0</v>
      </c>
      <c r="J233">
        <f t="shared" si="49"/>
        <v>6.0000000000172804E-2</v>
      </c>
      <c r="K233">
        <v>1E-3</v>
      </c>
    </row>
    <row r="234" spans="1:11">
      <c r="B234" t="s">
        <v>192</v>
      </c>
      <c r="C234" s="3">
        <v>8450</v>
      </c>
      <c r="D234">
        <v>1666.421</v>
      </c>
      <c r="E234">
        <f t="shared" si="56"/>
        <v>1666.42</v>
      </c>
      <c r="F234" t="str">
        <f t="shared" si="57"/>
        <v>1/1000</v>
      </c>
      <c r="G234">
        <f t="shared" si="55"/>
        <v>1666.29</v>
      </c>
      <c r="H234">
        <v>1666.29</v>
      </c>
      <c r="I234">
        <f t="shared" si="50"/>
        <v>0</v>
      </c>
      <c r="J234">
        <f t="shared" si="49"/>
        <v>0.13000000000010914</v>
      </c>
      <c r="K234">
        <v>1E-3</v>
      </c>
    </row>
    <row r="235" spans="1:11">
      <c r="B235" t="s">
        <v>193</v>
      </c>
      <c r="C235" s="3">
        <v>8500</v>
      </c>
      <c r="D235">
        <v>1666.1479999999999</v>
      </c>
      <c r="E235">
        <f t="shared" si="56"/>
        <v>1666.15</v>
      </c>
      <c r="F235" t="str">
        <f t="shared" si="57"/>
        <v>1/1000</v>
      </c>
      <c r="G235">
        <f t="shared" si="55"/>
        <v>1666.24</v>
      </c>
      <c r="H235">
        <v>1666.24</v>
      </c>
      <c r="I235">
        <f t="shared" si="50"/>
        <v>0</v>
      </c>
      <c r="J235">
        <f t="shared" si="49"/>
        <v>-8.9999999999918145E-2</v>
      </c>
      <c r="K235">
        <v>1E-3</v>
      </c>
    </row>
    <row r="236" spans="1:11">
      <c r="B236" t="s">
        <v>194</v>
      </c>
      <c r="C236" s="3">
        <v>8550</v>
      </c>
      <c r="D236">
        <v>1666.8219999999999</v>
      </c>
      <c r="E236">
        <f t="shared" si="56"/>
        <v>1666.82</v>
      </c>
      <c r="F236" t="str">
        <f t="shared" si="57"/>
        <v>1/1000</v>
      </c>
      <c r="G236">
        <f t="shared" si="55"/>
        <v>1666.19</v>
      </c>
      <c r="H236">
        <v>1666.19</v>
      </c>
      <c r="I236">
        <f t="shared" si="50"/>
        <v>0</v>
      </c>
      <c r="J236">
        <f t="shared" si="49"/>
        <v>0.62999999999988177</v>
      </c>
      <c r="K236">
        <v>1E-3</v>
      </c>
    </row>
    <row r="237" spans="1:11">
      <c r="B237" t="s">
        <v>195</v>
      </c>
      <c r="C237" s="3">
        <v>8600</v>
      </c>
      <c r="D237">
        <v>1667.0450000000001</v>
      </c>
      <c r="E237">
        <f t="shared" si="56"/>
        <v>1667.05</v>
      </c>
      <c r="F237" t="str">
        <f t="shared" si="57"/>
        <v>1/1000</v>
      </c>
      <c r="G237">
        <f t="shared" si="55"/>
        <v>1666.14</v>
      </c>
      <c r="H237">
        <v>1666.14</v>
      </c>
      <c r="I237">
        <f t="shared" si="50"/>
        <v>0</v>
      </c>
      <c r="J237">
        <f t="shared" si="49"/>
        <v>0.90999999999985448</v>
      </c>
      <c r="K237">
        <v>1E-3</v>
      </c>
    </row>
    <row r="238" spans="1:11">
      <c r="B238" t="s">
        <v>196</v>
      </c>
      <c r="C238" s="3">
        <v>8650</v>
      </c>
      <c r="D238">
        <v>1667.19</v>
      </c>
      <c r="E238">
        <f t="shared" si="56"/>
        <v>1667.19</v>
      </c>
      <c r="F238" t="str">
        <f t="shared" si="57"/>
        <v>1/1000</v>
      </c>
      <c r="G238">
        <f t="shared" si="55"/>
        <v>1666.09</v>
      </c>
      <c r="H238">
        <v>1666.09</v>
      </c>
      <c r="I238">
        <f t="shared" si="50"/>
        <v>0</v>
      </c>
      <c r="J238">
        <f t="shared" si="49"/>
        <v>1.1000000000001364</v>
      </c>
      <c r="K238">
        <v>1E-3</v>
      </c>
    </row>
    <row r="239" spans="1:11">
      <c r="B239" t="s">
        <v>197</v>
      </c>
      <c r="C239" s="3">
        <v>8700</v>
      </c>
      <c r="D239">
        <v>1667.4649999999999</v>
      </c>
      <c r="E239">
        <f t="shared" si="56"/>
        <v>1667.47</v>
      </c>
      <c r="F239" t="str">
        <f t="shared" si="57"/>
        <v>1/1000</v>
      </c>
      <c r="G239">
        <f t="shared" si="55"/>
        <v>1666.04</v>
      </c>
      <c r="H239">
        <v>1666.04</v>
      </c>
      <c r="I239">
        <f t="shared" si="50"/>
        <v>0</v>
      </c>
      <c r="J239">
        <f t="shared" si="49"/>
        <v>1.4300000000000637</v>
      </c>
      <c r="K239">
        <v>1E-3</v>
      </c>
    </row>
    <row r="240" spans="1:11">
      <c r="B240" t="s">
        <v>198</v>
      </c>
      <c r="C240" s="3">
        <v>8750</v>
      </c>
      <c r="D240">
        <v>1667.1289999999999</v>
      </c>
      <c r="E240">
        <f t="shared" si="56"/>
        <v>1667.13</v>
      </c>
      <c r="F240" t="str">
        <f t="shared" si="57"/>
        <v>1/1000</v>
      </c>
      <c r="G240">
        <f t="shared" si="55"/>
        <v>1665.99</v>
      </c>
      <c r="H240">
        <v>1665.99</v>
      </c>
      <c r="I240">
        <f t="shared" si="50"/>
        <v>0</v>
      </c>
      <c r="J240">
        <f t="shared" si="49"/>
        <v>1.1400000000001</v>
      </c>
      <c r="K240">
        <v>1E-3</v>
      </c>
    </row>
    <row r="241" spans="2:13">
      <c r="B241" t="s">
        <v>199</v>
      </c>
      <c r="C241" s="3">
        <v>8800</v>
      </c>
      <c r="D241">
        <v>1666.885</v>
      </c>
      <c r="E241">
        <f t="shared" si="56"/>
        <v>1666.89</v>
      </c>
      <c r="F241" t="str">
        <f t="shared" si="57"/>
        <v>1/1000</v>
      </c>
      <c r="G241">
        <f t="shared" si="55"/>
        <v>1665.94</v>
      </c>
      <c r="H241">
        <v>1665.94</v>
      </c>
      <c r="I241">
        <f t="shared" si="50"/>
        <v>0</v>
      </c>
      <c r="J241">
        <f t="shared" si="49"/>
        <v>0.95000000000004547</v>
      </c>
      <c r="K241">
        <v>1E-3</v>
      </c>
    </row>
    <row r="242" spans="2:13">
      <c r="B242" t="s">
        <v>200</v>
      </c>
      <c r="C242" s="3">
        <v>8850</v>
      </c>
      <c r="D242">
        <v>1667.5830000000001</v>
      </c>
      <c r="E242">
        <f t="shared" si="56"/>
        <v>1667.58</v>
      </c>
      <c r="F242" t="str">
        <f t="shared" si="57"/>
        <v>1/1000</v>
      </c>
      <c r="G242">
        <f t="shared" si="55"/>
        <v>1665.89</v>
      </c>
      <c r="H242">
        <v>1665.89</v>
      </c>
      <c r="I242">
        <f t="shared" si="50"/>
        <v>0</v>
      </c>
      <c r="J242">
        <f t="shared" si="49"/>
        <v>1.6899999999998272</v>
      </c>
      <c r="K242">
        <v>1E-3</v>
      </c>
    </row>
    <row r="243" spans="2:13">
      <c r="B243" t="s">
        <v>201</v>
      </c>
      <c r="C243" s="3">
        <v>8900</v>
      </c>
      <c r="D243">
        <v>1667.8050000000001</v>
      </c>
      <c r="E243">
        <f t="shared" si="56"/>
        <v>1667.81</v>
      </c>
      <c r="F243" t="str">
        <f t="shared" si="57"/>
        <v>1/1000</v>
      </c>
      <c r="G243">
        <f t="shared" si="55"/>
        <v>1665.84</v>
      </c>
      <c r="H243">
        <v>1665.84</v>
      </c>
      <c r="I243">
        <f t="shared" si="50"/>
        <v>0</v>
      </c>
      <c r="J243">
        <f t="shared" si="49"/>
        <v>1.9700000000000273</v>
      </c>
      <c r="K243">
        <v>1E-3</v>
      </c>
      <c r="M243">
        <v>2.0999999999999091</v>
      </c>
    </row>
    <row r="244" spans="2:13">
      <c r="B244" t="s">
        <v>202</v>
      </c>
      <c r="C244" s="3">
        <v>8950</v>
      </c>
      <c r="D244">
        <v>1667.7270000000001</v>
      </c>
      <c r="E244">
        <f t="shared" si="56"/>
        <v>1667.73</v>
      </c>
      <c r="F244" t="str">
        <f t="shared" si="57"/>
        <v>1/1000</v>
      </c>
      <c r="G244">
        <f t="shared" si="55"/>
        <v>1665.79</v>
      </c>
      <c r="H244">
        <v>1665.79</v>
      </c>
      <c r="I244">
        <f t="shared" si="50"/>
        <v>0</v>
      </c>
      <c r="J244">
        <f t="shared" si="49"/>
        <v>1.9400000000000546</v>
      </c>
      <c r="K244">
        <v>1E-3</v>
      </c>
      <c r="M244">
        <v>2.0699999999999363</v>
      </c>
    </row>
    <row r="245" spans="2:13">
      <c r="B245" t="s">
        <v>203</v>
      </c>
      <c r="C245" s="3">
        <v>9000</v>
      </c>
      <c r="D245">
        <v>1667.7</v>
      </c>
      <c r="E245">
        <f t="shared" ref="E245:E256" si="58">ROUND(D245,2)</f>
        <v>1667.7</v>
      </c>
      <c r="F245" t="str">
        <f t="shared" ref="F245:F256" si="59">"1/"&amp;ROUND(1/K245,0)</f>
        <v>1/1000</v>
      </c>
      <c r="G245">
        <f t="shared" si="55"/>
        <v>1665.74</v>
      </c>
      <c r="H245">
        <v>1665.74</v>
      </c>
      <c r="I245">
        <f t="shared" si="50"/>
        <v>0</v>
      </c>
      <c r="J245">
        <f t="shared" si="49"/>
        <v>1.9600000000000364</v>
      </c>
      <c r="K245">
        <v>1E-3</v>
      </c>
      <c r="M245">
        <v>2.0900000000001455</v>
      </c>
    </row>
    <row r="246" spans="2:13">
      <c r="B246" t="s">
        <v>204</v>
      </c>
      <c r="C246" s="3">
        <v>9050</v>
      </c>
      <c r="D246">
        <v>1667.575</v>
      </c>
      <c r="E246">
        <f t="shared" si="58"/>
        <v>1667.58</v>
      </c>
      <c r="F246" t="str">
        <f t="shared" si="59"/>
        <v>1/1000</v>
      </c>
      <c r="G246">
        <f t="shared" si="55"/>
        <v>1665.69</v>
      </c>
      <c r="H246">
        <v>1665.69</v>
      </c>
      <c r="I246">
        <f t="shared" si="50"/>
        <v>0</v>
      </c>
      <c r="J246">
        <f t="shared" si="49"/>
        <v>1.8899999999998727</v>
      </c>
      <c r="K246">
        <v>1E-3</v>
      </c>
      <c r="M246">
        <v>2.0199999999999818</v>
      </c>
    </row>
    <row r="247" spans="2:13">
      <c r="B247" t="s">
        <v>205</v>
      </c>
      <c r="C247" s="3">
        <v>9100</v>
      </c>
      <c r="D247">
        <v>1667.4639999999999</v>
      </c>
      <c r="E247">
        <f t="shared" si="58"/>
        <v>1667.46</v>
      </c>
      <c r="F247" t="str">
        <f t="shared" si="59"/>
        <v>1/1000</v>
      </c>
      <c r="G247">
        <f t="shared" si="55"/>
        <v>1665.64</v>
      </c>
      <c r="H247">
        <v>1665.64</v>
      </c>
      <c r="I247">
        <f t="shared" si="50"/>
        <v>0</v>
      </c>
      <c r="J247">
        <f t="shared" si="49"/>
        <v>1.8199999999999363</v>
      </c>
      <c r="K247">
        <v>1E-3</v>
      </c>
      <c r="M247">
        <v>1.9500000000000455</v>
      </c>
    </row>
    <row r="248" spans="2:13">
      <c r="B248" t="s">
        <v>206</v>
      </c>
      <c r="C248" s="3">
        <v>9150</v>
      </c>
      <c r="D248">
        <v>1667.252</v>
      </c>
      <c r="E248">
        <f t="shared" si="58"/>
        <v>1667.25</v>
      </c>
      <c r="F248" t="str">
        <f t="shared" si="59"/>
        <v>1/1000</v>
      </c>
      <c r="G248">
        <f t="shared" si="55"/>
        <v>1665.59</v>
      </c>
      <c r="H248">
        <v>1665.59</v>
      </c>
      <c r="I248">
        <f t="shared" si="50"/>
        <v>0</v>
      </c>
      <c r="J248">
        <f t="shared" si="49"/>
        <v>1.6600000000000819</v>
      </c>
      <c r="K248">
        <v>1E-3</v>
      </c>
    </row>
    <row r="249" spans="2:13">
      <c r="B249" t="s">
        <v>207</v>
      </c>
      <c r="C249" s="3">
        <v>9200</v>
      </c>
      <c r="D249">
        <v>1666.7819999999999</v>
      </c>
      <c r="E249">
        <f t="shared" si="58"/>
        <v>1666.78</v>
      </c>
      <c r="F249" t="str">
        <f t="shared" si="59"/>
        <v>1/1000</v>
      </c>
      <c r="G249">
        <f t="shared" si="55"/>
        <v>1665.54</v>
      </c>
      <c r="H249">
        <v>1665.54</v>
      </c>
      <c r="I249">
        <f t="shared" si="50"/>
        <v>0</v>
      </c>
      <c r="J249">
        <f t="shared" si="49"/>
        <v>1.2400000000000091</v>
      </c>
      <c r="K249">
        <v>1E-3</v>
      </c>
    </row>
    <row r="250" spans="2:13">
      <c r="B250" t="s">
        <v>208</v>
      </c>
      <c r="C250" s="3">
        <v>9250</v>
      </c>
      <c r="D250">
        <v>1666.35</v>
      </c>
      <c r="E250">
        <f t="shared" si="58"/>
        <v>1666.35</v>
      </c>
      <c r="F250" t="str">
        <f t="shared" si="59"/>
        <v>1/1000</v>
      </c>
      <c r="G250">
        <f t="shared" si="55"/>
        <v>1665.49</v>
      </c>
      <c r="H250">
        <v>1665.49</v>
      </c>
      <c r="I250">
        <f t="shared" si="50"/>
        <v>0</v>
      </c>
      <c r="J250">
        <f t="shared" si="49"/>
        <v>0.85999999999989996</v>
      </c>
      <c r="K250">
        <v>1E-3</v>
      </c>
    </row>
    <row r="251" spans="2:13">
      <c r="B251" t="s">
        <v>209</v>
      </c>
      <c r="C251" s="3">
        <v>9300</v>
      </c>
      <c r="D251">
        <v>1666.1859999999999</v>
      </c>
      <c r="E251">
        <f t="shared" si="58"/>
        <v>1666.19</v>
      </c>
      <c r="F251" t="str">
        <f t="shared" si="59"/>
        <v>1/1000</v>
      </c>
      <c r="G251">
        <f t="shared" si="55"/>
        <v>1665.44</v>
      </c>
      <c r="H251">
        <v>1665.44</v>
      </c>
      <c r="I251">
        <f t="shared" si="50"/>
        <v>0</v>
      </c>
      <c r="J251">
        <f t="shared" si="49"/>
        <v>0.75</v>
      </c>
      <c r="K251">
        <v>1E-3</v>
      </c>
    </row>
    <row r="252" spans="2:13">
      <c r="B252" t="s">
        <v>210</v>
      </c>
      <c r="C252" s="3">
        <v>9350</v>
      </c>
      <c r="D252">
        <v>1665.857</v>
      </c>
      <c r="E252">
        <f t="shared" si="58"/>
        <v>1665.86</v>
      </c>
      <c r="F252" t="str">
        <f t="shared" si="59"/>
        <v>1/1000</v>
      </c>
      <c r="G252">
        <f t="shared" si="55"/>
        <v>1665.39</v>
      </c>
      <c r="H252">
        <v>1665.39</v>
      </c>
      <c r="I252">
        <f t="shared" si="50"/>
        <v>0</v>
      </c>
      <c r="J252">
        <f t="shared" si="49"/>
        <v>0.46999999999979991</v>
      </c>
      <c r="K252">
        <v>1E-3</v>
      </c>
    </row>
    <row r="253" spans="2:13">
      <c r="B253" t="s">
        <v>211</v>
      </c>
      <c r="C253" s="3">
        <v>9400</v>
      </c>
      <c r="D253">
        <v>1665.4069999999999</v>
      </c>
      <c r="E253">
        <f t="shared" si="58"/>
        <v>1665.41</v>
      </c>
      <c r="F253" t="str">
        <f t="shared" si="59"/>
        <v>1/1000</v>
      </c>
      <c r="G253">
        <f t="shared" si="55"/>
        <v>1665.34</v>
      </c>
      <c r="H253">
        <v>1665.34</v>
      </c>
      <c r="I253">
        <f t="shared" si="50"/>
        <v>0</v>
      </c>
      <c r="J253">
        <f t="shared" si="49"/>
        <v>7.0000000000163709E-2</v>
      </c>
      <c r="K253">
        <v>1E-3</v>
      </c>
    </row>
    <row r="254" spans="2:13">
      <c r="B254" t="s">
        <v>212</v>
      </c>
      <c r="C254" s="3">
        <v>9450</v>
      </c>
      <c r="D254">
        <v>1665.7249999999999</v>
      </c>
      <c r="E254">
        <f t="shared" si="58"/>
        <v>1665.73</v>
      </c>
      <c r="F254" t="str">
        <f t="shared" si="59"/>
        <v>1/1000</v>
      </c>
      <c r="G254">
        <f t="shared" si="55"/>
        <v>1665.29</v>
      </c>
      <c r="H254">
        <v>1665.29</v>
      </c>
      <c r="I254">
        <f t="shared" si="50"/>
        <v>0</v>
      </c>
      <c r="J254">
        <f t="shared" si="49"/>
        <v>0.44000000000005457</v>
      </c>
      <c r="K254">
        <v>1E-3</v>
      </c>
    </row>
    <row r="255" spans="2:13">
      <c r="B255" t="s">
        <v>213</v>
      </c>
      <c r="C255" s="3">
        <v>9500</v>
      </c>
      <c r="D255">
        <v>1665.9010000000001</v>
      </c>
      <c r="E255">
        <f t="shared" si="58"/>
        <v>1665.9</v>
      </c>
      <c r="F255" t="str">
        <f t="shared" si="59"/>
        <v>1/1000</v>
      </c>
      <c r="G255">
        <f t="shared" si="55"/>
        <v>1665.24</v>
      </c>
      <c r="H255">
        <v>1665.24</v>
      </c>
      <c r="I255">
        <f t="shared" si="50"/>
        <v>0</v>
      </c>
      <c r="J255">
        <f t="shared" si="49"/>
        <v>0.66000000000008185</v>
      </c>
      <c r="K255">
        <v>1E-3</v>
      </c>
    </row>
    <row r="256" spans="2:13">
      <c r="B256" t="s">
        <v>214</v>
      </c>
      <c r="C256" s="3">
        <v>9550</v>
      </c>
      <c r="D256">
        <v>1665.981</v>
      </c>
      <c r="E256">
        <f t="shared" si="58"/>
        <v>1665.98</v>
      </c>
      <c r="F256" t="str">
        <f t="shared" si="59"/>
        <v>1/1000</v>
      </c>
      <c r="G256">
        <f t="shared" ref="G256:G287" si="60">ROUND(G255-(C256-C255)*K255,2)</f>
        <v>1665.19</v>
      </c>
      <c r="H256">
        <v>1665.19</v>
      </c>
      <c r="I256">
        <f t="shared" si="50"/>
        <v>0</v>
      </c>
      <c r="J256">
        <f t="shared" si="49"/>
        <v>0.78999999999996362</v>
      </c>
      <c r="K256">
        <v>1E-3</v>
      </c>
    </row>
    <row r="257" spans="2:11">
      <c r="B257" t="s">
        <v>215</v>
      </c>
      <c r="C257" s="3">
        <v>9600</v>
      </c>
      <c r="D257">
        <v>1665.825</v>
      </c>
      <c r="E257">
        <f t="shared" ref="E257:E268" si="61">ROUND(D257,2)</f>
        <v>1665.83</v>
      </c>
      <c r="F257" t="str">
        <f t="shared" ref="F257:F268" si="62">"1/"&amp;ROUND(1/K257,0)</f>
        <v>1/1000</v>
      </c>
      <c r="G257">
        <f t="shared" si="60"/>
        <v>1665.14</v>
      </c>
      <c r="H257">
        <v>1665.14</v>
      </c>
      <c r="I257">
        <f t="shared" si="50"/>
        <v>0</v>
      </c>
      <c r="J257">
        <f t="shared" si="49"/>
        <v>0.6899999999998272</v>
      </c>
      <c r="K257">
        <v>1E-3</v>
      </c>
    </row>
    <row r="258" spans="2:11">
      <c r="B258" t="s">
        <v>216</v>
      </c>
      <c r="C258" s="3">
        <v>9650</v>
      </c>
      <c r="D258">
        <v>1665.309</v>
      </c>
      <c r="E258">
        <f t="shared" si="61"/>
        <v>1665.31</v>
      </c>
      <c r="F258" t="str">
        <f t="shared" si="62"/>
        <v>1/1000</v>
      </c>
      <c r="G258">
        <f t="shared" si="60"/>
        <v>1665.09</v>
      </c>
      <c r="H258">
        <v>1665.09</v>
      </c>
      <c r="I258">
        <f t="shared" si="50"/>
        <v>0</v>
      </c>
      <c r="J258">
        <f t="shared" ref="J258:J321" si="63">E258-G258</f>
        <v>0.22000000000002728</v>
      </c>
      <c r="K258">
        <v>1E-3</v>
      </c>
    </row>
    <row r="259" spans="2:11">
      <c r="B259" t="s">
        <v>217</v>
      </c>
      <c r="C259" s="3">
        <v>9700</v>
      </c>
      <c r="D259">
        <v>1665.41</v>
      </c>
      <c r="E259">
        <f t="shared" si="61"/>
        <v>1665.41</v>
      </c>
      <c r="F259" t="str">
        <f t="shared" si="62"/>
        <v>1/1000</v>
      </c>
      <c r="G259">
        <f t="shared" si="60"/>
        <v>1665.04</v>
      </c>
      <c r="H259">
        <v>1665.04</v>
      </c>
      <c r="I259">
        <f t="shared" ref="I259:I322" si="64">G259-H259</f>
        <v>0</v>
      </c>
      <c r="J259">
        <f t="shared" si="63"/>
        <v>0.37000000000011823</v>
      </c>
      <c r="K259">
        <v>1E-3</v>
      </c>
    </row>
    <row r="260" spans="2:11">
      <c r="B260" t="s">
        <v>218</v>
      </c>
      <c r="C260" s="3">
        <v>9750</v>
      </c>
      <c r="D260">
        <v>1665.6869999999999</v>
      </c>
      <c r="E260">
        <f t="shared" si="61"/>
        <v>1665.69</v>
      </c>
      <c r="F260" t="str">
        <f t="shared" si="62"/>
        <v>1/1000</v>
      </c>
      <c r="G260">
        <f t="shared" si="60"/>
        <v>1664.99</v>
      </c>
      <c r="H260">
        <v>1664.99</v>
      </c>
      <c r="I260">
        <f t="shared" si="64"/>
        <v>0</v>
      </c>
      <c r="J260">
        <f t="shared" si="63"/>
        <v>0.70000000000004547</v>
      </c>
      <c r="K260">
        <v>1E-3</v>
      </c>
    </row>
    <row r="261" spans="2:11">
      <c r="B261" t="s">
        <v>219</v>
      </c>
      <c r="C261" s="3">
        <v>9800</v>
      </c>
      <c r="D261">
        <v>1665.5440000000001</v>
      </c>
      <c r="E261">
        <f t="shared" si="61"/>
        <v>1665.54</v>
      </c>
      <c r="F261" t="str">
        <f t="shared" si="62"/>
        <v>1/1000</v>
      </c>
      <c r="G261">
        <f t="shared" si="60"/>
        <v>1664.94</v>
      </c>
      <c r="H261">
        <v>1664.94</v>
      </c>
      <c r="I261">
        <f t="shared" si="64"/>
        <v>0</v>
      </c>
      <c r="J261">
        <f t="shared" si="63"/>
        <v>0.59999999999990905</v>
      </c>
      <c r="K261">
        <v>1E-3</v>
      </c>
    </row>
    <row r="262" spans="2:11">
      <c r="B262" t="s">
        <v>220</v>
      </c>
      <c r="C262" s="3">
        <v>9850</v>
      </c>
      <c r="D262">
        <v>1665.86</v>
      </c>
      <c r="E262">
        <f t="shared" si="61"/>
        <v>1665.86</v>
      </c>
      <c r="F262" t="str">
        <f t="shared" si="62"/>
        <v>1/1000</v>
      </c>
      <c r="G262">
        <f t="shared" si="60"/>
        <v>1664.89</v>
      </c>
      <c r="H262">
        <v>1664.89</v>
      </c>
      <c r="I262">
        <f t="shared" si="64"/>
        <v>0</v>
      </c>
      <c r="J262">
        <f t="shared" si="63"/>
        <v>0.96999999999979991</v>
      </c>
      <c r="K262">
        <v>1E-3</v>
      </c>
    </row>
    <row r="263" spans="2:11">
      <c r="B263" t="s">
        <v>221</v>
      </c>
      <c r="C263" s="3">
        <v>9900</v>
      </c>
      <c r="D263">
        <v>1665.7080000000001</v>
      </c>
      <c r="E263">
        <f t="shared" si="61"/>
        <v>1665.71</v>
      </c>
      <c r="F263" t="str">
        <f t="shared" si="62"/>
        <v>1/1000</v>
      </c>
      <c r="G263">
        <f t="shared" si="60"/>
        <v>1664.84</v>
      </c>
      <c r="H263">
        <v>1664.84</v>
      </c>
      <c r="I263">
        <f t="shared" si="64"/>
        <v>0</v>
      </c>
      <c r="J263">
        <f t="shared" si="63"/>
        <v>0.87000000000011823</v>
      </c>
      <c r="K263">
        <v>1E-3</v>
      </c>
    </row>
    <row r="264" spans="2:11">
      <c r="B264" t="s">
        <v>222</v>
      </c>
      <c r="C264" s="3">
        <v>9950</v>
      </c>
      <c r="D264">
        <v>1664.59</v>
      </c>
      <c r="E264">
        <f t="shared" si="61"/>
        <v>1664.59</v>
      </c>
      <c r="F264" t="str">
        <f t="shared" si="62"/>
        <v>1/1000</v>
      </c>
      <c r="G264">
        <f t="shared" si="60"/>
        <v>1664.79</v>
      </c>
      <c r="H264">
        <v>1664.79</v>
      </c>
      <c r="I264">
        <f t="shared" si="64"/>
        <v>0</v>
      </c>
      <c r="J264">
        <f t="shared" si="63"/>
        <v>-0.20000000000004547</v>
      </c>
      <c r="K264">
        <v>1E-3</v>
      </c>
    </row>
    <row r="265" spans="2:11">
      <c r="B265" t="s">
        <v>223</v>
      </c>
      <c r="C265" s="3">
        <v>10000</v>
      </c>
      <c r="D265">
        <v>1665.377</v>
      </c>
      <c r="E265">
        <f t="shared" si="61"/>
        <v>1665.38</v>
      </c>
      <c r="F265" t="str">
        <f t="shared" si="62"/>
        <v>1/1000</v>
      </c>
      <c r="G265">
        <f t="shared" si="60"/>
        <v>1664.74</v>
      </c>
      <c r="H265">
        <v>1664.74</v>
      </c>
      <c r="I265">
        <f t="shared" si="64"/>
        <v>0</v>
      </c>
      <c r="J265">
        <f t="shared" si="63"/>
        <v>0.64000000000010004</v>
      </c>
      <c r="K265">
        <v>1E-3</v>
      </c>
    </row>
    <row r="266" spans="2:11">
      <c r="B266" t="s">
        <v>224</v>
      </c>
      <c r="C266" s="3">
        <v>10050</v>
      </c>
      <c r="D266">
        <v>1664.55</v>
      </c>
      <c r="E266">
        <f t="shared" si="61"/>
        <v>1664.55</v>
      </c>
      <c r="F266" t="str">
        <f t="shared" si="62"/>
        <v>1/1000</v>
      </c>
      <c r="G266">
        <f t="shared" si="60"/>
        <v>1664.69</v>
      </c>
      <c r="H266">
        <v>1664.69</v>
      </c>
      <c r="I266">
        <f t="shared" si="64"/>
        <v>0</v>
      </c>
      <c r="J266">
        <f t="shared" si="63"/>
        <v>-0.14000000000010004</v>
      </c>
      <c r="K266">
        <v>1E-3</v>
      </c>
    </row>
    <row r="267" spans="2:11">
      <c r="B267" t="s">
        <v>225</v>
      </c>
      <c r="C267" s="3">
        <v>10100</v>
      </c>
      <c r="D267">
        <v>1665.806</v>
      </c>
      <c r="E267">
        <f t="shared" si="61"/>
        <v>1665.81</v>
      </c>
      <c r="F267" t="str">
        <f t="shared" si="62"/>
        <v>1/1000</v>
      </c>
      <c r="G267">
        <f t="shared" si="60"/>
        <v>1664.64</v>
      </c>
      <c r="H267">
        <v>1664.64</v>
      </c>
      <c r="I267">
        <f t="shared" si="64"/>
        <v>0</v>
      </c>
      <c r="J267">
        <f t="shared" si="63"/>
        <v>1.1699999999998454</v>
      </c>
      <c r="K267">
        <v>1E-3</v>
      </c>
    </row>
    <row r="268" spans="2:11">
      <c r="B268" t="s">
        <v>226</v>
      </c>
      <c r="C268" s="3">
        <v>10150</v>
      </c>
      <c r="D268">
        <v>1665.9849999999999</v>
      </c>
      <c r="E268">
        <f t="shared" si="61"/>
        <v>1665.99</v>
      </c>
      <c r="F268" t="str">
        <f t="shared" si="62"/>
        <v>1/1000</v>
      </c>
      <c r="G268">
        <f t="shared" si="60"/>
        <v>1664.59</v>
      </c>
      <c r="H268">
        <v>1664.59</v>
      </c>
      <c r="I268">
        <f t="shared" si="64"/>
        <v>0</v>
      </c>
      <c r="J268">
        <f t="shared" si="63"/>
        <v>1.4000000000000909</v>
      </c>
      <c r="K268">
        <v>1E-3</v>
      </c>
    </row>
    <row r="269" spans="2:11">
      <c r="B269" t="s">
        <v>227</v>
      </c>
      <c r="C269" s="3">
        <v>10200</v>
      </c>
      <c r="D269">
        <v>1665.95</v>
      </c>
      <c r="E269">
        <f t="shared" ref="E269:E280" si="65">ROUND(D269,2)</f>
        <v>1665.95</v>
      </c>
      <c r="F269" t="str">
        <f t="shared" ref="F269:F280" si="66">"1/"&amp;ROUND(1/K269,0)</f>
        <v>1/1000</v>
      </c>
      <c r="G269">
        <f t="shared" si="60"/>
        <v>1664.54</v>
      </c>
      <c r="H269">
        <v>1664.54</v>
      </c>
      <c r="I269">
        <f t="shared" si="64"/>
        <v>0</v>
      </c>
      <c r="J269">
        <f t="shared" si="63"/>
        <v>1.4100000000000819</v>
      </c>
      <c r="K269">
        <v>1E-3</v>
      </c>
    </row>
    <row r="270" spans="2:11">
      <c r="B270" t="s">
        <v>228</v>
      </c>
      <c r="C270" s="3">
        <v>10250</v>
      </c>
      <c r="D270">
        <v>1666.183</v>
      </c>
      <c r="E270">
        <f t="shared" si="65"/>
        <v>1666.18</v>
      </c>
      <c r="F270" t="str">
        <f t="shared" si="66"/>
        <v>1/1000</v>
      </c>
      <c r="G270">
        <f t="shared" si="60"/>
        <v>1664.49</v>
      </c>
      <c r="H270">
        <v>1664.49</v>
      </c>
      <c r="I270">
        <f t="shared" si="64"/>
        <v>0</v>
      </c>
      <c r="J270">
        <f t="shared" si="63"/>
        <v>1.6900000000000546</v>
      </c>
      <c r="K270">
        <v>1E-3</v>
      </c>
    </row>
    <row r="271" spans="2:11">
      <c r="B271" t="s">
        <v>229</v>
      </c>
      <c r="C271" s="3">
        <v>10300</v>
      </c>
      <c r="D271">
        <v>1666.174</v>
      </c>
      <c r="E271">
        <f t="shared" si="65"/>
        <v>1666.17</v>
      </c>
      <c r="F271" t="str">
        <f t="shared" si="66"/>
        <v>1/1000</v>
      </c>
      <c r="G271">
        <f t="shared" si="60"/>
        <v>1664.44</v>
      </c>
      <c r="H271">
        <v>1664.44</v>
      </c>
      <c r="I271">
        <f t="shared" si="64"/>
        <v>0</v>
      </c>
      <c r="J271">
        <f t="shared" si="63"/>
        <v>1.7300000000000182</v>
      </c>
      <c r="K271">
        <v>1E-3</v>
      </c>
    </row>
    <row r="272" spans="2:11">
      <c r="B272" t="s">
        <v>230</v>
      </c>
      <c r="C272" s="3">
        <v>10350</v>
      </c>
      <c r="D272">
        <v>1666.3789999999999</v>
      </c>
      <c r="E272">
        <f t="shared" si="65"/>
        <v>1666.38</v>
      </c>
      <c r="F272" t="str">
        <f t="shared" si="66"/>
        <v>1/1000</v>
      </c>
      <c r="G272">
        <f t="shared" si="60"/>
        <v>1664.39</v>
      </c>
      <c r="H272">
        <v>1664.39</v>
      </c>
      <c r="I272">
        <f t="shared" si="64"/>
        <v>0</v>
      </c>
      <c r="J272">
        <f t="shared" si="63"/>
        <v>1.9900000000000091</v>
      </c>
      <c r="K272">
        <v>1E-3</v>
      </c>
    </row>
    <row r="273" spans="1:11">
      <c r="B273" t="s">
        <v>231</v>
      </c>
      <c r="C273" s="3">
        <v>10400</v>
      </c>
      <c r="D273">
        <v>1666.4570000000001</v>
      </c>
      <c r="E273">
        <f t="shared" si="65"/>
        <v>1666.46</v>
      </c>
      <c r="F273" t="str">
        <f t="shared" si="66"/>
        <v>1/1000</v>
      </c>
      <c r="G273">
        <f t="shared" si="60"/>
        <v>1664.34</v>
      </c>
      <c r="H273">
        <v>1664.34</v>
      </c>
      <c r="I273">
        <f t="shared" si="64"/>
        <v>0</v>
      </c>
      <c r="J273">
        <f t="shared" si="63"/>
        <v>2.1200000000001182</v>
      </c>
      <c r="K273">
        <v>1E-3</v>
      </c>
    </row>
    <row r="274" spans="1:11">
      <c r="B274" t="s">
        <v>232</v>
      </c>
      <c r="C274" s="3">
        <v>10450</v>
      </c>
      <c r="D274">
        <v>1666.345</v>
      </c>
      <c r="E274">
        <f t="shared" si="65"/>
        <v>1666.35</v>
      </c>
      <c r="F274" t="str">
        <f t="shared" si="66"/>
        <v>1/1000</v>
      </c>
      <c r="G274">
        <f t="shared" si="60"/>
        <v>1664.29</v>
      </c>
      <c r="H274">
        <v>1664.29</v>
      </c>
      <c r="I274">
        <f t="shared" si="64"/>
        <v>0</v>
      </c>
      <c r="J274">
        <f t="shared" si="63"/>
        <v>2.0599999999999454</v>
      </c>
      <c r="K274">
        <v>1E-3</v>
      </c>
    </row>
    <row r="275" spans="1:11">
      <c r="B275" t="s">
        <v>233</v>
      </c>
      <c r="C275" s="3">
        <v>10500</v>
      </c>
      <c r="D275">
        <v>1666.2539999999999</v>
      </c>
      <c r="E275">
        <f t="shared" si="65"/>
        <v>1666.25</v>
      </c>
      <c r="F275" t="str">
        <f t="shared" si="66"/>
        <v>1/1000</v>
      </c>
      <c r="G275">
        <f t="shared" si="60"/>
        <v>1664.24</v>
      </c>
      <c r="H275">
        <v>1664.24</v>
      </c>
      <c r="I275">
        <f t="shared" si="64"/>
        <v>0</v>
      </c>
      <c r="J275">
        <f t="shared" si="63"/>
        <v>2.0099999999999909</v>
      </c>
      <c r="K275">
        <v>1E-3</v>
      </c>
    </row>
    <row r="276" spans="1:11">
      <c r="B276" t="s">
        <v>234</v>
      </c>
      <c r="C276" s="3">
        <v>10550</v>
      </c>
      <c r="D276">
        <v>1666.06</v>
      </c>
      <c r="E276">
        <f t="shared" si="65"/>
        <v>1666.06</v>
      </c>
      <c r="F276" t="str">
        <f t="shared" si="66"/>
        <v>1/1000</v>
      </c>
      <c r="G276">
        <f t="shared" si="60"/>
        <v>1664.19</v>
      </c>
      <c r="H276">
        <v>1664.19</v>
      </c>
      <c r="I276">
        <f t="shared" si="64"/>
        <v>0</v>
      </c>
      <c r="J276">
        <f t="shared" si="63"/>
        <v>1.8699999999998909</v>
      </c>
      <c r="K276">
        <v>1E-3</v>
      </c>
    </row>
    <row r="277" spans="1:11">
      <c r="B277" t="s">
        <v>235</v>
      </c>
      <c r="C277" s="3">
        <v>10600</v>
      </c>
      <c r="D277">
        <v>1666.02</v>
      </c>
      <c r="E277">
        <f t="shared" si="65"/>
        <v>1666.02</v>
      </c>
      <c r="F277" t="str">
        <f t="shared" si="66"/>
        <v>1/1000</v>
      </c>
      <c r="G277">
        <f t="shared" si="60"/>
        <v>1664.14</v>
      </c>
      <c r="H277">
        <v>1664.14</v>
      </c>
      <c r="I277">
        <f t="shared" si="64"/>
        <v>0</v>
      </c>
      <c r="J277">
        <f t="shared" si="63"/>
        <v>1.8799999999998818</v>
      </c>
      <c r="K277">
        <v>1E-3</v>
      </c>
    </row>
    <row r="278" spans="1:11">
      <c r="B278" t="s">
        <v>236</v>
      </c>
      <c r="C278" s="3">
        <v>10650</v>
      </c>
      <c r="D278">
        <v>1666.15</v>
      </c>
      <c r="E278">
        <f t="shared" si="65"/>
        <v>1666.15</v>
      </c>
      <c r="F278" t="str">
        <f t="shared" si="66"/>
        <v>1/1000</v>
      </c>
      <c r="G278">
        <f t="shared" si="60"/>
        <v>1664.09</v>
      </c>
      <c r="H278">
        <v>1664.09</v>
      </c>
      <c r="I278">
        <f t="shared" si="64"/>
        <v>0</v>
      </c>
      <c r="J278">
        <f t="shared" si="63"/>
        <v>2.0600000000001728</v>
      </c>
      <c r="K278">
        <v>1E-3</v>
      </c>
    </row>
    <row r="279" spans="1:11">
      <c r="B279" t="s">
        <v>237</v>
      </c>
      <c r="C279" s="3">
        <v>10700</v>
      </c>
      <c r="D279">
        <v>1665.8820000000001</v>
      </c>
      <c r="E279">
        <f t="shared" si="65"/>
        <v>1665.88</v>
      </c>
      <c r="F279" t="str">
        <f t="shared" si="66"/>
        <v>1/1000</v>
      </c>
      <c r="G279">
        <f t="shared" si="60"/>
        <v>1664.04</v>
      </c>
      <c r="H279">
        <v>1664.04</v>
      </c>
      <c r="I279">
        <f t="shared" si="64"/>
        <v>0</v>
      </c>
      <c r="J279">
        <f t="shared" si="63"/>
        <v>1.8400000000001455</v>
      </c>
      <c r="K279">
        <v>1E-3</v>
      </c>
    </row>
    <row r="280" spans="1:11">
      <c r="A280" t="s">
        <v>333</v>
      </c>
      <c r="B280" t="s">
        <v>238</v>
      </c>
      <c r="C280" s="3">
        <v>10750</v>
      </c>
      <c r="D280">
        <v>1665.9760000000001</v>
      </c>
      <c r="E280">
        <f t="shared" si="65"/>
        <v>1665.98</v>
      </c>
      <c r="F280" t="str">
        <f t="shared" si="66"/>
        <v>1/1000</v>
      </c>
      <c r="G280">
        <f t="shared" si="60"/>
        <v>1663.99</v>
      </c>
      <c r="H280">
        <v>1663.99</v>
      </c>
      <c r="I280">
        <f t="shared" si="64"/>
        <v>0</v>
      </c>
      <c r="J280">
        <f t="shared" si="63"/>
        <v>1.9900000000000091</v>
      </c>
      <c r="K280">
        <v>1E-3</v>
      </c>
    </row>
    <row r="281" spans="1:11">
      <c r="B281" t="s">
        <v>239</v>
      </c>
      <c r="C281" s="3">
        <v>10800</v>
      </c>
      <c r="D281">
        <v>1665.779</v>
      </c>
      <c r="E281">
        <f t="shared" ref="E281:E300" si="67">ROUND(D281,2)</f>
        <v>1665.78</v>
      </c>
      <c r="F281" t="str">
        <f t="shared" ref="F281:F293" si="68">"1/"&amp;ROUND(1/K281,0)</f>
        <v>1/1000</v>
      </c>
      <c r="G281">
        <f t="shared" si="60"/>
        <v>1663.94</v>
      </c>
      <c r="H281">
        <v>1663.94</v>
      </c>
      <c r="I281">
        <f t="shared" si="64"/>
        <v>0</v>
      </c>
      <c r="J281">
        <f t="shared" si="63"/>
        <v>1.8399999999999181</v>
      </c>
      <c r="K281">
        <v>1E-3</v>
      </c>
    </row>
    <row r="282" spans="1:11">
      <c r="B282" t="s">
        <v>240</v>
      </c>
      <c r="C282" s="3">
        <v>10850</v>
      </c>
      <c r="D282">
        <v>1665.6410000000001</v>
      </c>
      <c r="E282">
        <f t="shared" si="67"/>
        <v>1665.64</v>
      </c>
      <c r="F282" t="str">
        <f t="shared" si="68"/>
        <v>1/1000</v>
      </c>
      <c r="G282">
        <f t="shared" si="60"/>
        <v>1663.89</v>
      </c>
      <c r="H282">
        <v>1663.89</v>
      </c>
      <c r="I282">
        <f t="shared" si="64"/>
        <v>0</v>
      </c>
      <c r="J282">
        <f t="shared" si="63"/>
        <v>1.75</v>
      </c>
      <c r="K282">
        <v>1E-3</v>
      </c>
    </row>
    <row r="283" spans="1:11">
      <c r="B283" t="s">
        <v>241</v>
      </c>
      <c r="C283" s="3">
        <v>10900</v>
      </c>
      <c r="D283">
        <v>1665.5730000000001</v>
      </c>
      <c r="E283">
        <f t="shared" si="67"/>
        <v>1665.57</v>
      </c>
      <c r="F283" t="str">
        <f t="shared" si="68"/>
        <v>1/1000</v>
      </c>
      <c r="G283">
        <f t="shared" si="60"/>
        <v>1663.84</v>
      </c>
      <c r="H283">
        <v>1663.84</v>
      </c>
      <c r="I283">
        <f t="shared" si="64"/>
        <v>0</v>
      </c>
      <c r="J283">
        <f t="shared" si="63"/>
        <v>1.7300000000000182</v>
      </c>
      <c r="K283">
        <v>1E-3</v>
      </c>
    </row>
    <row r="284" spans="1:11">
      <c r="B284" t="s">
        <v>242</v>
      </c>
      <c r="C284" s="3">
        <v>10950</v>
      </c>
      <c r="D284">
        <v>1665.4179999999999</v>
      </c>
      <c r="E284">
        <f t="shared" si="67"/>
        <v>1665.42</v>
      </c>
      <c r="F284" t="str">
        <f t="shared" si="68"/>
        <v>1/1000</v>
      </c>
      <c r="G284">
        <f t="shared" si="60"/>
        <v>1663.79</v>
      </c>
      <c r="H284">
        <v>1663.79</v>
      </c>
      <c r="I284">
        <f t="shared" si="64"/>
        <v>0</v>
      </c>
      <c r="J284">
        <f t="shared" si="63"/>
        <v>1.6300000000001091</v>
      </c>
      <c r="K284">
        <v>1E-3</v>
      </c>
    </row>
    <row r="285" spans="1:11">
      <c r="B285" t="s">
        <v>243</v>
      </c>
      <c r="C285" s="3">
        <v>11000</v>
      </c>
      <c r="D285">
        <v>1665.11</v>
      </c>
      <c r="E285">
        <f t="shared" si="67"/>
        <v>1665.11</v>
      </c>
      <c r="F285" t="str">
        <f t="shared" si="68"/>
        <v>1/1000</v>
      </c>
      <c r="G285">
        <f t="shared" si="60"/>
        <v>1663.74</v>
      </c>
      <c r="H285">
        <v>1663.74</v>
      </c>
      <c r="I285">
        <f t="shared" si="64"/>
        <v>0</v>
      </c>
      <c r="J285">
        <f t="shared" si="63"/>
        <v>1.3699999999998909</v>
      </c>
      <c r="K285">
        <v>1E-3</v>
      </c>
    </row>
    <row r="286" spans="1:11">
      <c r="B286" t="s">
        <v>244</v>
      </c>
      <c r="C286" s="3">
        <v>11050</v>
      </c>
      <c r="D286">
        <v>1665.0029999999999</v>
      </c>
      <c r="E286">
        <f t="shared" si="67"/>
        <v>1665</v>
      </c>
      <c r="F286" t="str">
        <f t="shared" si="68"/>
        <v>1/1000</v>
      </c>
      <c r="G286">
        <f t="shared" si="60"/>
        <v>1663.69</v>
      </c>
      <c r="H286">
        <v>1663.69</v>
      </c>
      <c r="I286">
        <f t="shared" si="64"/>
        <v>0</v>
      </c>
      <c r="J286">
        <f t="shared" si="63"/>
        <v>1.3099999999999454</v>
      </c>
      <c r="K286">
        <v>1E-3</v>
      </c>
    </row>
    <row r="287" spans="1:11">
      <c r="B287" t="s">
        <v>245</v>
      </c>
      <c r="C287" s="3">
        <v>11100</v>
      </c>
      <c r="D287">
        <v>1664.808</v>
      </c>
      <c r="E287">
        <f t="shared" si="67"/>
        <v>1664.81</v>
      </c>
      <c r="F287" t="str">
        <f t="shared" si="68"/>
        <v>1/1000</v>
      </c>
      <c r="G287">
        <f t="shared" si="60"/>
        <v>1663.64</v>
      </c>
      <c r="H287">
        <v>1663.64</v>
      </c>
      <c r="I287">
        <f t="shared" si="64"/>
        <v>0</v>
      </c>
      <c r="J287">
        <f t="shared" si="63"/>
        <v>1.1699999999998454</v>
      </c>
      <c r="K287">
        <v>1E-3</v>
      </c>
    </row>
    <row r="288" spans="1:11">
      <c r="B288" t="s">
        <v>246</v>
      </c>
      <c r="C288" s="3">
        <v>11150</v>
      </c>
      <c r="D288">
        <v>1664.771</v>
      </c>
      <c r="E288">
        <f t="shared" si="67"/>
        <v>1664.77</v>
      </c>
      <c r="F288" t="str">
        <f t="shared" si="68"/>
        <v>1/1000</v>
      </c>
      <c r="G288">
        <f t="shared" ref="G288:G319" si="69">ROUND(G287-(C288-C287)*K287,2)</f>
        <v>1663.59</v>
      </c>
      <c r="H288">
        <v>1663.59</v>
      </c>
      <c r="I288">
        <f t="shared" si="64"/>
        <v>0</v>
      </c>
      <c r="J288">
        <f t="shared" si="63"/>
        <v>1.1800000000000637</v>
      </c>
      <c r="K288">
        <v>1E-3</v>
      </c>
    </row>
    <row r="289" spans="1:11">
      <c r="B289" t="s">
        <v>247</v>
      </c>
      <c r="C289" s="3">
        <v>11200</v>
      </c>
      <c r="D289">
        <v>1664.6880000000001</v>
      </c>
      <c r="E289">
        <f t="shared" si="67"/>
        <v>1664.69</v>
      </c>
      <c r="F289" t="str">
        <f t="shared" si="68"/>
        <v>1/1000</v>
      </c>
      <c r="G289">
        <f t="shared" si="69"/>
        <v>1663.54</v>
      </c>
      <c r="H289">
        <v>1663.54</v>
      </c>
      <c r="I289">
        <f t="shared" si="64"/>
        <v>0</v>
      </c>
      <c r="J289">
        <f t="shared" si="63"/>
        <v>1.1500000000000909</v>
      </c>
      <c r="K289">
        <v>1E-3</v>
      </c>
    </row>
    <row r="290" spans="1:11">
      <c r="B290" t="s">
        <v>248</v>
      </c>
      <c r="C290" s="3">
        <v>11250</v>
      </c>
      <c r="D290">
        <v>1664.646</v>
      </c>
      <c r="E290">
        <f t="shared" si="67"/>
        <v>1664.65</v>
      </c>
      <c r="F290" t="str">
        <f t="shared" si="68"/>
        <v>1/1000</v>
      </c>
      <c r="G290">
        <f t="shared" si="69"/>
        <v>1663.49</v>
      </c>
      <c r="H290">
        <v>1663.49</v>
      </c>
      <c r="I290">
        <f t="shared" si="64"/>
        <v>0</v>
      </c>
      <c r="J290">
        <f t="shared" si="63"/>
        <v>1.1600000000000819</v>
      </c>
      <c r="K290">
        <v>1E-3</v>
      </c>
    </row>
    <row r="291" spans="1:11">
      <c r="B291" t="s">
        <v>249</v>
      </c>
      <c r="C291" s="3">
        <v>11300</v>
      </c>
      <c r="D291">
        <v>1664.394</v>
      </c>
      <c r="E291">
        <f t="shared" si="67"/>
        <v>1664.39</v>
      </c>
      <c r="F291" t="str">
        <f t="shared" si="68"/>
        <v>1/1000</v>
      </c>
      <c r="G291">
        <f t="shared" si="69"/>
        <v>1663.44</v>
      </c>
      <c r="H291">
        <v>1663.44</v>
      </c>
      <c r="I291">
        <f t="shared" si="64"/>
        <v>0</v>
      </c>
      <c r="J291">
        <f t="shared" si="63"/>
        <v>0.95000000000004547</v>
      </c>
      <c r="K291">
        <v>1E-3</v>
      </c>
    </row>
    <row r="292" spans="1:11">
      <c r="B292" t="s">
        <v>250</v>
      </c>
      <c r="C292" s="3">
        <v>11350</v>
      </c>
      <c r="D292">
        <v>1664.2919999999999</v>
      </c>
      <c r="E292">
        <f t="shared" si="67"/>
        <v>1664.29</v>
      </c>
      <c r="F292" t="str">
        <f t="shared" si="68"/>
        <v>1/1000</v>
      </c>
      <c r="G292">
        <f t="shared" si="69"/>
        <v>1663.39</v>
      </c>
      <c r="H292">
        <v>1663.39</v>
      </c>
      <c r="I292">
        <f t="shared" si="64"/>
        <v>0</v>
      </c>
      <c r="J292">
        <f t="shared" si="63"/>
        <v>0.89999999999986358</v>
      </c>
      <c r="K292">
        <v>1E-3</v>
      </c>
    </row>
    <row r="293" spans="1:11">
      <c r="B293" t="s">
        <v>251</v>
      </c>
      <c r="C293" s="3">
        <v>11400</v>
      </c>
      <c r="D293">
        <v>1664.471</v>
      </c>
      <c r="E293">
        <f t="shared" si="67"/>
        <v>1664.47</v>
      </c>
      <c r="F293" t="str">
        <f t="shared" si="68"/>
        <v>1/1000</v>
      </c>
      <c r="G293">
        <f t="shared" si="69"/>
        <v>1663.34</v>
      </c>
      <c r="H293">
        <v>1663.34</v>
      </c>
      <c r="I293">
        <f t="shared" si="64"/>
        <v>0</v>
      </c>
      <c r="J293">
        <f t="shared" si="63"/>
        <v>1.1300000000001091</v>
      </c>
      <c r="K293">
        <v>1E-3</v>
      </c>
    </row>
    <row r="294" spans="1:11">
      <c r="B294" t="s">
        <v>252</v>
      </c>
      <c r="C294" s="3">
        <v>11450</v>
      </c>
      <c r="D294">
        <v>1664.509</v>
      </c>
      <c r="E294">
        <f t="shared" si="67"/>
        <v>1664.51</v>
      </c>
      <c r="F294" t="str">
        <f t="shared" ref="F294:F305" si="70">"1/"&amp;ROUND(1/K294,0)</f>
        <v>1/1000</v>
      </c>
      <c r="G294">
        <f t="shared" si="69"/>
        <v>1663.29</v>
      </c>
      <c r="H294">
        <v>1663.29</v>
      </c>
      <c r="I294">
        <f t="shared" si="64"/>
        <v>0</v>
      </c>
      <c r="J294">
        <f t="shared" si="63"/>
        <v>1.2200000000000273</v>
      </c>
      <c r="K294">
        <v>1E-3</v>
      </c>
    </row>
    <row r="295" spans="1:11">
      <c r="B295" t="s">
        <v>253</v>
      </c>
      <c r="C295" s="3">
        <v>11500</v>
      </c>
      <c r="D295">
        <v>1664.5360000000001</v>
      </c>
      <c r="E295">
        <f t="shared" si="67"/>
        <v>1664.54</v>
      </c>
      <c r="F295" t="str">
        <f>"1/"&amp;ROUND(1/K295,0)</f>
        <v>1/1000</v>
      </c>
      <c r="G295">
        <f t="shared" si="69"/>
        <v>1663.24</v>
      </c>
      <c r="H295">
        <v>1663.24</v>
      </c>
      <c r="I295">
        <f t="shared" si="64"/>
        <v>0</v>
      </c>
      <c r="J295">
        <f t="shared" si="63"/>
        <v>1.2999999999999545</v>
      </c>
      <c r="K295">
        <v>1E-3</v>
      </c>
    </row>
    <row r="296" spans="1:11">
      <c r="B296" t="s">
        <v>254</v>
      </c>
      <c r="C296" s="3">
        <v>11550</v>
      </c>
      <c r="D296">
        <v>1664.4649999999999</v>
      </c>
      <c r="E296">
        <f t="shared" si="67"/>
        <v>1664.47</v>
      </c>
      <c r="F296" t="str">
        <f>"1/"&amp;ROUND(1/K296,0)</f>
        <v>1/1000</v>
      </c>
      <c r="G296">
        <f t="shared" si="69"/>
        <v>1663.19</v>
      </c>
      <c r="H296">
        <v>1663.19</v>
      </c>
      <c r="I296">
        <f t="shared" si="64"/>
        <v>0</v>
      </c>
      <c r="J296">
        <f t="shared" si="63"/>
        <v>1.2799999999999727</v>
      </c>
      <c r="K296">
        <v>1E-3</v>
      </c>
    </row>
    <row r="297" spans="1:11">
      <c r="B297" t="s">
        <v>255</v>
      </c>
      <c r="C297" s="3">
        <v>11600</v>
      </c>
      <c r="D297">
        <v>1664.4670000000001</v>
      </c>
      <c r="E297">
        <f t="shared" si="67"/>
        <v>1664.47</v>
      </c>
      <c r="F297" t="str">
        <f>"1/"&amp;ROUND(1/K297,0)</f>
        <v>1/1000</v>
      </c>
      <c r="G297">
        <f t="shared" si="69"/>
        <v>1663.14</v>
      </c>
      <c r="H297">
        <v>1663.14</v>
      </c>
      <c r="I297">
        <f t="shared" si="64"/>
        <v>0</v>
      </c>
      <c r="J297">
        <f t="shared" si="63"/>
        <v>1.3299999999999272</v>
      </c>
      <c r="K297">
        <v>1E-3</v>
      </c>
    </row>
    <row r="298" spans="1:11">
      <c r="B298" t="s">
        <v>256</v>
      </c>
      <c r="C298" s="3">
        <v>11650</v>
      </c>
      <c r="D298">
        <v>1664.4670000000001</v>
      </c>
      <c r="E298">
        <f t="shared" si="67"/>
        <v>1664.47</v>
      </c>
      <c r="F298" t="str">
        <f>"1/"&amp;ROUND(1/K298,0)</f>
        <v>1/1000</v>
      </c>
      <c r="G298">
        <f t="shared" si="69"/>
        <v>1663.09</v>
      </c>
      <c r="H298">
        <v>1663.09</v>
      </c>
      <c r="I298">
        <f t="shared" si="64"/>
        <v>0</v>
      </c>
      <c r="J298">
        <f t="shared" si="63"/>
        <v>1.3800000000001091</v>
      </c>
      <c r="K298">
        <v>1E-3</v>
      </c>
    </row>
    <row r="299" spans="1:11">
      <c r="B299" t="s">
        <v>257</v>
      </c>
      <c r="C299" s="3">
        <v>11700</v>
      </c>
      <c r="D299">
        <v>1664.261</v>
      </c>
      <c r="E299">
        <f t="shared" si="67"/>
        <v>1664.26</v>
      </c>
      <c r="F299" t="str">
        <f t="shared" si="70"/>
        <v>1/1000</v>
      </c>
      <c r="G299">
        <f t="shared" si="69"/>
        <v>1663.04</v>
      </c>
      <c r="H299">
        <v>1663.04</v>
      </c>
      <c r="I299">
        <f t="shared" si="64"/>
        <v>0</v>
      </c>
      <c r="J299">
        <f t="shared" si="63"/>
        <v>1.2200000000000273</v>
      </c>
      <c r="K299">
        <v>1E-3</v>
      </c>
    </row>
    <row r="300" spans="1:11">
      <c r="B300" t="s">
        <v>258</v>
      </c>
      <c r="C300" s="3">
        <v>11750</v>
      </c>
      <c r="D300">
        <v>1664.1189999999999</v>
      </c>
      <c r="E300">
        <f t="shared" si="67"/>
        <v>1664.12</v>
      </c>
      <c r="F300" t="str">
        <f t="shared" si="70"/>
        <v>1/500</v>
      </c>
      <c r="G300">
        <f t="shared" si="69"/>
        <v>1662.99</v>
      </c>
      <c r="H300">
        <v>1662.99</v>
      </c>
      <c r="I300">
        <f t="shared" si="64"/>
        <v>0</v>
      </c>
      <c r="J300">
        <f t="shared" si="63"/>
        <v>1.1299999999998818</v>
      </c>
      <c r="K300">
        <v>2E-3</v>
      </c>
    </row>
    <row r="301" spans="1:11">
      <c r="B301" t="s">
        <v>259</v>
      </c>
      <c r="C301" s="3">
        <v>11800</v>
      </c>
      <c r="D301">
        <v>1664.1389999999999</v>
      </c>
      <c r="E301">
        <f t="shared" ref="E301:E313" si="71">ROUND(D301,2)</f>
        <v>1664.14</v>
      </c>
      <c r="F301" t="str">
        <f t="shared" si="70"/>
        <v>1/500</v>
      </c>
      <c r="G301">
        <f t="shared" si="69"/>
        <v>1662.89</v>
      </c>
      <c r="H301">
        <v>1662.89</v>
      </c>
      <c r="I301">
        <f t="shared" si="64"/>
        <v>0</v>
      </c>
      <c r="J301">
        <f t="shared" si="63"/>
        <v>1.25</v>
      </c>
      <c r="K301">
        <v>2E-3</v>
      </c>
    </row>
    <row r="302" spans="1:11">
      <c r="A302" t="s">
        <v>334</v>
      </c>
      <c r="B302" t="s">
        <v>260</v>
      </c>
      <c r="C302" s="3">
        <v>11850</v>
      </c>
      <c r="D302">
        <v>1663.827</v>
      </c>
      <c r="E302">
        <f t="shared" si="71"/>
        <v>1663.83</v>
      </c>
      <c r="F302" t="str">
        <f t="shared" si="70"/>
        <v>1/500</v>
      </c>
      <c r="G302">
        <f t="shared" si="69"/>
        <v>1662.79</v>
      </c>
      <c r="H302">
        <v>1662.79</v>
      </c>
      <c r="I302">
        <f t="shared" si="64"/>
        <v>0</v>
      </c>
      <c r="J302">
        <f t="shared" si="63"/>
        <v>1.0399999999999636</v>
      </c>
      <c r="K302">
        <v>2E-3</v>
      </c>
    </row>
    <row r="303" spans="1:11">
      <c r="B303" t="s">
        <v>261</v>
      </c>
      <c r="C303" s="3">
        <v>11900</v>
      </c>
      <c r="D303">
        <v>1663.6849999999999</v>
      </c>
      <c r="E303">
        <f t="shared" si="71"/>
        <v>1663.69</v>
      </c>
      <c r="F303" t="str">
        <f t="shared" si="70"/>
        <v>1/500</v>
      </c>
      <c r="G303">
        <f t="shared" si="69"/>
        <v>1662.69</v>
      </c>
      <c r="H303">
        <v>1662.69</v>
      </c>
      <c r="I303">
        <f t="shared" si="64"/>
        <v>0</v>
      </c>
      <c r="J303">
        <f t="shared" si="63"/>
        <v>1</v>
      </c>
      <c r="K303">
        <v>2E-3</v>
      </c>
    </row>
    <row r="304" spans="1:11">
      <c r="B304" t="s">
        <v>262</v>
      </c>
      <c r="C304" s="3">
        <v>11950</v>
      </c>
      <c r="D304">
        <v>1663.5550000000001</v>
      </c>
      <c r="E304">
        <f t="shared" si="71"/>
        <v>1663.56</v>
      </c>
      <c r="F304" t="str">
        <f t="shared" si="70"/>
        <v>1/500</v>
      </c>
      <c r="G304">
        <f t="shared" si="69"/>
        <v>1662.59</v>
      </c>
      <c r="H304">
        <v>1662.59</v>
      </c>
      <c r="I304">
        <f t="shared" si="64"/>
        <v>0</v>
      </c>
      <c r="J304">
        <f t="shared" si="63"/>
        <v>0.97000000000002728</v>
      </c>
      <c r="K304">
        <v>2E-3</v>
      </c>
    </row>
    <row r="305" spans="2:11">
      <c r="B305" t="s">
        <v>263</v>
      </c>
      <c r="C305" s="3">
        <v>12000</v>
      </c>
      <c r="D305">
        <v>1663.7550000000001</v>
      </c>
      <c r="E305">
        <f t="shared" si="71"/>
        <v>1663.76</v>
      </c>
      <c r="F305" t="str">
        <f t="shared" si="70"/>
        <v>1/500</v>
      </c>
      <c r="G305">
        <f t="shared" si="69"/>
        <v>1662.49</v>
      </c>
      <c r="H305">
        <v>1662.49</v>
      </c>
      <c r="I305">
        <f t="shared" si="64"/>
        <v>0</v>
      </c>
      <c r="J305">
        <f t="shared" si="63"/>
        <v>1.2699999999999818</v>
      </c>
      <c r="K305">
        <v>2E-3</v>
      </c>
    </row>
    <row r="306" spans="2:11">
      <c r="B306" t="s">
        <v>264</v>
      </c>
      <c r="C306" s="3">
        <v>12050</v>
      </c>
      <c r="D306">
        <v>1664.145</v>
      </c>
      <c r="E306">
        <f t="shared" si="71"/>
        <v>1664.15</v>
      </c>
      <c r="F306" t="str">
        <f t="shared" ref="F306:F317" si="72">"1/"&amp;ROUND(1/K306,0)</f>
        <v>1/500</v>
      </c>
      <c r="G306">
        <f t="shared" si="69"/>
        <v>1662.39</v>
      </c>
      <c r="H306">
        <v>1662.39</v>
      </c>
      <c r="I306">
        <f t="shared" si="64"/>
        <v>0</v>
      </c>
      <c r="J306">
        <f t="shared" si="63"/>
        <v>1.7599999999999909</v>
      </c>
      <c r="K306">
        <v>2E-3</v>
      </c>
    </row>
    <row r="307" spans="2:11">
      <c r="B307" t="s">
        <v>265</v>
      </c>
      <c r="C307" s="3">
        <v>12100</v>
      </c>
      <c r="D307">
        <v>1663.796</v>
      </c>
      <c r="E307">
        <f t="shared" si="71"/>
        <v>1663.8</v>
      </c>
      <c r="F307" t="str">
        <f t="shared" si="72"/>
        <v>1/500</v>
      </c>
      <c r="G307">
        <f t="shared" si="69"/>
        <v>1662.29</v>
      </c>
      <c r="H307">
        <v>1662.29</v>
      </c>
      <c r="I307">
        <f t="shared" si="64"/>
        <v>0</v>
      </c>
      <c r="J307">
        <f t="shared" si="63"/>
        <v>1.5099999999999909</v>
      </c>
      <c r="K307">
        <v>2E-3</v>
      </c>
    </row>
    <row r="308" spans="2:11">
      <c r="B308" t="s">
        <v>266</v>
      </c>
      <c r="C308" s="3">
        <v>12150</v>
      </c>
      <c r="D308">
        <v>1663.4469999999999</v>
      </c>
      <c r="E308">
        <f t="shared" si="71"/>
        <v>1663.45</v>
      </c>
      <c r="F308" t="str">
        <f t="shared" si="72"/>
        <v>1/500</v>
      </c>
      <c r="G308">
        <f t="shared" si="69"/>
        <v>1662.19</v>
      </c>
      <c r="H308">
        <v>1662.19</v>
      </c>
      <c r="I308">
        <f t="shared" si="64"/>
        <v>0</v>
      </c>
      <c r="J308">
        <f t="shared" si="63"/>
        <v>1.2599999999999909</v>
      </c>
      <c r="K308">
        <v>2E-3</v>
      </c>
    </row>
    <row r="309" spans="2:11">
      <c r="B309" t="s">
        <v>267</v>
      </c>
      <c r="C309" s="3">
        <v>12200</v>
      </c>
      <c r="D309">
        <v>1663.2270000000001</v>
      </c>
      <c r="E309">
        <f t="shared" si="71"/>
        <v>1663.23</v>
      </c>
      <c r="F309" t="str">
        <f t="shared" si="72"/>
        <v>1/500</v>
      </c>
      <c r="G309">
        <f t="shared" si="69"/>
        <v>1662.09</v>
      </c>
      <c r="H309">
        <v>1662.09</v>
      </c>
      <c r="I309">
        <f t="shared" si="64"/>
        <v>0</v>
      </c>
      <c r="J309">
        <f t="shared" si="63"/>
        <v>1.1400000000001</v>
      </c>
      <c r="K309">
        <v>2E-3</v>
      </c>
    </row>
    <row r="310" spans="2:11">
      <c r="B310" t="s">
        <v>268</v>
      </c>
      <c r="C310" s="3">
        <v>12250</v>
      </c>
      <c r="D310">
        <v>1663.011</v>
      </c>
      <c r="E310">
        <f t="shared" si="71"/>
        <v>1663.01</v>
      </c>
      <c r="F310" t="str">
        <f t="shared" si="72"/>
        <v>1/500</v>
      </c>
      <c r="G310">
        <f t="shared" si="69"/>
        <v>1661.99</v>
      </c>
      <c r="H310">
        <v>1661.99</v>
      </c>
      <c r="I310">
        <f t="shared" si="64"/>
        <v>0</v>
      </c>
      <c r="J310">
        <f t="shared" si="63"/>
        <v>1.0199999999999818</v>
      </c>
      <c r="K310">
        <v>2E-3</v>
      </c>
    </row>
    <row r="311" spans="2:11">
      <c r="B311" t="s">
        <v>269</v>
      </c>
      <c r="C311" s="3">
        <v>12300</v>
      </c>
      <c r="D311">
        <v>1662.95</v>
      </c>
      <c r="E311">
        <f t="shared" si="71"/>
        <v>1662.95</v>
      </c>
      <c r="F311" t="str">
        <f t="shared" si="72"/>
        <v>1/500</v>
      </c>
      <c r="G311">
        <f t="shared" si="69"/>
        <v>1661.89</v>
      </c>
      <c r="H311">
        <v>1661.89</v>
      </c>
      <c r="I311">
        <f t="shared" si="64"/>
        <v>0</v>
      </c>
      <c r="J311">
        <f t="shared" si="63"/>
        <v>1.0599999999999454</v>
      </c>
      <c r="K311">
        <v>2E-3</v>
      </c>
    </row>
    <row r="312" spans="2:11">
      <c r="B312" t="s">
        <v>270</v>
      </c>
      <c r="C312" s="3">
        <v>12350</v>
      </c>
      <c r="D312">
        <v>1662.662</v>
      </c>
      <c r="E312">
        <f t="shared" si="71"/>
        <v>1662.66</v>
      </c>
      <c r="F312" t="str">
        <f t="shared" si="72"/>
        <v>1/500</v>
      </c>
      <c r="G312">
        <f t="shared" si="69"/>
        <v>1661.79</v>
      </c>
      <c r="H312">
        <v>1661.79</v>
      </c>
      <c r="I312">
        <f t="shared" si="64"/>
        <v>0</v>
      </c>
      <c r="J312">
        <f t="shared" si="63"/>
        <v>0.87000000000011823</v>
      </c>
      <c r="K312">
        <v>2E-3</v>
      </c>
    </row>
    <row r="313" spans="2:11">
      <c r="B313" t="s">
        <v>271</v>
      </c>
      <c r="C313" s="3">
        <v>12400</v>
      </c>
      <c r="D313">
        <v>1662.3340000000001</v>
      </c>
      <c r="E313">
        <f t="shared" si="71"/>
        <v>1662.33</v>
      </c>
      <c r="F313" t="str">
        <f t="shared" si="72"/>
        <v>1/500</v>
      </c>
      <c r="G313">
        <f t="shared" si="69"/>
        <v>1661.69</v>
      </c>
      <c r="H313">
        <v>1661.69</v>
      </c>
      <c r="I313">
        <f t="shared" si="64"/>
        <v>0</v>
      </c>
      <c r="J313">
        <f t="shared" si="63"/>
        <v>0.63999999999987267</v>
      </c>
      <c r="K313">
        <v>2E-3</v>
      </c>
    </row>
    <row r="314" spans="2:11">
      <c r="B314" t="s">
        <v>272</v>
      </c>
      <c r="C314" s="3">
        <v>12450</v>
      </c>
      <c r="D314">
        <v>1662.2629999999999</v>
      </c>
      <c r="E314">
        <f t="shared" ref="E314:E326" si="73">ROUND(D314,2)</f>
        <v>1662.26</v>
      </c>
      <c r="F314" t="str">
        <f t="shared" si="72"/>
        <v>1/500</v>
      </c>
      <c r="G314">
        <f t="shared" si="69"/>
        <v>1661.59</v>
      </c>
      <c r="H314">
        <v>1661.59</v>
      </c>
      <c r="I314">
        <f t="shared" si="64"/>
        <v>0</v>
      </c>
      <c r="J314">
        <f t="shared" si="63"/>
        <v>0.67000000000007276</v>
      </c>
      <c r="K314">
        <v>2E-3</v>
      </c>
    </row>
    <row r="315" spans="2:11">
      <c r="B315" t="s">
        <v>273</v>
      </c>
      <c r="C315" s="3">
        <v>12500</v>
      </c>
      <c r="D315">
        <v>1662.106</v>
      </c>
      <c r="E315">
        <f t="shared" si="73"/>
        <v>1662.11</v>
      </c>
      <c r="F315" t="str">
        <f t="shared" si="72"/>
        <v>1/500</v>
      </c>
      <c r="G315">
        <f t="shared" si="69"/>
        <v>1661.49</v>
      </c>
      <c r="H315">
        <v>1661.49</v>
      </c>
      <c r="I315">
        <f t="shared" si="64"/>
        <v>0</v>
      </c>
      <c r="J315">
        <f t="shared" si="63"/>
        <v>0.61999999999989086</v>
      </c>
      <c r="K315">
        <v>2E-3</v>
      </c>
    </row>
    <row r="316" spans="2:11">
      <c r="B316" t="s">
        <v>274</v>
      </c>
      <c r="C316" s="3">
        <v>12550</v>
      </c>
      <c r="D316">
        <v>1662.0340000000001</v>
      </c>
      <c r="E316">
        <f t="shared" si="73"/>
        <v>1662.03</v>
      </c>
      <c r="F316" t="str">
        <f t="shared" si="72"/>
        <v>1/500</v>
      </c>
      <c r="G316">
        <f t="shared" si="69"/>
        <v>1661.39</v>
      </c>
      <c r="H316">
        <v>1661.39</v>
      </c>
      <c r="I316">
        <f t="shared" si="64"/>
        <v>0</v>
      </c>
      <c r="J316">
        <f t="shared" si="63"/>
        <v>0.63999999999987267</v>
      </c>
      <c r="K316">
        <v>2E-3</v>
      </c>
    </row>
    <row r="317" spans="2:11">
      <c r="B317" t="s">
        <v>275</v>
      </c>
      <c r="C317" s="3">
        <v>12600</v>
      </c>
      <c r="D317">
        <v>1661.9469999999999</v>
      </c>
      <c r="E317">
        <f t="shared" si="73"/>
        <v>1661.95</v>
      </c>
      <c r="F317" t="str">
        <f t="shared" si="72"/>
        <v>1/500</v>
      </c>
      <c r="G317">
        <f t="shared" si="69"/>
        <v>1661.29</v>
      </c>
      <c r="H317">
        <v>1661.29</v>
      </c>
      <c r="I317">
        <f t="shared" si="64"/>
        <v>0</v>
      </c>
      <c r="J317">
        <f t="shared" si="63"/>
        <v>0.66000000000008185</v>
      </c>
      <c r="K317">
        <v>2E-3</v>
      </c>
    </row>
    <row r="318" spans="2:11">
      <c r="B318" t="s">
        <v>276</v>
      </c>
      <c r="C318" s="3">
        <v>12650</v>
      </c>
      <c r="D318">
        <v>1661.9010000000001</v>
      </c>
      <c r="E318">
        <f t="shared" si="73"/>
        <v>1661.9</v>
      </c>
      <c r="F318" t="str">
        <f t="shared" ref="F318:F330" si="74">"1/"&amp;ROUND(1/K318,0)</f>
        <v>1/500</v>
      </c>
      <c r="G318">
        <f t="shared" si="69"/>
        <v>1661.19</v>
      </c>
      <c r="H318">
        <v>1661.19</v>
      </c>
      <c r="I318">
        <f t="shared" si="64"/>
        <v>0</v>
      </c>
      <c r="J318">
        <f t="shared" si="63"/>
        <v>0.71000000000003638</v>
      </c>
      <c r="K318">
        <v>2E-3</v>
      </c>
    </row>
    <row r="319" spans="2:11">
      <c r="B319" t="s">
        <v>277</v>
      </c>
      <c r="C319" s="3">
        <v>12700</v>
      </c>
      <c r="D319">
        <v>1661.8489999999999</v>
      </c>
      <c r="E319">
        <f t="shared" si="73"/>
        <v>1661.85</v>
      </c>
      <c r="F319" t="str">
        <f t="shared" si="74"/>
        <v>1/500</v>
      </c>
      <c r="G319">
        <f t="shared" si="69"/>
        <v>1661.09</v>
      </c>
      <c r="H319">
        <v>1661.09</v>
      </c>
      <c r="I319">
        <f t="shared" si="64"/>
        <v>0</v>
      </c>
      <c r="J319">
        <f t="shared" si="63"/>
        <v>0.75999999999999091</v>
      </c>
      <c r="K319">
        <v>2E-3</v>
      </c>
    </row>
    <row r="320" spans="2:11">
      <c r="B320" t="s">
        <v>278</v>
      </c>
      <c r="C320" s="3">
        <v>12750</v>
      </c>
      <c r="D320">
        <v>1661.81</v>
      </c>
      <c r="E320">
        <f t="shared" si="73"/>
        <v>1661.81</v>
      </c>
      <c r="F320" t="str">
        <f t="shared" si="74"/>
        <v>1/500</v>
      </c>
      <c r="G320">
        <f t="shared" ref="G320:G331" si="75">ROUND(G319-(C320-C319)*K319,2)</f>
        <v>1660.99</v>
      </c>
      <c r="H320">
        <v>1660.99</v>
      </c>
      <c r="I320">
        <f t="shared" si="64"/>
        <v>0</v>
      </c>
      <c r="J320">
        <f t="shared" si="63"/>
        <v>0.81999999999993634</v>
      </c>
      <c r="K320">
        <v>2E-3</v>
      </c>
    </row>
    <row r="321" spans="1:11">
      <c r="B321" t="s">
        <v>279</v>
      </c>
      <c r="C321" s="3">
        <v>12800</v>
      </c>
      <c r="D321">
        <v>1661.8309999999999</v>
      </c>
      <c r="E321">
        <f t="shared" si="73"/>
        <v>1661.83</v>
      </c>
      <c r="F321" t="str">
        <f t="shared" si="74"/>
        <v>1/500</v>
      </c>
      <c r="G321">
        <f t="shared" si="75"/>
        <v>1660.89</v>
      </c>
      <c r="H321">
        <v>1660.89</v>
      </c>
      <c r="I321">
        <f t="shared" si="64"/>
        <v>0</v>
      </c>
      <c r="J321">
        <f t="shared" si="63"/>
        <v>0.9399999999998272</v>
      </c>
      <c r="K321">
        <v>2E-3</v>
      </c>
    </row>
    <row r="322" spans="1:11">
      <c r="B322" t="s">
        <v>280</v>
      </c>
      <c r="C322" s="3">
        <v>12850</v>
      </c>
      <c r="D322">
        <v>1661.942</v>
      </c>
      <c r="E322">
        <f t="shared" si="73"/>
        <v>1661.94</v>
      </c>
      <c r="F322" t="str">
        <f t="shared" si="74"/>
        <v>1/500</v>
      </c>
      <c r="G322">
        <f t="shared" si="75"/>
        <v>1660.79</v>
      </c>
      <c r="H322">
        <v>1660.79</v>
      </c>
      <c r="I322">
        <f t="shared" si="64"/>
        <v>0</v>
      </c>
      <c r="J322">
        <f t="shared" ref="J322:J330" si="76">E322-G322</f>
        <v>1.1500000000000909</v>
      </c>
      <c r="K322">
        <v>2E-3</v>
      </c>
    </row>
    <row r="323" spans="1:11">
      <c r="B323" t="s">
        <v>281</v>
      </c>
      <c r="C323" s="3">
        <v>12900</v>
      </c>
      <c r="D323">
        <v>1661.7139999999999</v>
      </c>
      <c r="E323">
        <f t="shared" si="73"/>
        <v>1661.71</v>
      </c>
      <c r="F323" t="str">
        <f t="shared" si="74"/>
        <v>1/500</v>
      </c>
      <c r="G323">
        <f t="shared" si="75"/>
        <v>1660.69</v>
      </c>
      <c r="H323">
        <v>1660.69</v>
      </c>
      <c r="I323">
        <f t="shared" ref="I323:I331" si="77">G323-H323</f>
        <v>0</v>
      </c>
      <c r="J323">
        <f t="shared" si="76"/>
        <v>1.0199999999999818</v>
      </c>
      <c r="K323">
        <v>2E-3</v>
      </c>
    </row>
    <row r="324" spans="1:11">
      <c r="B324" t="s">
        <v>282</v>
      </c>
      <c r="C324" s="3">
        <v>12950</v>
      </c>
      <c r="D324">
        <v>1661.6990000000001</v>
      </c>
      <c r="E324">
        <f t="shared" si="73"/>
        <v>1661.7</v>
      </c>
      <c r="F324" t="str">
        <f t="shared" si="74"/>
        <v>1/500</v>
      </c>
      <c r="G324">
        <f t="shared" si="75"/>
        <v>1660.59</v>
      </c>
      <c r="H324">
        <v>1660.59</v>
      </c>
      <c r="I324">
        <f t="shared" si="77"/>
        <v>0</v>
      </c>
      <c r="J324">
        <f t="shared" si="76"/>
        <v>1.1100000000001273</v>
      </c>
      <c r="K324">
        <v>2E-3</v>
      </c>
    </row>
    <row r="325" spans="1:11">
      <c r="B325" t="s">
        <v>283</v>
      </c>
      <c r="C325" s="3">
        <v>13000</v>
      </c>
      <c r="D325">
        <v>1661.4280000000001</v>
      </c>
      <c r="E325">
        <f t="shared" si="73"/>
        <v>1661.43</v>
      </c>
      <c r="F325" t="str">
        <f t="shared" si="74"/>
        <v>1/500</v>
      </c>
      <c r="G325">
        <f t="shared" si="75"/>
        <v>1660.49</v>
      </c>
      <c r="H325">
        <v>1660.49</v>
      </c>
      <c r="I325">
        <f t="shared" si="77"/>
        <v>0</v>
      </c>
      <c r="J325">
        <f t="shared" si="76"/>
        <v>0.94000000000005457</v>
      </c>
      <c r="K325">
        <v>2E-3</v>
      </c>
    </row>
    <row r="326" spans="1:11">
      <c r="B326" t="s">
        <v>284</v>
      </c>
      <c r="C326" s="3">
        <v>13050</v>
      </c>
      <c r="D326">
        <v>1661.068</v>
      </c>
      <c r="E326">
        <f t="shared" si="73"/>
        <v>1661.07</v>
      </c>
      <c r="F326" t="str">
        <f t="shared" si="74"/>
        <v>1/500</v>
      </c>
      <c r="G326">
        <f t="shared" si="75"/>
        <v>1660.39</v>
      </c>
      <c r="H326">
        <v>1660.39</v>
      </c>
      <c r="I326">
        <f t="shared" si="77"/>
        <v>0</v>
      </c>
      <c r="J326">
        <f t="shared" si="76"/>
        <v>0.67999999999983629</v>
      </c>
      <c r="K326">
        <v>2E-3</v>
      </c>
    </row>
    <row r="327" spans="1:11">
      <c r="B327" t="s">
        <v>285</v>
      </c>
      <c r="C327" s="3">
        <v>13100</v>
      </c>
      <c r="D327">
        <v>1661.019</v>
      </c>
      <c r="E327">
        <f t="shared" ref="E327:E331" si="78">ROUND(D327,2)</f>
        <v>1661.02</v>
      </c>
      <c r="F327" t="str">
        <f t="shared" si="74"/>
        <v>1/500</v>
      </c>
      <c r="G327">
        <f t="shared" si="75"/>
        <v>1660.29</v>
      </c>
      <c r="H327">
        <v>1660.29</v>
      </c>
      <c r="I327">
        <f t="shared" si="77"/>
        <v>0</v>
      </c>
      <c r="J327">
        <f t="shared" si="76"/>
        <v>0.73000000000001819</v>
      </c>
      <c r="K327">
        <v>2E-3</v>
      </c>
    </row>
    <row r="328" spans="1:11">
      <c r="B328" t="s">
        <v>286</v>
      </c>
      <c r="C328" s="3">
        <v>13150</v>
      </c>
      <c r="D328">
        <v>1660.9680000000001</v>
      </c>
      <c r="E328">
        <f t="shared" si="78"/>
        <v>1660.97</v>
      </c>
      <c r="F328" t="str">
        <f t="shared" si="74"/>
        <v>1/500</v>
      </c>
      <c r="G328">
        <f t="shared" si="75"/>
        <v>1660.19</v>
      </c>
      <c r="H328">
        <v>1660.19</v>
      </c>
      <c r="I328">
        <f t="shared" si="77"/>
        <v>0</v>
      </c>
      <c r="J328">
        <f t="shared" si="76"/>
        <v>0.77999999999997272</v>
      </c>
      <c r="K328">
        <v>2E-3</v>
      </c>
    </row>
    <row r="329" spans="1:11">
      <c r="B329" t="s">
        <v>287</v>
      </c>
      <c r="C329" s="3">
        <v>13200</v>
      </c>
      <c r="D329">
        <v>1660.902</v>
      </c>
      <c r="E329">
        <f t="shared" si="78"/>
        <v>1660.9</v>
      </c>
      <c r="F329" t="str">
        <f t="shared" si="74"/>
        <v>1/500</v>
      </c>
      <c r="G329">
        <f t="shared" si="75"/>
        <v>1660.09</v>
      </c>
      <c r="H329">
        <v>1660.09</v>
      </c>
      <c r="I329">
        <f t="shared" si="77"/>
        <v>0</v>
      </c>
      <c r="J329">
        <f t="shared" si="76"/>
        <v>0.8100000000001728</v>
      </c>
      <c r="K329">
        <v>2E-3</v>
      </c>
    </row>
    <row r="330" spans="1:11">
      <c r="B330" t="s">
        <v>288</v>
      </c>
      <c r="C330" s="3">
        <v>13250</v>
      </c>
      <c r="D330">
        <v>1660.9079999999999</v>
      </c>
      <c r="E330">
        <f t="shared" si="78"/>
        <v>1660.91</v>
      </c>
      <c r="F330" t="str">
        <f t="shared" si="74"/>
        <v>1/500</v>
      </c>
      <c r="G330">
        <f t="shared" si="75"/>
        <v>1659.99</v>
      </c>
      <c r="H330">
        <v>1659.99</v>
      </c>
      <c r="I330">
        <f t="shared" si="77"/>
        <v>0</v>
      </c>
      <c r="J330">
        <f t="shared" si="76"/>
        <v>0.92000000000007276</v>
      </c>
      <c r="K330">
        <v>2E-3</v>
      </c>
    </row>
    <row r="331" spans="1:11">
      <c r="A331" t="s">
        <v>335</v>
      </c>
      <c r="B331" t="s">
        <v>332</v>
      </c>
      <c r="C331" s="3">
        <v>13283</v>
      </c>
      <c r="D331">
        <v>1660.895</v>
      </c>
      <c r="E331">
        <f t="shared" si="78"/>
        <v>1660.9</v>
      </c>
      <c r="F331" t="str">
        <f t="shared" ref="F331" si="79">"1/"&amp;ROUND(1/K331,0)</f>
        <v>1/500</v>
      </c>
      <c r="G331">
        <f t="shared" si="75"/>
        <v>1659.92</v>
      </c>
      <c r="H331">
        <v>1659.92</v>
      </c>
      <c r="I331">
        <f t="shared" si="77"/>
        <v>0</v>
      </c>
      <c r="J331">
        <f t="shared" ref="J331" si="80">E331-G331</f>
        <v>0.98000000000001819</v>
      </c>
      <c r="K331">
        <v>2E-3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2BC6-606F-4028-83B6-17DDE24ABE73}">
  <dimension ref="A1:M24"/>
  <sheetViews>
    <sheetView tabSelected="1" zoomScale="160" zoomScaleNormal="160" workbookViewId="0">
      <selection activeCell="J12" sqref="J12"/>
    </sheetView>
  </sheetViews>
  <sheetFormatPr defaultRowHeight="14.4"/>
  <cols>
    <col min="10" max="10" width="8.88671875" style="1"/>
  </cols>
  <sheetData>
    <row r="1" spans="2:13">
      <c r="B1" t="s">
        <v>0</v>
      </c>
      <c r="D1" t="s">
        <v>1</v>
      </c>
      <c r="E1" t="s">
        <v>291</v>
      </c>
      <c r="F1" t="s">
        <v>289</v>
      </c>
      <c r="G1" t="s">
        <v>290</v>
      </c>
      <c r="M1" s="5"/>
    </row>
    <row r="2" spans="2:13">
      <c r="B2" t="s">
        <v>2</v>
      </c>
      <c r="C2" s="3">
        <v>0</v>
      </c>
      <c r="D2">
        <v>1730.2570000000001</v>
      </c>
      <c r="E2">
        <f>ROUND(D2,2)</f>
        <v>1730.26</v>
      </c>
      <c r="F2" t="str">
        <f>"1/"&amp;ROUND(1/K2,0)</f>
        <v>1/100</v>
      </c>
      <c r="G2">
        <v>1729.87</v>
      </c>
      <c r="H2">
        <v>1729.87</v>
      </c>
      <c r="I2">
        <f>G2-H2</f>
        <v>0</v>
      </c>
      <c r="J2" s="1">
        <f t="shared" ref="J2:J11" si="0">E2-G2</f>
        <v>0.39000000000010004</v>
      </c>
      <c r="K2">
        <v>0.01</v>
      </c>
    </row>
    <row r="3" spans="2:13">
      <c r="B3" t="s">
        <v>3</v>
      </c>
      <c r="C3" s="3">
        <v>10</v>
      </c>
      <c r="D3">
        <v>1730.0229999999999</v>
      </c>
      <c r="E3">
        <f t="shared" ref="E3:E16" si="1">ROUND(D3,2)</f>
        <v>1730.02</v>
      </c>
      <c r="F3" t="str">
        <f t="shared" ref="F3:F12" si="2">"1/"&amp;ROUND(1/K3,0)</f>
        <v>1/100</v>
      </c>
      <c r="G3">
        <f>E2-K2*(C3-C2)</f>
        <v>1730.16</v>
      </c>
      <c r="H3">
        <v>1730.16</v>
      </c>
      <c r="I3">
        <f t="shared" ref="I3:I24" si="3">G3-H3</f>
        <v>0</v>
      </c>
      <c r="J3" s="1">
        <f t="shared" si="0"/>
        <v>-0.14000000000010004</v>
      </c>
      <c r="K3">
        <v>0.01</v>
      </c>
    </row>
    <row r="4" spans="2:13">
      <c r="B4" t="s">
        <v>4</v>
      </c>
      <c r="C4" s="3">
        <v>13</v>
      </c>
      <c r="D4">
        <v>1730</v>
      </c>
      <c r="E4">
        <f t="shared" si="1"/>
        <v>1730</v>
      </c>
      <c r="F4" t="str">
        <f t="shared" si="2"/>
        <v>1/100</v>
      </c>
      <c r="G4">
        <f>E3-K3*(C4-C3)</f>
        <v>1729.99</v>
      </c>
      <c r="H4">
        <v>1729.99</v>
      </c>
      <c r="I4">
        <f t="shared" si="3"/>
        <v>0</v>
      </c>
      <c r="J4" s="1">
        <f t="shared" si="0"/>
        <v>9.9999999999909051E-3</v>
      </c>
      <c r="K4">
        <v>0.01</v>
      </c>
    </row>
    <row r="5" spans="2:13">
      <c r="B5" t="s">
        <v>5</v>
      </c>
      <c r="C5" s="3">
        <v>20</v>
      </c>
      <c r="D5">
        <v>1729.712</v>
      </c>
      <c r="E5">
        <f t="shared" si="1"/>
        <v>1729.71</v>
      </c>
      <c r="F5" t="str">
        <f t="shared" si="2"/>
        <v>1/100</v>
      </c>
      <c r="G5">
        <f>E4-K4*(C5-C4)</f>
        <v>1729.93</v>
      </c>
      <c r="H5">
        <v>1729.93</v>
      </c>
      <c r="I5">
        <f t="shared" si="3"/>
        <v>0</v>
      </c>
      <c r="J5" s="1">
        <f t="shared" si="0"/>
        <v>-0.22000000000002728</v>
      </c>
      <c r="K5">
        <v>0.01</v>
      </c>
    </row>
    <row r="6" spans="2:13">
      <c r="B6" s="4" t="s">
        <v>6</v>
      </c>
      <c r="C6" s="3">
        <v>30</v>
      </c>
      <c r="D6">
        <v>1729.5830000000001</v>
      </c>
      <c r="E6">
        <f t="shared" si="1"/>
        <v>1729.58</v>
      </c>
      <c r="F6" t="str">
        <f t="shared" si="2"/>
        <v>1/100</v>
      </c>
      <c r="G6">
        <v>1728</v>
      </c>
      <c r="H6">
        <v>1728</v>
      </c>
      <c r="I6">
        <f t="shared" si="3"/>
        <v>0</v>
      </c>
      <c r="J6" s="1">
        <f>E6-G6</f>
        <v>1.5799999999999272</v>
      </c>
      <c r="K6">
        <v>0.01</v>
      </c>
      <c r="L6">
        <v>1728.08</v>
      </c>
    </row>
    <row r="7" spans="2:13">
      <c r="B7" t="s">
        <v>7</v>
      </c>
      <c r="C7" s="3">
        <v>40</v>
      </c>
      <c r="D7">
        <v>1729.3009999999999</v>
      </c>
      <c r="E7">
        <f t="shared" si="1"/>
        <v>1729.3</v>
      </c>
      <c r="F7" t="str">
        <f t="shared" si="2"/>
        <v>1/100</v>
      </c>
      <c r="G7">
        <f t="shared" ref="G7:H16" si="4">ROUND(G6-(C7-C6)*K6,2)</f>
        <v>1727.9</v>
      </c>
      <c r="H7">
        <v>1727.98</v>
      </c>
      <c r="I7">
        <f t="shared" si="3"/>
        <v>-7.999999999992724E-2</v>
      </c>
      <c r="J7" s="1">
        <f t="shared" si="0"/>
        <v>1.3999999999998636</v>
      </c>
      <c r="K7">
        <v>0.01</v>
      </c>
      <c r="L7">
        <v>1728.06</v>
      </c>
    </row>
    <row r="8" spans="2:13">
      <c r="B8" t="s">
        <v>8</v>
      </c>
      <c r="C8" s="3">
        <v>50</v>
      </c>
      <c r="D8">
        <v>1728.903</v>
      </c>
      <c r="E8">
        <f t="shared" si="1"/>
        <v>1728.9</v>
      </c>
      <c r="F8" t="str">
        <f t="shared" si="2"/>
        <v>1/100</v>
      </c>
      <c r="G8">
        <f t="shared" si="4"/>
        <v>1727.8</v>
      </c>
      <c r="H8">
        <v>1727.96</v>
      </c>
      <c r="I8">
        <f t="shared" si="3"/>
        <v>-0.16000000000008185</v>
      </c>
      <c r="J8" s="1">
        <f>E8-G8</f>
        <v>1.1000000000001364</v>
      </c>
      <c r="K8">
        <v>0.01</v>
      </c>
      <c r="L8">
        <v>1728.04</v>
      </c>
    </row>
    <row r="9" spans="2:13">
      <c r="B9" t="s">
        <v>9</v>
      </c>
      <c r="C9" s="3">
        <v>100</v>
      </c>
      <c r="D9">
        <v>1729.7280000000001</v>
      </c>
      <c r="E9">
        <f t="shared" si="1"/>
        <v>1729.73</v>
      </c>
      <c r="F9" t="str">
        <f t="shared" si="2"/>
        <v>1/100</v>
      </c>
      <c r="G9">
        <f t="shared" si="4"/>
        <v>1727.3</v>
      </c>
      <c r="H9">
        <v>1727.86</v>
      </c>
      <c r="I9">
        <f t="shared" si="3"/>
        <v>-0.55999999999994543</v>
      </c>
      <c r="J9" s="1">
        <f t="shared" si="0"/>
        <v>2.4300000000000637</v>
      </c>
      <c r="K9">
        <v>0.01</v>
      </c>
      <c r="L9">
        <v>1727.94</v>
      </c>
    </row>
    <row r="10" spans="2:13">
      <c r="B10" t="s">
        <v>10</v>
      </c>
      <c r="C10" s="3">
        <v>150</v>
      </c>
      <c r="D10">
        <v>1728.713</v>
      </c>
      <c r="E10">
        <f t="shared" si="1"/>
        <v>1728.71</v>
      </c>
      <c r="F10" t="str">
        <f t="shared" si="2"/>
        <v>1/100</v>
      </c>
      <c r="G10">
        <f t="shared" si="4"/>
        <v>1726.8</v>
      </c>
      <c r="H10">
        <v>1727.76</v>
      </c>
      <c r="I10">
        <f t="shared" si="3"/>
        <v>-0.96000000000003638</v>
      </c>
      <c r="J10" s="1">
        <f t="shared" si="0"/>
        <v>1.9100000000000819</v>
      </c>
      <c r="K10">
        <v>0.01</v>
      </c>
      <c r="L10">
        <v>1727.84</v>
      </c>
    </row>
    <row r="11" spans="2:13">
      <c r="B11" t="s">
        <v>11</v>
      </c>
      <c r="C11" s="3">
        <v>200</v>
      </c>
      <c r="D11">
        <v>1727.885</v>
      </c>
      <c r="E11">
        <f t="shared" si="1"/>
        <v>1727.89</v>
      </c>
      <c r="F11" t="str">
        <f t="shared" si="2"/>
        <v>1/100</v>
      </c>
      <c r="G11">
        <f t="shared" si="4"/>
        <v>1726.3</v>
      </c>
      <c r="H11">
        <v>1727.66</v>
      </c>
      <c r="I11">
        <f t="shared" si="3"/>
        <v>-1.3600000000001273</v>
      </c>
      <c r="J11" s="1">
        <f t="shared" si="0"/>
        <v>1.5900000000001455</v>
      </c>
      <c r="K11">
        <v>0.01</v>
      </c>
      <c r="L11">
        <v>1727.74</v>
      </c>
    </row>
    <row r="12" spans="2:13">
      <c r="B12" s="1" t="s">
        <v>12</v>
      </c>
      <c r="C12" s="3">
        <v>210</v>
      </c>
      <c r="D12">
        <v>1727.7270000000001</v>
      </c>
      <c r="E12">
        <f>ROUND(D12,2)</f>
        <v>1727.73</v>
      </c>
      <c r="F12" t="str">
        <f t="shared" si="2"/>
        <v>1/100</v>
      </c>
      <c r="G12">
        <f>ROUND(G11-(C12-C11)*K11,2)</f>
        <v>1726.2</v>
      </c>
      <c r="H12">
        <v>1727.64</v>
      </c>
      <c r="I12">
        <f t="shared" si="3"/>
        <v>-1.4400000000000546</v>
      </c>
      <c r="J12" s="1">
        <f>E12-G12</f>
        <v>1.5299999999999727</v>
      </c>
      <c r="K12">
        <v>0.01</v>
      </c>
      <c r="L12">
        <v>1727.72</v>
      </c>
    </row>
    <row r="13" spans="2:13">
      <c r="B13" s="5"/>
      <c r="C13" s="3">
        <v>250</v>
      </c>
      <c r="D13">
        <f>D11-0.014*(C13-C11)</f>
        <v>1727.1849999999999</v>
      </c>
      <c r="E13">
        <f>ROUND(D13,2)</f>
        <v>1727.19</v>
      </c>
      <c r="F13" t="str">
        <f t="shared" ref="F13:F16" si="5">"1/"&amp;ROUND(1/K13,0)</f>
        <v>1/100</v>
      </c>
      <c r="G13">
        <f>ROUND(G11-(C13-C11)*K11,2)</f>
        <v>1725.8</v>
      </c>
      <c r="H13">
        <v>1727.56</v>
      </c>
      <c r="I13">
        <f t="shared" si="3"/>
        <v>-1.7599999999999909</v>
      </c>
      <c r="J13" s="1">
        <f>E13-G13</f>
        <v>1.3900000000001</v>
      </c>
      <c r="K13">
        <v>0.01</v>
      </c>
      <c r="L13">
        <v>1725.73</v>
      </c>
      <c r="M13">
        <f>D11-D22</f>
        <v>4.4259999999999309</v>
      </c>
    </row>
    <row r="14" spans="2:13">
      <c r="B14" s="5"/>
      <c r="C14" s="3">
        <v>300</v>
      </c>
      <c r="D14">
        <f>D11-0.014*(C14-C11)</f>
        <v>1726.4849999999999</v>
      </c>
      <c r="E14">
        <f t="shared" si="1"/>
        <v>1726.49</v>
      </c>
      <c r="F14" t="str">
        <f t="shared" si="5"/>
        <v>1/100</v>
      </c>
      <c r="G14">
        <f t="shared" si="4"/>
        <v>1725.3</v>
      </c>
      <c r="H14">
        <v>1727.46</v>
      </c>
      <c r="I14">
        <f t="shared" si="3"/>
        <v>-2.1600000000000819</v>
      </c>
      <c r="J14" s="1">
        <f>E14-G14</f>
        <v>1.1900000000000546</v>
      </c>
      <c r="K14">
        <v>0.01</v>
      </c>
      <c r="L14">
        <v>1725.56</v>
      </c>
    </row>
    <row r="15" spans="2:13">
      <c r="B15" s="5"/>
      <c r="C15" s="3">
        <v>350</v>
      </c>
      <c r="D15">
        <f>D13-0.014*(C15-C13)</f>
        <v>1725.7849999999999</v>
      </c>
      <c r="E15">
        <f t="shared" si="1"/>
        <v>1725.79</v>
      </c>
      <c r="F15" t="str">
        <f t="shared" si="5"/>
        <v>1/100</v>
      </c>
      <c r="G15">
        <f t="shared" si="4"/>
        <v>1724.8</v>
      </c>
      <c r="H15">
        <v>1727.36</v>
      </c>
      <c r="I15">
        <f t="shared" si="3"/>
        <v>-2.5599999999999454</v>
      </c>
      <c r="J15" s="1">
        <f>E15-G15</f>
        <v>0.99000000000000909</v>
      </c>
      <c r="K15">
        <v>0.01</v>
      </c>
      <c r="L15">
        <v>1725.36</v>
      </c>
    </row>
    <row r="16" spans="2:13">
      <c r="B16" s="5"/>
      <c r="C16" s="3">
        <v>400</v>
      </c>
      <c r="D16">
        <f>D14-0.014*(C16-C14)</f>
        <v>1725.0849999999998</v>
      </c>
      <c r="E16">
        <f t="shared" si="1"/>
        <v>1725.09</v>
      </c>
      <c r="F16" t="str">
        <f t="shared" si="5"/>
        <v>1/100</v>
      </c>
      <c r="G16">
        <f t="shared" si="4"/>
        <v>1724.3</v>
      </c>
      <c r="H16">
        <v>1727.26</v>
      </c>
      <c r="I16">
        <f t="shared" si="3"/>
        <v>-2.9600000000000364</v>
      </c>
      <c r="J16" s="1">
        <f>E16-G16</f>
        <v>0.78999999999996362</v>
      </c>
      <c r="K16">
        <v>0.01</v>
      </c>
      <c r="L16">
        <v>1725.16</v>
      </c>
    </row>
    <row r="17" spans="1:12">
      <c r="A17" s="5"/>
      <c r="B17" s="5"/>
      <c r="C17" s="3">
        <v>420</v>
      </c>
      <c r="D17">
        <f t="shared" ref="D17:D18" si="6">D15-0.014*(C17-C15)</f>
        <v>1724.8049999999998</v>
      </c>
      <c r="E17">
        <f>ROUND(D17,2)</f>
        <v>1724.81</v>
      </c>
      <c r="G17">
        <f>ROUND(G16-(C17-C16)*K16,2)</f>
        <v>1724.1</v>
      </c>
      <c r="H17">
        <v>1727.22</v>
      </c>
      <c r="I17">
        <f t="shared" si="3"/>
        <v>-3.1200000000001182</v>
      </c>
      <c r="J17" s="1">
        <f t="shared" ref="J17:J24" si="7">E17-G17</f>
        <v>0.71000000000003638</v>
      </c>
      <c r="K17">
        <v>0.01</v>
      </c>
      <c r="L17">
        <v>1725.02</v>
      </c>
    </row>
    <row r="18" spans="1:12">
      <c r="A18" s="5"/>
      <c r="B18" s="5"/>
      <c r="C18" s="3">
        <v>423</v>
      </c>
      <c r="D18">
        <f t="shared" si="6"/>
        <v>1724.7629999999999</v>
      </c>
      <c r="E18">
        <f>ROUND(D18,2)</f>
        <v>1724.76</v>
      </c>
      <c r="G18">
        <f>G17-2.2</f>
        <v>1721.8999999999999</v>
      </c>
      <c r="H18">
        <v>1725.02</v>
      </c>
      <c r="I18">
        <f t="shared" si="3"/>
        <v>-3.1200000000001182</v>
      </c>
      <c r="J18" s="1">
        <f t="shared" si="7"/>
        <v>2.8600000000001273</v>
      </c>
      <c r="K18">
        <v>0.01</v>
      </c>
      <c r="L18">
        <v>1722.81</v>
      </c>
    </row>
    <row r="19" spans="1:12">
      <c r="B19" s="5"/>
      <c r="C19" s="3">
        <v>430</v>
      </c>
      <c r="D19">
        <f>D15-0.014*(C19-C15)</f>
        <v>1724.665</v>
      </c>
      <c r="E19">
        <f t="shared" ref="E19:E24" si="8">ROUND(D19,2)</f>
        <v>1724.67</v>
      </c>
      <c r="F19" t="str">
        <f t="shared" ref="F19:F24" si="9">"1/"&amp;ROUND(1/K19,0)</f>
        <v>1/100</v>
      </c>
      <c r="G19">
        <f>ROUND(G18-(C19-C18-5)*K18,2)</f>
        <v>1721.88</v>
      </c>
      <c r="H19">
        <v>1725.02</v>
      </c>
      <c r="I19">
        <f t="shared" si="3"/>
        <v>-3.1399999999998727</v>
      </c>
      <c r="J19" s="1">
        <f t="shared" si="7"/>
        <v>2.7899999999999636</v>
      </c>
      <c r="K19">
        <v>0.01</v>
      </c>
      <c r="L19">
        <v>1722.8</v>
      </c>
    </row>
    <row r="20" spans="1:12">
      <c r="B20" s="5" t="s">
        <v>13</v>
      </c>
      <c r="C20" s="3">
        <v>460</v>
      </c>
      <c r="D20">
        <f>D16-0.014*(C20-C16)</f>
        <v>1724.2449999999999</v>
      </c>
      <c r="E20">
        <f t="shared" si="8"/>
        <v>1724.25</v>
      </c>
      <c r="F20" t="str">
        <f t="shared" si="9"/>
        <v>1/100</v>
      </c>
      <c r="G20">
        <f t="shared" ref="G20:H24" si="10">ROUND(G19-(C20-C19)*K19,2)</f>
        <v>1721.58</v>
      </c>
      <c r="H20">
        <v>1724.96</v>
      </c>
      <c r="I20">
        <f t="shared" si="3"/>
        <v>-3.3800000000001091</v>
      </c>
      <c r="J20" s="1">
        <f t="shared" si="7"/>
        <v>2.6700000000000728</v>
      </c>
      <c r="K20">
        <v>0.01</v>
      </c>
      <c r="L20">
        <v>1722.74</v>
      </c>
    </row>
    <row r="21" spans="1:12">
      <c r="B21" s="6" t="s">
        <v>14</v>
      </c>
      <c r="C21" s="3">
        <v>464</v>
      </c>
      <c r="D21">
        <v>1724.03</v>
      </c>
      <c r="E21">
        <f t="shared" si="8"/>
        <v>1724.03</v>
      </c>
      <c r="F21" t="str">
        <f t="shared" si="9"/>
        <v>1/100</v>
      </c>
      <c r="G21">
        <f t="shared" si="10"/>
        <v>1721.54</v>
      </c>
      <c r="H21">
        <v>1724.95</v>
      </c>
      <c r="I21">
        <f t="shared" si="3"/>
        <v>-3.4100000000000819</v>
      </c>
      <c r="J21" s="1">
        <f t="shared" si="7"/>
        <v>2.4900000000000091</v>
      </c>
      <c r="K21">
        <v>0.01</v>
      </c>
      <c r="L21">
        <v>1722.73</v>
      </c>
    </row>
    <row r="22" spans="1:12">
      <c r="B22" t="s">
        <v>15</v>
      </c>
      <c r="C22" s="3">
        <v>500</v>
      </c>
      <c r="D22">
        <v>1723.4590000000001</v>
      </c>
      <c r="E22">
        <f t="shared" si="8"/>
        <v>1723.46</v>
      </c>
      <c r="F22" t="str">
        <f t="shared" si="9"/>
        <v>1/100</v>
      </c>
      <c r="G22">
        <f t="shared" si="10"/>
        <v>1721.18</v>
      </c>
      <c r="H22">
        <v>1724.88</v>
      </c>
      <c r="I22">
        <f t="shared" si="3"/>
        <v>-3.7000000000000455</v>
      </c>
      <c r="J22" s="1">
        <f t="shared" si="7"/>
        <v>2.2799999999999727</v>
      </c>
      <c r="K22">
        <v>0.01</v>
      </c>
      <c r="L22">
        <v>1722.66</v>
      </c>
    </row>
    <row r="23" spans="1:12">
      <c r="B23" t="s">
        <v>16</v>
      </c>
      <c r="C23" s="3">
        <v>550</v>
      </c>
      <c r="D23">
        <v>1722.885</v>
      </c>
      <c r="E23">
        <f t="shared" si="8"/>
        <v>1722.89</v>
      </c>
      <c r="F23" t="str">
        <f t="shared" si="9"/>
        <v>1/100</v>
      </c>
      <c r="G23">
        <f t="shared" si="10"/>
        <v>1720.68</v>
      </c>
      <c r="H23">
        <v>1724.78</v>
      </c>
      <c r="I23">
        <f t="shared" si="3"/>
        <v>-4.0999999999999091</v>
      </c>
      <c r="J23" s="1">
        <f t="shared" si="7"/>
        <v>2.2100000000000364</v>
      </c>
      <c r="K23">
        <v>0.01</v>
      </c>
      <c r="L23">
        <v>1722.56</v>
      </c>
    </row>
    <row r="24" spans="1:12">
      <c r="B24" t="s">
        <v>17</v>
      </c>
      <c r="C24" s="3">
        <v>600</v>
      </c>
      <c r="D24">
        <v>1722.3789999999999</v>
      </c>
      <c r="E24">
        <f t="shared" si="8"/>
        <v>1722.38</v>
      </c>
      <c r="F24" t="str">
        <f t="shared" si="9"/>
        <v>1/100</v>
      </c>
      <c r="G24">
        <f t="shared" si="10"/>
        <v>1720.18</v>
      </c>
      <c r="H24">
        <v>1724.68</v>
      </c>
      <c r="I24">
        <f t="shared" si="3"/>
        <v>-4.5</v>
      </c>
      <c r="J24" s="1">
        <f t="shared" si="7"/>
        <v>2.2000000000000455</v>
      </c>
      <c r="K24">
        <v>0.01</v>
      </c>
      <c r="L24">
        <v>1722.46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>
      <selection activeCell="F2" sqref="F2"/>
    </sheetView>
  </sheetViews>
  <sheetFormatPr defaultRowHeight="14.4"/>
  <sheetData>
    <row r="1" spans="1:11">
      <c r="A1" s="9" t="s">
        <v>832</v>
      </c>
      <c r="B1" s="9" t="s">
        <v>836</v>
      </c>
      <c r="C1" s="9" t="s">
        <v>839</v>
      </c>
      <c r="D1" s="9" t="s">
        <v>840</v>
      </c>
      <c r="E1" s="9" t="s">
        <v>841</v>
      </c>
      <c r="F1" s="9" t="s">
        <v>842</v>
      </c>
      <c r="G1" s="9" t="s">
        <v>843</v>
      </c>
      <c r="H1" s="9" t="s">
        <v>844</v>
      </c>
    </row>
    <row r="2" spans="1:11" ht="15" thickBot="1">
      <c r="A2" s="9" t="s">
        <v>833</v>
      </c>
      <c r="B2" s="9">
        <f>干渠!C405</f>
        <v>13283</v>
      </c>
      <c r="C2" s="9">
        <v>1</v>
      </c>
      <c r="D2" s="9">
        <v>12</v>
      </c>
      <c r="E2" s="9">
        <v>4</v>
      </c>
      <c r="F2" s="9">
        <v>22</v>
      </c>
      <c r="G2" s="9"/>
      <c r="H2" s="9"/>
      <c r="I2">
        <f>SUM(C2:H2)</f>
        <v>39</v>
      </c>
    </row>
    <row r="3" spans="1:11" ht="15" thickBot="1">
      <c r="A3" s="9" t="s">
        <v>834</v>
      </c>
      <c r="B3" s="9">
        <f>支渠!E35</f>
        <v>6803</v>
      </c>
      <c r="C3" s="9"/>
      <c r="D3" s="9">
        <v>15</v>
      </c>
      <c r="E3" s="9">
        <v>1</v>
      </c>
      <c r="F3" s="9"/>
      <c r="G3" s="9">
        <v>3</v>
      </c>
      <c r="H3" s="37"/>
      <c r="I3">
        <f t="shared" ref="I3:I17" si="0">SUM(C3:H3)</f>
        <v>19</v>
      </c>
    </row>
    <row r="4" spans="1:11" ht="15" thickBot="1">
      <c r="A4" s="9" t="s">
        <v>612</v>
      </c>
      <c r="B4" s="9">
        <f>支渠!E36</f>
        <v>7224</v>
      </c>
      <c r="C4" s="9"/>
      <c r="D4" s="9">
        <v>13</v>
      </c>
      <c r="E4" s="9"/>
      <c r="F4" s="9"/>
      <c r="G4" s="9">
        <v>2</v>
      </c>
      <c r="H4" s="38"/>
      <c r="I4">
        <f t="shared" si="0"/>
        <v>15</v>
      </c>
      <c r="K4">
        <f>39+120+107+97+81+38+146+65+66+54+57+44+69+64</f>
        <v>1047</v>
      </c>
    </row>
    <row r="5" spans="1:11" ht="15" thickBot="1">
      <c r="A5" s="9" t="s">
        <v>613</v>
      </c>
      <c r="B5" s="9">
        <f>支渠!E37</f>
        <v>4900</v>
      </c>
      <c r="C5" s="9"/>
      <c r="D5" s="9">
        <v>15</v>
      </c>
      <c r="E5" s="9"/>
      <c r="F5" s="9"/>
      <c r="G5" s="9">
        <v>2</v>
      </c>
      <c r="H5" s="38"/>
      <c r="I5">
        <f t="shared" si="0"/>
        <v>17</v>
      </c>
    </row>
    <row r="6" spans="1:11" ht="15" thickBot="1">
      <c r="A6" s="9" t="s">
        <v>614</v>
      </c>
      <c r="B6" s="9">
        <f>支渠!E38</f>
        <v>5310</v>
      </c>
      <c r="C6" s="9"/>
      <c r="D6" s="9">
        <v>12</v>
      </c>
      <c r="E6" s="9"/>
      <c r="F6" s="9">
        <v>1</v>
      </c>
      <c r="G6" s="9">
        <v>2</v>
      </c>
      <c r="H6" s="38"/>
      <c r="I6">
        <f t="shared" si="0"/>
        <v>15</v>
      </c>
    </row>
    <row r="7" spans="1:11" ht="15" thickBot="1">
      <c r="A7" s="9" t="s">
        <v>615</v>
      </c>
      <c r="B7" s="9">
        <f>支渠!E39</f>
        <v>2545</v>
      </c>
      <c r="C7" s="9"/>
      <c r="D7" s="9">
        <v>6</v>
      </c>
      <c r="E7" s="9"/>
      <c r="F7" s="9"/>
      <c r="G7" s="9">
        <v>1</v>
      </c>
      <c r="H7" s="38"/>
      <c r="I7">
        <f t="shared" si="0"/>
        <v>7</v>
      </c>
    </row>
    <row r="8" spans="1:11" ht="15" thickBot="1">
      <c r="A8" s="9" t="s">
        <v>835</v>
      </c>
      <c r="B8" s="9">
        <f>支渠!E40</f>
        <v>4150</v>
      </c>
      <c r="C8" s="9"/>
      <c r="D8" s="9">
        <v>22</v>
      </c>
      <c r="E8" s="9">
        <v>1</v>
      </c>
      <c r="F8" s="9"/>
      <c r="G8" s="9">
        <v>17</v>
      </c>
      <c r="H8" s="38"/>
      <c r="I8">
        <f t="shared" si="0"/>
        <v>40</v>
      </c>
    </row>
    <row r="9" spans="1:11" ht="15" thickBot="1">
      <c r="A9" s="9" t="s">
        <v>403</v>
      </c>
      <c r="B9" s="9">
        <f>支渠!E41</f>
        <v>4800</v>
      </c>
      <c r="C9" s="9"/>
      <c r="D9" s="9">
        <v>12</v>
      </c>
      <c r="E9" s="9">
        <v>2</v>
      </c>
      <c r="F9" s="9"/>
      <c r="G9" s="9">
        <v>3</v>
      </c>
      <c r="H9" s="38"/>
      <c r="I9">
        <f t="shared" si="0"/>
        <v>17</v>
      </c>
    </row>
    <row r="10" spans="1:11" ht="15" thickBot="1">
      <c r="A10" s="9" t="s">
        <v>404</v>
      </c>
      <c r="B10" s="9">
        <f>支渠!E42</f>
        <v>4400</v>
      </c>
      <c r="C10" s="9"/>
      <c r="D10" s="9">
        <v>11</v>
      </c>
      <c r="E10" s="9">
        <v>1</v>
      </c>
      <c r="F10" s="9"/>
      <c r="G10" s="9">
        <v>14</v>
      </c>
      <c r="H10" s="38"/>
      <c r="I10">
        <f t="shared" si="0"/>
        <v>26</v>
      </c>
    </row>
    <row r="11" spans="1:11" ht="15" thickBot="1">
      <c r="A11" s="9" t="s">
        <v>405</v>
      </c>
      <c r="B11" s="9">
        <f>支渠!E43</f>
        <v>4000</v>
      </c>
      <c r="C11" s="9"/>
      <c r="D11" s="9">
        <v>10</v>
      </c>
      <c r="E11" s="9">
        <v>1</v>
      </c>
      <c r="F11" s="9"/>
      <c r="G11" s="9">
        <v>3</v>
      </c>
      <c r="H11" s="38"/>
      <c r="I11">
        <f t="shared" si="0"/>
        <v>14</v>
      </c>
    </row>
    <row r="12" spans="1:11" ht="15" thickBot="1">
      <c r="A12" s="9" t="s">
        <v>406</v>
      </c>
      <c r="B12" s="9">
        <f>支渠!E44</f>
        <v>3550</v>
      </c>
      <c r="C12" s="9"/>
      <c r="D12" s="9">
        <v>9</v>
      </c>
      <c r="E12" s="9">
        <v>1</v>
      </c>
      <c r="F12" s="9"/>
      <c r="G12" s="9">
        <v>10</v>
      </c>
      <c r="H12" s="38"/>
      <c r="I12">
        <f t="shared" si="0"/>
        <v>20</v>
      </c>
    </row>
    <row r="13" spans="1:11" ht="15" thickBot="1">
      <c r="A13" s="9" t="s">
        <v>407</v>
      </c>
      <c r="B13" s="9">
        <f>支渠!E45</f>
        <v>3400</v>
      </c>
      <c r="C13" s="9"/>
      <c r="D13" s="9">
        <v>8</v>
      </c>
      <c r="E13" s="9">
        <v>1</v>
      </c>
      <c r="F13" s="9"/>
      <c r="G13" s="9">
        <v>2</v>
      </c>
      <c r="H13" s="38"/>
      <c r="I13">
        <f t="shared" si="0"/>
        <v>11</v>
      </c>
    </row>
    <row r="14" spans="1:11" ht="15" thickBot="1">
      <c r="A14" s="9" t="s">
        <v>408</v>
      </c>
      <c r="B14" s="9">
        <f>支渠!E46</f>
        <v>5020</v>
      </c>
      <c r="C14" s="9"/>
      <c r="D14" s="9">
        <v>11</v>
      </c>
      <c r="E14" s="9">
        <v>1</v>
      </c>
      <c r="F14" s="9"/>
      <c r="G14" s="9">
        <v>7</v>
      </c>
      <c r="H14" s="38"/>
      <c r="I14">
        <f t="shared" si="0"/>
        <v>19</v>
      </c>
    </row>
    <row r="15" spans="1:11">
      <c r="A15" s="9"/>
      <c r="B15" s="9">
        <f>SUM(B3:B14)</f>
        <v>56102</v>
      </c>
      <c r="C15" s="9">
        <f>SUM(C3:C14)</f>
        <v>0</v>
      </c>
      <c r="D15" s="9">
        <f t="shared" ref="D15:I15" si="1">SUM(D3:D14)</f>
        <v>144</v>
      </c>
      <c r="E15" s="9">
        <f t="shared" si="1"/>
        <v>9</v>
      </c>
      <c r="F15" s="9">
        <f t="shared" si="1"/>
        <v>1</v>
      </c>
      <c r="G15" s="9">
        <f t="shared" si="1"/>
        <v>66</v>
      </c>
      <c r="H15" s="9">
        <f t="shared" si="1"/>
        <v>0</v>
      </c>
      <c r="I15" s="9">
        <f t="shared" si="1"/>
        <v>220</v>
      </c>
    </row>
    <row r="16" spans="1:11">
      <c r="A16" s="9" t="s">
        <v>837</v>
      </c>
      <c r="B16" s="9">
        <f>斗渠!C176</f>
        <v>152691</v>
      </c>
      <c r="C16" s="9"/>
      <c r="D16" s="9"/>
      <c r="E16" s="9">
        <v>13</v>
      </c>
      <c r="F16" s="9"/>
      <c r="G16" s="9">
        <v>51</v>
      </c>
      <c r="H16" s="9">
        <v>668</v>
      </c>
      <c r="I16">
        <f t="shared" si="0"/>
        <v>732</v>
      </c>
    </row>
    <row r="17" spans="1:10">
      <c r="A17" s="9" t="s">
        <v>838</v>
      </c>
      <c r="B17" s="9">
        <f>SUM(B2:B16)</f>
        <v>278178</v>
      </c>
      <c r="C17" s="9">
        <f>C15+C16</f>
        <v>0</v>
      </c>
      <c r="D17" s="9">
        <f t="shared" ref="D17:H17" si="2">D15+D16</f>
        <v>144</v>
      </c>
      <c r="E17" s="9">
        <f t="shared" si="2"/>
        <v>22</v>
      </c>
      <c r="F17" s="9">
        <f t="shared" si="2"/>
        <v>1</v>
      </c>
      <c r="G17" s="9">
        <f t="shared" si="2"/>
        <v>117</v>
      </c>
      <c r="H17" s="9">
        <f t="shared" si="2"/>
        <v>668</v>
      </c>
      <c r="I17">
        <f t="shared" si="0"/>
        <v>952</v>
      </c>
      <c r="J17">
        <f>SUM(I2:I16)</f>
        <v>1211</v>
      </c>
    </row>
    <row r="19" spans="1:10">
      <c r="G19">
        <f>117-G17</f>
        <v>0</v>
      </c>
    </row>
    <row r="22" spans="1:10">
      <c r="A22" s="9" t="s">
        <v>832</v>
      </c>
      <c r="B22" s="9" t="s">
        <v>840</v>
      </c>
      <c r="C22" s="9" t="s">
        <v>841</v>
      </c>
      <c r="D22" s="9" t="s">
        <v>842</v>
      </c>
      <c r="E22" s="9" t="s">
        <v>843</v>
      </c>
      <c r="F22" s="9" t="s">
        <v>844</v>
      </c>
    </row>
    <row r="23" spans="1:10">
      <c r="A23" s="9" t="s">
        <v>833</v>
      </c>
      <c r="B23" s="9">
        <v>12</v>
      </c>
      <c r="C23" s="9">
        <v>4</v>
      </c>
      <c r="D23" s="9">
        <v>22</v>
      </c>
      <c r="E23" s="9"/>
      <c r="F23" s="9"/>
    </row>
    <row r="24" spans="1:10">
      <c r="A24" s="9" t="s">
        <v>834</v>
      </c>
      <c r="B24" s="9">
        <v>15</v>
      </c>
      <c r="C24" s="9">
        <v>1</v>
      </c>
      <c r="D24" s="9"/>
      <c r="E24" s="9">
        <v>3</v>
      </c>
      <c r="F24" s="9"/>
    </row>
    <row r="25" spans="1:10">
      <c r="A25" s="9" t="s">
        <v>612</v>
      </c>
      <c r="B25" s="9">
        <v>13</v>
      </c>
      <c r="C25" s="9"/>
      <c r="D25" s="9"/>
      <c r="E25" s="9">
        <v>2</v>
      </c>
      <c r="F25" s="9"/>
    </row>
    <row r="26" spans="1:10">
      <c r="A26" s="9" t="s">
        <v>613</v>
      </c>
      <c r="B26" s="9">
        <v>15</v>
      </c>
      <c r="C26" s="9"/>
      <c r="D26" s="9"/>
      <c r="E26" s="9">
        <v>2</v>
      </c>
      <c r="F26" s="9"/>
      <c r="J26">
        <f>157+117+716</f>
        <v>990</v>
      </c>
    </row>
    <row r="27" spans="1:10">
      <c r="A27" s="9" t="s">
        <v>614</v>
      </c>
      <c r="B27" s="9">
        <v>12</v>
      </c>
      <c r="C27" s="9"/>
      <c r="D27" s="9">
        <v>1</v>
      </c>
      <c r="E27" s="9">
        <v>2</v>
      </c>
      <c r="F27" s="9"/>
    </row>
    <row r="28" spans="1:10">
      <c r="A28" s="9" t="s">
        <v>615</v>
      </c>
      <c r="B28" s="9">
        <v>6</v>
      </c>
      <c r="C28" s="9"/>
      <c r="D28" s="9"/>
      <c r="E28" s="9">
        <v>1</v>
      </c>
      <c r="F28" s="9"/>
    </row>
    <row r="29" spans="1:10">
      <c r="A29" s="9" t="s">
        <v>835</v>
      </c>
      <c r="B29" s="9">
        <v>22</v>
      </c>
      <c r="C29" s="9">
        <v>1</v>
      </c>
      <c r="D29" s="9"/>
      <c r="E29" s="9">
        <v>17</v>
      </c>
      <c r="F29" s="9"/>
    </row>
    <row r="30" spans="1:10">
      <c r="A30" s="9" t="s">
        <v>403</v>
      </c>
      <c r="B30" s="9">
        <v>12</v>
      </c>
      <c r="C30" s="9">
        <v>2</v>
      </c>
      <c r="D30" s="9"/>
      <c r="E30" s="9">
        <v>3</v>
      </c>
      <c r="F30" s="9"/>
    </row>
    <row r="31" spans="1:10">
      <c r="A31" s="9" t="s">
        <v>404</v>
      </c>
      <c r="B31" s="9">
        <v>11</v>
      </c>
      <c r="C31" s="9">
        <v>1</v>
      </c>
      <c r="D31" s="9"/>
      <c r="E31" s="9">
        <v>14</v>
      </c>
      <c r="F31" s="9"/>
    </row>
    <row r="32" spans="1:10">
      <c r="A32" s="9" t="s">
        <v>405</v>
      </c>
      <c r="B32" s="9">
        <v>10</v>
      </c>
      <c r="C32" s="9">
        <v>1</v>
      </c>
      <c r="D32" s="9"/>
      <c r="E32" s="9">
        <v>3</v>
      </c>
      <c r="F32" s="9"/>
    </row>
    <row r="33" spans="1:6">
      <c r="A33" s="9" t="s">
        <v>406</v>
      </c>
      <c r="B33" s="9">
        <v>9</v>
      </c>
      <c r="C33" s="9">
        <v>1</v>
      </c>
      <c r="D33" s="9"/>
      <c r="E33" s="9">
        <v>10</v>
      </c>
      <c r="F33" s="9"/>
    </row>
    <row r="34" spans="1:6">
      <c r="A34" s="9" t="s">
        <v>407</v>
      </c>
      <c r="B34" s="9">
        <v>8</v>
      </c>
      <c r="C34" s="9">
        <v>1</v>
      </c>
      <c r="D34" s="9"/>
      <c r="E34" s="9">
        <v>2</v>
      </c>
      <c r="F34" s="9"/>
    </row>
    <row r="35" spans="1:6">
      <c r="A35" s="9" t="s">
        <v>408</v>
      </c>
      <c r="B35" s="9">
        <v>11</v>
      </c>
      <c r="C35" s="9">
        <v>1</v>
      </c>
      <c r="D35" s="9"/>
      <c r="E35" s="9">
        <v>7</v>
      </c>
      <c r="F35" s="9"/>
    </row>
    <row r="36" spans="1:6">
      <c r="A36" s="9" t="s">
        <v>837</v>
      </c>
      <c r="B36" s="9"/>
      <c r="C36" s="9">
        <v>13</v>
      </c>
      <c r="D36" s="9"/>
      <c r="E36" s="9">
        <v>51</v>
      </c>
      <c r="F36" s="9"/>
    </row>
    <row r="37" spans="1:6">
      <c r="A37" s="9" t="s">
        <v>838</v>
      </c>
      <c r="B37" s="9">
        <f>SUM(B23:B36)</f>
        <v>156</v>
      </c>
      <c r="C37" s="9">
        <f>SUM(C23:C36)</f>
        <v>26</v>
      </c>
      <c r="D37" s="9">
        <f t="shared" ref="D37" si="3">SUM(D23:D36)</f>
        <v>23</v>
      </c>
      <c r="E37" s="9">
        <f t="shared" ref="E37" si="4">SUM(E23:E36)</f>
        <v>117</v>
      </c>
      <c r="F37" s="9">
        <v>668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workbookViewId="0">
      <selection activeCell="H41" sqref="H41"/>
    </sheetView>
  </sheetViews>
  <sheetFormatPr defaultRowHeight="14.4"/>
  <sheetData>
    <row r="1" spans="2:12">
      <c r="B1" t="s">
        <v>292</v>
      </c>
    </row>
    <row r="2" spans="2:12">
      <c r="B2">
        <v>0.185</v>
      </c>
    </row>
    <row r="3" spans="2:12">
      <c r="B3" t="s">
        <v>293</v>
      </c>
    </row>
    <row r="4" spans="2:12">
      <c r="B4" s="16" t="s">
        <v>294</v>
      </c>
      <c r="C4" s="16" t="s">
        <v>295</v>
      </c>
      <c r="D4" s="16" t="s">
        <v>296</v>
      </c>
      <c r="E4" s="16" t="s">
        <v>401</v>
      </c>
      <c r="F4" s="16" t="s">
        <v>297</v>
      </c>
      <c r="G4" s="16" t="s">
        <v>298</v>
      </c>
      <c r="H4" s="16" t="s">
        <v>299</v>
      </c>
    </row>
    <row r="5" spans="2:12">
      <c r="B5" s="16">
        <v>0.91</v>
      </c>
      <c r="C5" s="16">
        <v>0.91</v>
      </c>
      <c r="D5" s="16">
        <v>0.87</v>
      </c>
      <c r="E5" s="16">
        <v>0.88</v>
      </c>
      <c r="F5" s="16">
        <v>0.64</v>
      </c>
      <c r="G5" s="16">
        <v>0.87</v>
      </c>
      <c r="H5" s="16">
        <f>ROUND(F5*G5,2)</f>
        <v>0.56000000000000005</v>
      </c>
    </row>
    <row r="7" spans="2:12">
      <c r="B7" t="s">
        <v>300</v>
      </c>
    </row>
    <row r="8" spans="2:12">
      <c r="B8">
        <v>3</v>
      </c>
    </row>
    <row r="12" spans="2:12">
      <c r="B12" t="s">
        <v>301</v>
      </c>
    </row>
    <row r="13" spans="2:12">
      <c r="B13" t="s">
        <v>302</v>
      </c>
      <c r="C13" t="s">
        <v>303</v>
      </c>
      <c r="D13" t="s">
        <v>304</v>
      </c>
      <c r="L13">
        <f>L14+1.16</f>
        <v>1.65</v>
      </c>
    </row>
    <row r="14" spans="2:12">
      <c r="B14">
        <v>3</v>
      </c>
      <c r="C14">
        <v>2</v>
      </c>
      <c r="D14">
        <f>0.21/88</f>
        <v>2.3863636363636361E-3</v>
      </c>
      <c r="L14">
        <f>L15+0.2</f>
        <v>0.49</v>
      </c>
    </row>
    <row r="15" spans="2:12">
      <c r="B15" t="s">
        <v>305</v>
      </c>
      <c r="K15">
        <f>1.168+1.168/4+0.2</f>
        <v>1.66</v>
      </c>
      <c r="L15">
        <f>1.16/4</f>
        <v>0.28999999999999998</v>
      </c>
    </row>
    <row r="16" spans="2:12">
      <c r="B16" t="s">
        <v>306</v>
      </c>
      <c r="C16" t="s">
        <v>307</v>
      </c>
      <c r="D16" t="s">
        <v>308</v>
      </c>
      <c r="E16" t="s">
        <v>309</v>
      </c>
      <c r="F16" t="s">
        <v>310</v>
      </c>
      <c r="G16" t="s">
        <v>311</v>
      </c>
      <c r="H16" t="s">
        <v>312</v>
      </c>
    </row>
    <row r="17" spans="1:11">
      <c r="A17" t="s">
        <v>314</v>
      </c>
      <c r="B17">
        <v>1.7</v>
      </c>
      <c r="C17">
        <v>0</v>
      </c>
      <c r="D17">
        <v>2E-3</v>
      </c>
      <c r="E17">
        <v>1.4E-2</v>
      </c>
      <c r="F17">
        <v>1.1200000000000001</v>
      </c>
      <c r="G17">
        <v>1.97</v>
      </c>
      <c r="H17">
        <v>3.75</v>
      </c>
      <c r="K17">
        <f>1/550</f>
        <v>1.8181818181818182E-3</v>
      </c>
    </row>
    <row r="18" spans="1:11">
      <c r="A18" t="s">
        <v>315</v>
      </c>
      <c r="F18">
        <v>0.94</v>
      </c>
      <c r="G18">
        <v>1.87</v>
      </c>
      <c r="H18">
        <v>3</v>
      </c>
    </row>
    <row r="19" spans="1:11">
      <c r="A19" t="s">
        <v>316</v>
      </c>
      <c r="B19" s="1" t="s">
        <v>313</v>
      </c>
      <c r="C19">
        <f>1.12/4+0.2</f>
        <v>0.48000000000000004</v>
      </c>
    </row>
    <row r="20" spans="1:11">
      <c r="C20">
        <f>C19+1.12</f>
        <v>1.6</v>
      </c>
    </row>
    <row r="22" spans="1:11">
      <c r="A22" t="s">
        <v>314</v>
      </c>
      <c r="B22">
        <v>1</v>
      </c>
      <c r="C22">
        <v>1.5</v>
      </c>
      <c r="D22">
        <v>1E-3</v>
      </c>
      <c r="E22">
        <v>1.4E-2</v>
      </c>
      <c r="F22">
        <v>1</v>
      </c>
      <c r="G22">
        <v>1.5</v>
      </c>
    </row>
    <row r="23" spans="1:11">
      <c r="A23" t="s">
        <v>315</v>
      </c>
      <c r="F23">
        <v>0.9</v>
      </c>
      <c r="G23">
        <v>1.42</v>
      </c>
    </row>
    <row r="24" spans="1:11">
      <c r="B24" s="1" t="s">
        <v>329</v>
      </c>
      <c r="I24">
        <v>1.5</v>
      </c>
    </row>
    <row r="25" spans="1:11">
      <c r="A25" t="s">
        <v>314</v>
      </c>
      <c r="B25">
        <v>1</v>
      </c>
      <c r="C25">
        <v>1.5</v>
      </c>
      <c r="D25">
        <v>2E-3</v>
      </c>
      <c r="E25">
        <v>1.4E-2</v>
      </c>
      <c r="F25">
        <v>0.85</v>
      </c>
      <c r="G25">
        <v>1.95</v>
      </c>
      <c r="I25">
        <v>1.42</v>
      </c>
    </row>
    <row r="26" spans="1:11">
      <c r="A26" t="s">
        <v>315</v>
      </c>
      <c r="F26">
        <v>0.77</v>
      </c>
      <c r="G26">
        <v>1.85</v>
      </c>
    </row>
    <row r="27" spans="1:11">
      <c r="F27">
        <f>0.85+0.85*0.25+0.2</f>
        <v>1.2625</v>
      </c>
    </row>
    <row r="28" spans="1:11">
      <c r="B28" s="1" t="s">
        <v>330</v>
      </c>
    </row>
    <row r="30" spans="1:11">
      <c r="A30" t="s">
        <v>314</v>
      </c>
      <c r="B30">
        <v>1</v>
      </c>
      <c r="C30">
        <v>1.5</v>
      </c>
      <c r="D30">
        <v>5.0000000000000001E-4</v>
      </c>
      <c r="E30">
        <v>1.4E-2</v>
      </c>
      <c r="F30">
        <v>1.17</v>
      </c>
      <c r="G30">
        <v>1.1599999999999999</v>
      </c>
    </row>
    <row r="31" spans="1:11">
      <c r="A31" t="s">
        <v>315</v>
      </c>
      <c r="F31">
        <v>1.06</v>
      </c>
      <c r="G31">
        <v>1.1000000000000001</v>
      </c>
    </row>
    <row r="34" spans="1:10">
      <c r="E34">
        <f>13200-9700</f>
        <v>3500</v>
      </c>
      <c r="F34">
        <f>1665.41-1660.9</f>
        <v>4.5099999999999909</v>
      </c>
    </row>
    <row r="35" spans="1:10">
      <c r="F35">
        <f>F34/E34</f>
        <v>1.288571428571426E-3</v>
      </c>
    </row>
    <row r="39" spans="1:10">
      <c r="A39" t="s">
        <v>479</v>
      </c>
      <c r="B39">
        <v>13.282999999999999</v>
      </c>
      <c r="C39">
        <f>B39*80</f>
        <v>1062.6399999999999</v>
      </c>
    </row>
    <row r="40" spans="1:10">
      <c r="A40" t="s">
        <v>480</v>
      </c>
      <c r="B40">
        <v>24.32</v>
      </c>
      <c r="C40">
        <f>B40*25</f>
        <v>608</v>
      </c>
    </row>
    <row r="41" spans="1:10">
      <c r="A41" t="s">
        <v>482</v>
      </c>
      <c r="B41">
        <v>30.1</v>
      </c>
      <c r="C41">
        <f>B41*23</f>
        <v>692.30000000000007</v>
      </c>
      <c r="J41">
        <f>0.2*3.2+0.25*1.7</f>
        <v>1.0650000000000002</v>
      </c>
    </row>
    <row r="42" spans="1:10">
      <c r="A42" t="s">
        <v>481</v>
      </c>
      <c r="B42">
        <v>44.9</v>
      </c>
      <c r="C42">
        <f>B42*22</f>
        <v>987.8</v>
      </c>
    </row>
    <row r="43" spans="1:10">
      <c r="A43" t="s">
        <v>483</v>
      </c>
      <c r="B43">
        <v>45.5</v>
      </c>
      <c r="C43">
        <f>B43*22</f>
        <v>1001</v>
      </c>
    </row>
    <row r="44" spans="1:10">
      <c r="C44">
        <f>SUM(C39:C43)</f>
        <v>4351.74</v>
      </c>
    </row>
    <row r="45" spans="1:10">
      <c r="C45">
        <f>C44*1.8</f>
        <v>7833.1319999999996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41"/>
  <sheetViews>
    <sheetView topLeftCell="A583" workbookViewId="0">
      <selection activeCell="E603" sqref="E603"/>
    </sheetView>
  </sheetViews>
  <sheetFormatPr defaultRowHeight="14.4"/>
  <cols>
    <col min="1" max="1" width="17.21875" bestFit="1" customWidth="1"/>
    <col min="2" max="2" width="11.33203125" bestFit="1" customWidth="1"/>
    <col min="16" max="17" width="10.44140625" bestFit="1" customWidth="1"/>
    <col min="24" max="24" width="9.44140625" bestFit="1" customWidth="1"/>
    <col min="25" max="25" width="12.44140625" bestFit="1" customWidth="1"/>
  </cols>
  <sheetData>
    <row r="1" spans="1:28">
      <c r="B1" s="43" t="s">
        <v>359</v>
      </c>
      <c r="C1" s="43" t="s">
        <v>336</v>
      </c>
      <c r="D1" s="43" t="s">
        <v>337</v>
      </c>
      <c r="E1" s="43"/>
      <c r="F1" s="43" t="s">
        <v>338</v>
      </c>
      <c r="G1" s="43"/>
      <c r="H1" s="43" t="s">
        <v>339</v>
      </c>
      <c r="I1" s="43"/>
      <c r="J1" s="9" t="s">
        <v>340</v>
      </c>
      <c r="K1" s="9" t="s">
        <v>341</v>
      </c>
      <c r="L1" s="9"/>
      <c r="M1" s="9" t="s">
        <v>302</v>
      </c>
      <c r="N1" s="9" t="s">
        <v>342</v>
      </c>
      <c r="O1" s="11"/>
      <c r="P1" s="11"/>
      <c r="Q1" s="11"/>
      <c r="R1" s="11"/>
      <c r="S1" s="9" t="s">
        <v>343</v>
      </c>
      <c r="T1" s="9" t="s">
        <v>344</v>
      </c>
      <c r="U1" s="9" t="s">
        <v>345</v>
      </c>
      <c r="V1" s="40" t="s">
        <v>395</v>
      </c>
      <c r="W1" s="40" t="s">
        <v>346</v>
      </c>
      <c r="X1" s="43" t="s">
        <v>347</v>
      </c>
      <c r="Y1" s="43" t="s">
        <v>359</v>
      </c>
    </row>
    <row r="2" spans="1:28" ht="15.6">
      <c r="B2" s="43"/>
      <c r="C2" s="43"/>
      <c r="D2" s="9" t="s">
        <v>349</v>
      </c>
      <c r="E2" s="9" t="s">
        <v>348</v>
      </c>
      <c r="F2" s="9" t="s">
        <v>351</v>
      </c>
      <c r="G2" s="9" t="s">
        <v>352</v>
      </c>
      <c r="H2" s="9" t="s">
        <v>353</v>
      </c>
      <c r="I2" s="9" t="s">
        <v>354</v>
      </c>
      <c r="J2" s="9" t="s">
        <v>309</v>
      </c>
      <c r="K2" s="9" t="s">
        <v>308</v>
      </c>
      <c r="L2" s="9"/>
      <c r="M2" s="9" t="s">
        <v>306</v>
      </c>
      <c r="N2" s="9" t="s">
        <v>307</v>
      </c>
      <c r="O2" s="11" t="s">
        <v>365</v>
      </c>
      <c r="P2" s="11" t="s">
        <v>368</v>
      </c>
      <c r="Q2" s="11" t="s">
        <v>367</v>
      </c>
      <c r="R2" s="11" t="s">
        <v>366</v>
      </c>
      <c r="S2" s="9" t="s">
        <v>355</v>
      </c>
      <c r="T2" s="9" t="s">
        <v>310</v>
      </c>
      <c r="U2" s="9" t="s">
        <v>350</v>
      </c>
      <c r="V2" s="41"/>
      <c r="W2" s="41"/>
      <c r="X2" s="43"/>
      <c r="Y2" s="43"/>
    </row>
    <row r="3" spans="1:28" ht="16.2">
      <c r="B3" s="9"/>
      <c r="C3" s="9" t="s">
        <v>356</v>
      </c>
      <c r="D3" s="9" t="s">
        <v>358</v>
      </c>
      <c r="E3" s="9" t="s">
        <v>358</v>
      </c>
      <c r="F3" s="9" t="s">
        <v>357</v>
      </c>
      <c r="G3" s="9" t="s">
        <v>357</v>
      </c>
      <c r="H3" s="9" t="s">
        <v>307</v>
      </c>
      <c r="I3" s="9" t="s">
        <v>307</v>
      </c>
      <c r="J3" s="9"/>
      <c r="K3" s="9"/>
      <c r="L3" s="9"/>
      <c r="M3" s="9" t="s">
        <v>307</v>
      </c>
      <c r="N3" s="9"/>
      <c r="O3" s="9"/>
      <c r="P3" s="9"/>
      <c r="Q3" s="9"/>
      <c r="R3" s="9"/>
      <c r="S3" s="9" t="s">
        <v>307</v>
      </c>
      <c r="T3" s="9" t="s">
        <v>307</v>
      </c>
      <c r="U3" s="9" t="s">
        <v>307</v>
      </c>
      <c r="V3" s="9" t="s">
        <v>307</v>
      </c>
      <c r="W3" s="9" t="s">
        <v>307</v>
      </c>
      <c r="X3" s="9" t="s">
        <v>307</v>
      </c>
      <c r="Y3" s="9"/>
    </row>
    <row r="4" spans="1:28">
      <c r="A4" t="s">
        <v>361</v>
      </c>
      <c r="B4" s="9"/>
      <c r="C4" s="10">
        <f>Sheet1!C2</f>
        <v>0</v>
      </c>
      <c r="D4" s="9">
        <f>E4*1.25</f>
        <v>3.75</v>
      </c>
      <c r="E4" s="9">
        <v>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8">
      <c r="A5" t="s">
        <v>360</v>
      </c>
      <c r="B5" s="9"/>
      <c r="C5" s="10">
        <f>Sheet1!C6</f>
        <v>30</v>
      </c>
      <c r="D5" s="9">
        <f t="shared" ref="D5:D68" si="0">E5*1.25</f>
        <v>3.75</v>
      </c>
      <c r="E5" s="9">
        <v>3</v>
      </c>
      <c r="F5" s="9">
        <f>ROUND(D5/R5,2)</f>
        <v>1.97</v>
      </c>
      <c r="G5" s="9">
        <f>ROUND(E5/P5,2)</f>
        <v>1.88</v>
      </c>
      <c r="H5" s="9">
        <v>1.1200000000000001</v>
      </c>
      <c r="I5" s="9">
        <v>0.87</v>
      </c>
      <c r="J5" s="9">
        <v>1.4E-2</v>
      </c>
      <c r="K5" s="9">
        <f>Sheet1!K6</f>
        <v>2E-3</v>
      </c>
      <c r="L5" s="9" t="str">
        <f>"1/"&amp;ROUND(1/K5,0)</f>
        <v>1/500</v>
      </c>
      <c r="M5" s="9">
        <v>1.7</v>
      </c>
      <c r="N5" s="9">
        <v>0</v>
      </c>
      <c r="O5" s="9">
        <f>ROUND(M5+2*N5*I5,2)</f>
        <v>1.7</v>
      </c>
      <c r="P5" s="9">
        <v>1.6</v>
      </c>
      <c r="Q5" s="9">
        <f>ROUND(M5+N5*2*H5,2)</f>
        <v>1.7</v>
      </c>
      <c r="R5" s="9">
        <f>ROUND((M5+Q5)*H5/2,2)</f>
        <v>1.9</v>
      </c>
      <c r="S5" s="9">
        <f t="shared" ref="S5:S68" si="1">T5-H5</f>
        <v>0.48</v>
      </c>
      <c r="T5" s="9">
        <v>1.6</v>
      </c>
      <c r="U5" s="9">
        <f t="shared" ref="U5:U68" si="2">M5+T5*N5</f>
        <v>1.7</v>
      </c>
      <c r="V5" s="9">
        <f>Sheet1!E6</f>
        <v>1729.58</v>
      </c>
      <c r="W5" s="13">
        <f>Sheet1!G6</f>
        <v>1728</v>
      </c>
      <c r="X5" s="14">
        <f t="shared" ref="X5:X68" si="3">W5+I5</f>
        <v>1728.87</v>
      </c>
      <c r="Y5" s="9"/>
      <c r="AA5">
        <f>X5-W5+G5*G5/2/9.81</f>
        <v>1.0501427115187492</v>
      </c>
      <c r="AB5" s="3">
        <f>X5-W5</f>
        <v>0.86999999999989086</v>
      </c>
    </row>
    <row r="6" spans="1:28">
      <c r="B6" s="9"/>
      <c r="C6" s="10">
        <f>Sheet1!C8</f>
        <v>50</v>
      </c>
      <c r="D6" s="9">
        <f t="shared" si="0"/>
        <v>3.75</v>
      </c>
      <c r="E6" s="9">
        <v>3</v>
      </c>
      <c r="F6" s="9">
        <f t="shared" ref="F6:F69" si="4">ROUND(D6/R6,2)</f>
        <v>1.97</v>
      </c>
      <c r="G6" s="9">
        <f t="shared" ref="G6:G69" si="5">ROUND(E6/P6,2)</f>
        <v>1.88</v>
      </c>
      <c r="H6" s="9">
        <v>1.1200000000000001</v>
      </c>
      <c r="I6" s="9">
        <v>0.87</v>
      </c>
      <c r="J6" s="9">
        <v>1.4E-2</v>
      </c>
      <c r="K6" s="9">
        <f>Sheet1!K7</f>
        <v>2E-3</v>
      </c>
      <c r="L6" s="9" t="str">
        <f t="shared" ref="L6:L69" si="6">"1/"&amp;ROUND(1/K6,0)</f>
        <v>1/500</v>
      </c>
      <c r="M6" s="9">
        <v>1.7</v>
      </c>
      <c r="N6" s="9">
        <v>0</v>
      </c>
      <c r="O6" s="9">
        <f t="shared" ref="O6:O69" si="7">ROUND(M6+2*N6*I6,2)</f>
        <v>1.7</v>
      </c>
      <c r="P6" s="9">
        <v>1.6</v>
      </c>
      <c r="Q6" s="9">
        <f t="shared" ref="Q6:Q69" si="8">ROUND(M6+N6*2*H6,2)</f>
        <v>1.7</v>
      </c>
      <c r="R6" s="9">
        <f t="shared" ref="R6:R69" si="9">ROUND((M6+Q6)*H6/2,2)</f>
        <v>1.9</v>
      </c>
      <c r="S6" s="9">
        <f t="shared" si="1"/>
        <v>0.48</v>
      </c>
      <c r="T6" s="9">
        <v>1.6</v>
      </c>
      <c r="U6" s="9">
        <f t="shared" si="2"/>
        <v>1.7</v>
      </c>
      <c r="V6" s="9">
        <f>Sheet1!E8</f>
        <v>1728.9</v>
      </c>
      <c r="W6" s="9">
        <f>Sheet1!G8</f>
        <v>1727.96</v>
      </c>
      <c r="X6" s="14">
        <f t="shared" si="3"/>
        <v>1728.83</v>
      </c>
      <c r="Y6" s="9"/>
    </row>
    <row r="7" spans="1:28">
      <c r="B7" s="9"/>
      <c r="C7" s="10">
        <f>Sheet1!C9</f>
        <v>100</v>
      </c>
      <c r="D7" s="9">
        <f t="shared" si="0"/>
        <v>3.75</v>
      </c>
      <c r="E7" s="9">
        <v>3</v>
      </c>
      <c r="F7" s="9">
        <f t="shared" si="4"/>
        <v>1.97</v>
      </c>
      <c r="G7" s="9">
        <f t="shared" si="5"/>
        <v>1.88</v>
      </c>
      <c r="H7" s="9">
        <v>1.1200000000000001</v>
      </c>
      <c r="I7" s="9">
        <v>0.87</v>
      </c>
      <c r="J7" s="9">
        <v>1.4E-2</v>
      </c>
      <c r="K7" s="9">
        <f>Sheet1!K8</f>
        <v>2E-3</v>
      </c>
      <c r="L7" s="9" t="str">
        <f t="shared" si="6"/>
        <v>1/500</v>
      </c>
      <c r="M7" s="9">
        <v>1.7</v>
      </c>
      <c r="N7" s="9">
        <v>0</v>
      </c>
      <c r="O7" s="9">
        <f t="shared" si="7"/>
        <v>1.7</v>
      </c>
      <c r="P7" s="9">
        <v>1.6</v>
      </c>
      <c r="Q7" s="9">
        <f t="shared" si="8"/>
        <v>1.7</v>
      </c>
      <c r="R7" s="9">
        <f t="shared" si="9"/>
        <v>1.9</v>
      </c>
      <c r="S7" s="9">
        <f t="shared" si="1"/>
        <v>0.48</v>
      </c>
      <c r="T7" s="9">
        <v>1.6</v>
      </c>
      <c r="U7" s="9">
        <f t="shared" si="2"/>
        <v>1.7</v>
      </c>
      <c r="V7" s="9">
        <f>Sheet1!E9</f>
        <v>1729.73</v>
      </c>
      <c r="W7" s="9">
        <f>Sheet1!G9</f>
        <v>1727.86</v>
      </c>
      <c r="X7" s="14">
        <f t="shared" si="3"/>
        <v>1728.7299999999998</v>
      </c>
      <c r="Y7" s="9"/>
    </row>
    <row r="8" spans="1:28">
      <c r="B8" s="9"/>
      <c r="C8" s="10">
        <f>Sheet1!C10</f>
        <v>150</v>
      </c>
      <c r="D8" s="9">
        <f t="shared" si="0"/>
        <v>3.75</v>
      </c>
      <c r="E8" s="9">
        <v>3</v>
      </c>
      <c r="F8" s="9">
        <f t="shared" si="4"/>
        <v>1.97</v>
      </c>
      <c r="G8" s="9">
        <f t="shared" si="5"/>
        <v>1.88</v>
      </c>
      <c r="H8" s="9">
        <v>1.1200000000000001</v>
      </c>
      <c r="I8" s="9">
        <v>0.87</v>
      </c>
      <c r="J8" s="9">
        <v>1.4E-2</v>
      </c>
      <c r="K8" s="9">
        <f>Sheet1!K9</f>
        <v>2E-3</v>
      </c>
      <c r="L8" s="9" t="str">
        <f t="shared" si="6"/>
        <v>1/500</v>
      </c>
      <c r="M8" s="9">
        <v>1.7</v>
      </c>
      <c r="N8" s="9">
        <v>0</v>
      </c>
      <c r="O8" s="9">
        <f t="shared" si="7"/>
        <v>1.7</v>
      </c>
      <c r="P8" s="9">
        <v>1.6</v>
      </c>
      <c r="Q8" s="9">
        <f t="shared" si="8"/>
        <v>1.7</v>
      </c>
      <c r="R8" s="9">
        <f t="shared" si="9"/>
        <v>1.9</v>
      </c>
      <c r="S8" s="9">
        <f t="shared" si="1"/>
        <v>0.48</v>
      </c>
      <c r="T8" s="9">
        <v>1.6</v>
      </c>
      <c r="U8" s="9">
        <f t="shared" si="2"/>
        <v>1.7</v>
      </c>
      <c r="V8" s="9">
        <f>Sheet1!E10</f>
        <v>1728.71</v>
      </c>
      <c r="W8" s="9">
        <f>Sheet1!G10</f>
        <v>1727.76</v>
      </c>
      <c r="X8" s="14">
        <f t="shared" si="3"/>
        <v>1728.6299999999999</v>
      </c>
      <c r="Y8" s="9"/>
    </row>
    <row r="9" spans="1:28">
      <c r="B9" s="9"/>
      <c r="C9" s="10">
        <f>Sheet1!C11</f>
        <v>200</v>
      </c>
      <c r="D9" s="9">
        <f t="shared" si="0"/>
        <v>3.75</v>
      </c>
      <c r="E9" s="9">
        <v>3</v>
      </c>
      <c r="F9" s="9">
        <f t="shared" si="4"/>
        <v>1.97</v>
      </c>
      <c r="G9" s="9">
        <f t="shared" si="5"/>
        <v>1.88</v>
      </c>
      <c r="H9" s="9">
        <v>1.1200000000000001</v>
      </c>
      <c r="I9" s="9">
        <v>0.87</v>
      </c>
      <c r="J9" s="9">
        <v>1.4E-2</v>
      </c>
      <c r="K9" s="9">
        <f>Sheet1!K10</f>
        <v>2E-3</v>
      </c>
      <c r="L9" s="9" t="str">
        <f t="shared" si="6"/>
        <v>1/500</v>
      </c>
      <c r="M9" s="9">
        <v>1.7</v>
      </c>
      <c r="N9" s="9">
        <v>0</v>
      </c>
      <c r="O9" s="9">
        <f t="shared" si="7"/>
        <v>1.7</v>
      </c>
      <c r="P9" s="9">
        <v>1.6</v>
      </c>
      <c r="Q9" s="9">
        <f t="shared" si="8"/>
        <v>1.7</v>
      </c>
      <c r="R9" s="9">
        <f t="shared" si="9"/>
        <v>1.9</v>
      </c>
      <c r="S9" s="9">
        <f t="shared" si="1"/>
        <v>0.48</v>
      </c>
      <c r="T9" s="9">
        <v>1.6</v>
      </c>
      <c r="U9" s="9">
        <f t="shared" si="2"/>
        <v>1.7</v>
      </c>
      <c r="V9" s="9">
        <f>Sheet1!E11</f>
        <v>1727.89</v>
      </c>
      <c r="W9" s="9">
        <f>Sheet1!G11</f>
        <v>1727.66</v>
      </c>
      <c r="X9" s="14">
        <f t="shared" si="3"/>
        <v>1728.53</v>
      </c>
      <c r="Y9" s="9"/>
    </row>
    <row r="10" spans="1:28">
      <c r="B10" s="9" t="s">
        <v>375</v>
      </c>
      <c r="C10" s="10">
        <f>Sheet1!C12</f>
        <v>210</v>
      </c>
      <c r="D10" s="9">
        <f t="shared" si="0"/>
        <v>3.75</v>
      </c>
      <c r="E10" s="9">
        <v>3</v>
      </c>
      <c r="F10" s="9">
        <f t="shared" si="4"/>
        <v>1.97</v>
      </c>
      <c r="G10" s="9">
        <f t="shared" si="5"/>
        <v>1.88</v>
      </c>
      <c r="H10" s="9">
        <v>1.1200000000000001</v>
      </c>
      <c r="I10" s="9">
        <v>0.87</v>
      </c>
      <c r="J10" s="9">
        <v>1.4E-2</v>
      </c>
      <c r="K10" s="9">
        <f>Sheet1!K11</f>
        <v>2E-3</v>
      </c>
      <c r="L10" s="9" t="str">
        <f t="shared" si="6"/>
        <v>1/500</v>
      </c>
      <c r="M10" s="9">
        <v>1.7</v>
      </c>
      <c r="N10" s="9">
        <v>0</v>
      </c>
      <c r="O10" s="9">
        <f t="shared" si="7"/>
        <v>1.7</v>
      </c>
      <c r="P10" s="9">
        <v>1.6</v>
      </c>
      <c r="Q10" s="9">
        <f t="shared" si="8"/>
        <v>1.7</v>
      </c>
      <c r="R10" s="9">
        <f t="shared" si="9"/>
        <v>1.9</v>
      </c>
      <c r="S10" s="9">
        <f t="shared" si="1"/>
        <v>0.48</v>
      </c>
      <c r="T10" s="9">
        <v>1.6</v>
      </c>
      <c r="U10" s="9">
        <f t="shared" si="2"/>
        <v>1.7</v>
      </c>
      <c r="V10" s="9">
        <f>Sheet1!E12</f>
        <v>1727.73</v>
      </c>
      <c r="W10" s="9">
        <f>Sheet1!G12</f>
        <v>1727.64</v>
      </c>
      <c r="X10" s="14">
        <f t="shared" si="3"/>
        <v>1728.51</v>
      </c>
      <c r="Y10" s="9" t="s">
        <v>375</v>
      </c>
    </row>
    <row r="11" spans="1:28">
      <c r="B11" s="9"/>
      <c r="C11" s="10">
        <f>Sheet1!C13</f>
        <v>213</v>
      </c>
      <c r="D11" s="9">
        <f t="shared" si="0"/>
        <v>3.75</v>
      </c>
      <c r="E11" s="9">
        <v>3</v>
      </c>
      <c r="F11" s="9">
        <f t="shared" si="4"/>
        <v>1.97</v>
      </c>
      <c r="G11" s="9">
        <f t="shared" si="5"/>
        <v>1.88</v>
      </c>
      <c r="H11" s="9">
        <v>1.1200000000000001</v>
      </c>
      <c r="I11" s="9">
        <v>0.87</v>
      </c>
      <c r="J11" s="9">
        <v>1.4E-2</v>
      </c>
      <c r="K11" s="9">
        <f>Sheet1!K12</f>
        <v>2E-3</v>
      </c>
      <c r="L11" s="9" t="str">
        <f t="shared" si="6"/>
        <v>1/500</v>
      </c>
      <c r="M11" s="9">
        <v>1.7</v>
      </c>
      <c r="N11" s="9">
        <v>0</v>
      </c>
      <c r="O11" s="9">
        <f t="shared" si="7"/>
        <v>1.7</v>
      </c>
      <c r="P11" s="9">
        <v>1.6</v>
      </c>
      <c r="Q11" s="9">
        <f t="shared" si="8"/>
        <v>1.7</v>
      </c>
      <c r="R11" s="9">
        <f t="shared" si="9"/>
        <v>1.9</v>
      </c>
      <c r="S11" s="9">
        <f t="shared" si="1"/>
        <v>0.48</v>
      </c>
      <c r="T11" s="9">
        <v>1.6</v>
      </c>
      <c r="U11" s="9">
        <f t="shared" si="2"/>
        <v>1.7</v>
      </c>
      <c r="V11" s="9">
        <f>Sheet1!E13</f>
        <v>1727.73</v>
      </c>
      <c r="W11" s="9">
        <f>Sheet1!G13</f>
        <v>1725.44</v>
      </c>
      <c r="X11" s="14">
        <f t="shared" si="3"/>
        <v>1726.31</v>
      </c>
      <c r="Y11" s="9"/>
    </row>
    <row r="12" spans="1:28">
      <c r="B12" s="9"/>
      <c r="C12" s="10">
        <f>Sheet1!C14</f>
        <v>250</v>
      </c>
      <c r="D12" s="9">
        <f t="shared" si="0"/>
        <v>3.75</v>
      </c>
      <c r="E12" s="9">
        <v>3</v>
      </c>
      <c r="F12" s="9">
        <f t="shared" si="4"/>
        <v>1.97</v>
      </c>
      <c r="G12" s="9">
        <f t="shared" si="5"/>
        <v>1.88</v>
      </c>
      <c r="H12" s="9">
        <v>1.1200000000000001</v>
      </c>
      <c r="I12" s="9">
        <v>0.87</v>
      </c>
      <c r="J12" s="9">
        <v>1.4E-2</v>
      </c>
      <c r="K12" s="9">
        <f>Sheet1!K13</f>
        <v>2E-3</v>
      </c>
      <c r="L12" s="9" t="str">
        <f t="shared" si="6"/>
        <v>1/500</v>
      </c>
      <c r="M12" s="9">
        <v>1.7</v>
      </c>
      <c r="N12" s="9">
        <v>0</v>
      </c>
      <c r="O12" s="9">
        <f t="shared" si="7"/>
        <v>1.7</v>
      </c>
      <c r="P12" s="9">
        <v>1.6</v>
      </c>
      <c r="Q12" s="9">
        <f t="shared" si="8"/>
        <v>1.7</v>
      </c>
      <c r="R12" s="9">
        <f t="shared" si="9"/>
        <v>1.9</v>
      </c>
      <c r="S12" s="9">
        <f t="shared" si="1"/>
        <v>0.48</v>
      </c>
      <c r="T12" s="9">
        <v>1.6</v>
      </c>
      <c r="U12" s="9">
        <f t="shared" si="2"/>
        <v>1.7</v>
      </c>
      <c r="V12" s="9">
        <f>Sheet1!E14</f>
        <v>1727.17</v>
      </c>
      <c r="W12" s="9">
        <f>Sheet1!G14</f>
        <v>1725.36</v>
      </c>
      <c r="X12" s="14">
        <f t="shared" si="3"/>
        <v>1726.2299999999998</v>
      </c>
      <c r="Y12" s="9"/>
    </row>
    <row r="13" spans="1:28">
      <c r="B13" s="9"/>
      <c r="C13" s="10">
        <f>Sheet1!C15</f>
        <v>300</v>
      </c>
      <c r="D13" s="9">
        <f t="shared" si="0"/>
        <v>3.75</v>
      </c>
      <c r="E13" s="9">
        <v>3</v>
      </c>
      <c r="F13" s="9">
        <f t="shared" si="4"/>
        <v>1.97</v>
      </c>
      <c r="G13" s="9">
        <f t="shared" si="5"/>
        <v>1.88</v>
      </c>
      <c r="H13" s="9">
        <v>1.1200000000000001</v>
      </c>
      <c r="I13" s="9">
        <v>0.87</v>
      </c>
      <c r="J13" s="9">
        <v>1.4E-2</v>
      </c>
      <c r="K13" s="9">
        <f>Sheet1!K14</f>
        <v>2E-3</v>
      </c>
      <c r="L13" s="9" t="str">
        <f t="shared" si="6"/>
        <v>1/500</v>
      </c>
      <c r="M13" s="9">
        <v>1.7</v>
      </c>
      <c r="N13" s="9">
        <v>0</v>
      </c>
      <c r="O13" s="9">
        <f t="shared" si="7"/>
        <v>1.7</v>
      </c>
      <c r="P13" s="9">
        <v>1.6</v>
      </c>
      <c r="Q13" s="9">
        <f t="shared" si="8"/>
        <v>1.7</v>
      </c>
      <c r="R13" s="9">
        <f t="shared" si="9"/>
        <v>1.9</v>
      </c>
      <c r="S13" s="9">
        <f t="shared" si="1"/>
        <v>0.48</v>
      </c>
      <c r="T13" s="9">
        <v>1.6</v>
      </c>
      <c r="U13" s="9">
        <f t="shared" si="2"/>
        <v>1.7</v>
      </c>
      <c r="V13" s="9">
        <f>Sheet1!E15</f>
        <v>1726.51</v>
      </c>
      <c r="W13" s="9">
        <f>Sheet1!G15</f>
        <v>1725.26</v>
      </c>
      <c r="X13" s="14">
        <f t="shared" si="3"/>
        <v>1726.1299999999999</v>
      </c>
      <c r="Y13" s="9"/>
    </row>
    <row r="14" spans="1:28">
      <c r="B14" s="9"/>
      <c r="C14" s="10">
        <f>Sheet1!C16</f>
        <v>350</v>
      </c>
      <c r="D14" s="9">
        <f t="shared" si="0"/>
        <v>3.75</v>
      </c>
      <c r="E14" s="9">
        <v>3</v>
      </c>
      <c r="F14" s="9">
        <f t="shared" si="4"/>
        <v>1.97</v>
      </c>
      <c r="G14" s="9">
        <f t="shared" si="5"/>
        <v>1.88</v>
      </c>
      <c r="H14" s="9">
        <v>1.1200000000000001</v>
      </c>
      <c r="I14" s="9">
        <v>0.87</v>
      </c>
      <c r="J14" s="9">
        <v>1.4E-2</v>
      </c>
      <c r="K14" s="9">
        <f>Sheet1!K15</f>
        <v>2E-3</v>
      </c>
      <c r="L14" s="9" t="str">
        <f t="shared" si="6"/>
        <v>1/500</v>
      </c>
      <c r="M14" s="9">
        <v>1.7</v>
      </c>
      <c r="N14" s="9">
        <v>0</v>
      </c>
      <c r="O14" s="9">
        <f t="shared" si="7"/>
        <v>1.7</v>
      </c>
      <c r="P14" s="9">
        <v>1.6</v>
      </c>
      <c r="Q14" s="9">
        <f t="shared" si="8"/>
        <v>1.7</v>
      </c>
      <c r="R14" s="9">
        <f t="shared" si="9"/>
        <v>1.9</v>
      </c>
      <c r="S14" s="9">
        <f t="shared" si="1"/>
        <v>0.48</v>
      </c>
      <c r="T14" s="9">
        <v>1.6</v>
      </c>
      <c r="U14" s="9">
        <f t="shared" si="2"/>
        <v>1.7</v>
      </c>
      <c r="V14" s="9">
        <f>Sheet1!E16</f>
        <v>1725.77</v>
      </c>
      <c r="W14" s="9">
        <f>Sheet1!G16</f>
        <v>1725.16</v>
      </c>
      <c r="X14" s="14">
        <f t="shared" si="3"/>
        <v>1726.03</v>
      </c>
      <c r="Y14" s="9"/>
    </row>
    <row r="15" spans="1:28">
      <c r="B15" s="9"/>
      <c r="C15" s="10">
        <f>Sheet1!C17</f>
        <v>400</v>
      </c>
      <c r="D15" s="9">
        <f t="shared" si="0"/>
        <v>3.75</v>
      </c>
      <c r="E15" s="9">
        <v>3</v>
      </c>
      <c r="F15" s="9">
        <f t="shared" si="4"/>
        <v>1.97</v>
      </c>
      <c r="G15" s="9">
        <f t="shared" si="5"/>
        <v>1.88</v>
      </c>
      <c r="H15" s="9">
        <v>1.1200000000000001</v>
      </c>
      <c r="I15" s="9">
        <v>0.87</v>
      </c>
      <c r="J15" s="9">
        <v>1.4E-2</v>
      </c>
      <c r="K15" s="9">
        <f>Sheet1!K16</f>
        <v>2E-3</v>
      </c>
      <c r="L15" s="9" t="str">
        <f t="shared" si="6"/>
        <v>1/500</v>
      </c>
      <c r="M15" s="9">
        <v>1.7</v>
      </c>
      <c r="N15" s="9">
        <v>0</v>
      </c>
      <c r="O15" s="9">
        <f t="shared" si="7"/>
        <v>1.7</v>
      </c>
      <c r="P15" s="9">
        <v>1.6</v>
      </c>
      <c r="Q15" s="9">
        <f t="shared" si="8"/>
        <v>1.7</v>
      </c>
      <c r="R15" s="9">
        <f t="shared" si="9"/>
        <v>1.9</v>
      </c>
      <c r="S15" s="9">
        <f t="shared" si="1"/>
        <v>0.48</v>
      </c>
      <c r="T15" s="9">
        <v>1.6</v>
      </c>
      <c r="U15" s="9">
        <f t="shared" si="2"/>
        <v>1.7</v>
      </c>
      <c r="V15" s="9">
        <f>Sheet1!E17</f>
        <v>1725.11</v>
      </c>
      <c r="W15" s="9">
        <f>Sheet1!G17</f>
        <v>1725.06</v>
      </c>
      <c r="X15" s="14">
        <f t="shared" si="3"/>
        <v>1725.9299999999998</v>
      </c>
      <c r="Y15" s="9"/>
    </row>
    <row r="16" spans="1:28">
      <c r="B16" s="9" t="s">
        <v>374</v>
      </c>
      <c r="C16" s="10">
        <f>Sheet1!C18</f>
        <v>420</v>
      </c>
      <c r="D16" s="9">
        <f t="shared" si="0"/>
        <v>3.75</v>
      </c>
      <c r="E16" s="9">
        <v>3</v>
      </c>
      <c r="F16" s="9">
        <f t="shared" si="4"/>
        <v>1.97</v>
      </c>
      <c r="G16" s="9">
        <f t="shared" si="5"/>
        <v>1.88</v>
      </c>
      <c r="H16" s="9">
        <v>1.1200000000000001</v>
      </c>
      <c r="I16" s="9">
        <v>0.87</v>
      </c>
      <c r="J16" s="9">
        <v>1.4E-2</v>
      </c>
      <c r="K16" s="9">
        <f>Sheet1!K17</f>
        <v>2E-3</v>
      </c>
      <c r="L16" s="9" t="str">
        <f t="shared" si="6"/>
        <v>1/500</v>
      </c>
      <c r="M16" s="9">
        <v>1.7</v>
      </c>
      <c r="N16" s="9">
        <v>0</v>
      </c>
      <c r="O16" s="9">
        <f t="shared" si="7"/>
        <v>1.7</v>
      </c>
      <c r="P16" s="9">
        <v>1.6</v>
      </c>
      <c r="Q16" s="9">
        <f t="shared" si="8"/>
        <v>1.7</v>
      </c>
      <c r="R16" s="9">
        <f t="shared" si="9"/>
        <v>1.9</v>
      </c>
      <c r="S16" s="9">
        <f t="shared" si="1"/>
        <v>0.48</v>
      </c>
      <c r="T16" s="9">
        <v>1.6</v>
      </c>
      <c r="U16" s="9">
        <f t="shared" si="2"/>
        <v>1.7</v>
      </c>
      <c r="V16" s="9">
        <f>Sheet1!E18</f>
        <v>1724.79</v>
      </c>
      <c r="W16" s="9">
        <f>Sheet1!G18</f>
        <v>1725.02</v>
      </c>
      <c r="X16" s="14">
        <f t="shared" si="3"/>
        <v>1725.8899999999999</v>
      </c>
      <c r="Y16" s="9" t="s">
        <v>374</v>
      </c>
    </row>
    <row r="17" spans="2:25">
      <c r="B17" s="9"/>
      <c r="C17" s="10">
        <f>Sheet1!C19</f>
        <v>423</v>
      </c>
      <c r="D17" s="9">
        <f t="shared" si="0"/>
        <v>3.75</v>
      </c>
      <c r="E17" s="9">
        <v>3</v>
      </c>
      <c r="F17" s="9">
        <f t="shared" si="4"/>
        <v>1.97</v>
      </c>
      <c r="G17" s="9">
        <f t="shared" si="5"/>
        <v>1.88</v>
      </c>
      <c r="H17" s="9">
        <v>1.1200000000000001</v>
      </c>
      <c r="I17" s="9">
        <v>0.87</v>
      </c>
      <c r="J17" s="9">
        <v>1.4E-2</v>
      </c>
      <c r="K17" s="9">
        <f>Sheet1!K18</f>
        <v>2E-3</v>
      </c>
      <c r="L17" s="9" t="str">
        <f t="shared" si="6"/>
        <v>1/500</v>
      </c>
      <c r="M17" s="9">
        <v>1.7</v>
      </c>
      <c r="N17" s="9">
        <v>0</v>
      </c>
      <c r="O17" s="9">
        <f t="shared" si="7"/>
        <v>1.7</v>
      </c>
      <c r="P17" s="9">
        <v>1.6</v>
      </c>
      <c r="Q17" s="9">
        <f t="shared" si="8"/>
        <v>1.7</v>
      </c>
      <c r="R17" s="9">
        <f t="shared" si="9"/>
        <v>1.9</v>
      </c>
      <c r="S17" s="9">
        <f t="shared" si="1"/>
        <v>0.48</v>
      </c>
      <c r="T17" s="9">
        <v>1.6</v>
      </c>
      <c r="U17" s="9">
        <f t="shared" si="2"/>
        <v>1.7</v>
      </c>
      <c r="V17" s="9">
        <f>Sheet1!E19</f>
        <v>1724.79</v>
      </c>
      <c r="W17" s="9">
        <f>Sheet1!G19</f>
        <v>1722.82</v>
      </c>
      <c r="X17" s="14">
        <f t="shared" si="3"/>
        <v>1723.6899999999998</v>
      </c>
      <c r="Y17" s="9"/>
    </row>
    <row r="18" spans="2:25">
      <c r="B18" s="9"/>
      <c r="C18" s="10">
        <f>Sheet1!C20</f>
        <v>430</v>
      </c>
      <c r="D18" s="9">
        <f t="shared" si="0"/>
        <v>3.75</v>
      </c>
      <c r="E18" s="9">
        <v>3</v>
      </c>
      <c r="F18" s="9">
        <f t="shared" si="4"/>
        <v>1.97</v>
      </c>
      <c r="G18" s="9">
        <f t="shared" si="5"/>
        <v>1.88</v>
      </c>
      <c r="H18" s="9">
        <v>1.1200000000000001</v>
      </c>
      <c r="I18" s="9">
        <v>0.87</v>
      </c>
      <c r="J18" s="9">
        <v>1.4E-2</v>
      </c>
      <c r="K18" s="9">
        <f>Sheet1!K19</f>
        <v>2E-3</v>
      </c>
      <c r="L18" s="9" t="str">
        <f t="shared" si="6"/>
        <v>1/500</v>
      </c>
      <c r="M18" s="9">
        <v>1.7</v>
      </c>
      <c r="N18" s="9">
        <v>0</v>
      </c>
      <c r="O18" s="9">
        <f t="shared" si="7"/>
        <v>1.7</v>
      </c>
      <c r="P18" s="9">
        <v>1.6</v>
      </c>
      <c r="Q18" s="9">
        <f t="shared" si="8"/>
        <v>1.7</v>
      </c>
      <c r="R18" s="9">
        <f t="shared" si="9"/>
        <v>1.9</v>
      </c>
      <c r="S18" s="9">
        <f t="shared" si="1"/>
        <v>0.48</v>
      </c>
      <c r="T18" s="9">
        <v>1.6</v>
      </c>
      <c r="U18" s="9">
        <f t="shared" si="2"/>
        <v>1.7</v>
      </c>
      <c r="V18" s="9">
        <f>Sheet1!E20</f>
        <v>1724.65</v>
      </c>
      <c r="W18" s="9">
        <f>Sheet1!G20</f>
        <v>1722.82</v>
      </c>
      <c r="X18" s="14">
        <f t="shared" si="3"/>
        <v>1723.6899999999998</v>
      </c>
      <c r="Y18" s="9"/>
    </row>
    <row r="19" spans="2:25">
      <c r="B19" s="9"/>
      <c r="C19" s="10">
        <f>Sheet1!C21</f>
        <v>460</v>
      </c>
      <c r="D19" s="9">
        <f t="shared" si="0"/>
        <v>3.75</v>
      </c>
      <c r="E19" s="9">
        <v>3</v>
      </c>
      <c r="F19" s="9">
        <f t="shared" si="4"/>
        <v>1.97</v>
      </c>
      <c r="G19" s="9">
        <f t="shared" si="5"/>
        <v>1.88</v>
      </c>
      <c r="H19" s="9">
        <v>1.1200000000000001</v>
      </c>
      <c r="I19" s="9">
        <v>0.87</v>
      </c>
      <c r="J19" s="9">
        <v>1.4E-2</v>
      </c>
      <c r="K19" s="9">
        <f>Sheet1!K20</f>
        <v>2E-3</v>
      </c>
      <c r="L19" s="9" t="str">
        <f t="shared" si="6"/>
        <v>1/500</v>
      </c>
      <c r="M19" s="9">
        <v>1.7</v>
      </c>
      <c r="N19" s="9">
        <v>0</v>
      </c>
      <c r="O19" s="9">
        <f t="shared" si="7"/>
        <v>1.7</v>
      </c>
      <c r="P19" s="9">
        <v>1.6</v>
      </c>
      <c r="Q19" s="9">
        <f t="shared" si="8"/>
        <v>1.7</v>
      </c>
      <c r="R19" s="9">
        <f t="shared" si="9"/>
        <v>1.9</v>
      </c>
      <c r="S19" s="9">
        <f t="shared" si="1"/>
        <v>0.48</v>
      </c>
      <c r="T19" s="9">
        <v>1.6</v>
      </c>
      <c r="U19" s="9">
        <f t="shared" si="2"/>
        <v>1.7</v>
      </c>
      <c r="V19" s="9">
        <f>Sheet1!E21</f>
        <v>1724.27</v>
      </c>
      <c r="W19" s="9">
        <f>Sheet1!G21</f>
        <v>1722.76</v>
      </c>
      <c r="X19" s="14">
        <f t="shared" si="3"/>
        <v>1723.6299999999999</v>
      </c>
      <c r="Y19" s="9"/>
    </row>
    <row r="20" spans="2:25">
      <c r="B20" s="9"/>
      <c r="C20" s="10">
        <f>Sheet1!C22</f>
        <v>464</v>
      </c>
      <c r="D20" s="9">
        <f t="shared" si="0"/>
        <v>3.75</v>
      </c>
      <c r="E20" s="9">
        <v>3</v>
      </c>
      <c r="F20" s="9">
        <f t="shared" si="4"/>
        <v>1.97</v>
      </c>
      <c r="G20" s="9">
        <f t="shared" si="5"/>
        <v>1.88</v>
      </c>
      <c r="H20" s="9">
        <v>1.1200000000000001</v>
      </c>
      <c r="I20" s="9">
        <v>0.87</v>
      </c>
      <c r="J20" s="9">
        <v>1.4E-2</v>
      </c>
      <c r="K20" s="9">
        <f>Sheet1!K21</f>
        <v>2E-3</v>
      </c>
      <c r="L20" s="9" t="str">
        <f t="shared" si="6"/>
        <v>1/500</v>
      </c>
      <c r="M20" s="9">
        <v>1.7</v>
      </c>
      <c r="N20" s="9">
        <v>0</v>
      </c>
      <c r="O20" s="9">
        <f t="shared" si="7"/>
        <v>1.7</v>
      </c>
      <c r="P20" s="9">
        <v>1.6</v>
      </c>
      <c r="Q20" s="9">
        <f t="shared" si="8"/>
        <v>1.7</v>
      </c>
      <c r="R20" s="9">
        <f t="shared" si="9"/>
        <v>1.9</v>
      </c>
      <c r="S20" s="9">
        <f t="shared" si="1"/>
        <v>0.48</v>
      </c>
      <c r="T20" s="9">
        <v>1.6</v>
      </c>
      <c r="U20" s="9">
        <f t="shared" si="2"/>
        <v>1.7</v>
      </c>
      <c r="V20" s="9">
        <f>Sheet1!E22</f>
        <v>1724.03</v>
      </c>
      <c r="W20" s="9">
        <f>Sheet1!G22</f>
        <v>1722.75</v>
      </c>
      <c r="X20" s="14">
        <f t="shared" si="3"/>
        <v>1723.62</v>
      </c>
      <c r="Y20" s="9"/>
    </row>
    <row r="21" spans="2:25">
      <c r="B21" s="9"/>
      <c r="C21" s="10">
        <f>Sheet1!C23</f>
        <v>500</v>
      </c>
      <c r="D21" s="9">
        <f t="shared" si="0"/>
        <v>3.75</v>
      </c>
      <c r="E21" s="9">
        <v>3</v>
      </c>
      <c r="F21" s="9">
        <f t="shared" si="4"/>
        <v>1.97</v>
      </c>
      <c r="G21" s="9">
        <f t="shared" si="5"/>
        <v>1.88</v>
      </c>
      <c r="H21" s="9">
        <v>1.1200000000000001</v>
      </c>
      <c r="I21" s="9">
        <v>0.87</v>
      </c>
      <c r="J21" s="9">
        <v>1.4E-2</v>
      </c>
      <c r="K21" s="9">
        <f>Sheet1!K22</f>
        <v>2E-3</v>
      </c>
      <c r="L21" s="9" t="str">
        <f t="shared" si="6"/>
        <v>1/500</v>
      </c>
      <c r="M21" s="9">
        <v>1.7</v>
      </c>
      <c r="N21" s="9">
        <v>0</v>
      </c>
      <c r="O21" s="9">
        <f t="shared" si="7"/>
        <v>1.7</v>
      </c>
      <c r="P21" s="9">
        <v>1.6</v>
      </c>
      <c r="Q21" s="9">
        <f t="shared" si="8"/>
        <v>1.7</v>
      </c>
      <c r="R21" s="9">
        <f t="shared" si="9"/>
        <v>1.9</v>
      </c>
      <c r="S21" s="9">
        <f t="shared" si="1"/>
        <v>0.48</v>
      </c>
      <c r="T21" s="9">
        <v>1.6</v>
      </c>
      <c r="U21" s="9">
        <f t="shared" si="2"/>
        <v>1.7</v>
      </c>
      <c r="V21" s="9">
        <f>Sheet1!E23</f>
        <v>1723.46</v>
      </c>
      <c r="W21" s="9">
        <f>Sheet1!G23</f>
        <v>1722.68</v>
      </c>
      <c r="X21" s="14">
        <f t="shared" si="3"/>
        <v>1723.55</v>
      </c>
      <c r="Y21" s="9"/>
    </row>
    <row r="22" spans="2:25">
      <c r="B22" s="9"/>
      <c r="C22" s="10">
        <f>Sheet1!C24</f>
        <v>550</v>
      </c>
      <c r="D22" s="9">
        <f t="shared" si="0"/>
        <v>3.75</v>
      </c>
      <c r="E22" s="9">
        <v>3</v>
      </c>
      <c r="F22" s="9">
        <f t="shared" si="4"/>
        <v>1.97</v>
      </c>
      <c r="G22" s="9">
        <f t="shared" si="5"/>
        <v>1.88</v>
      </c>
      <c r="H22" s="9">
        <v>1.1200000000000001</v>
      </c>
      <c r="I22" s="9">
        <v>0.87</v>
      </c>
      <c r="J22" s="9">
        <v>1.4E-2</v>
      </c>
      <c r="K22" s="9">
        <f>Sheet1!K23</f>
        <v>2E-3</v>
      </c>
      <c r="L22" s="9" t="str">
        <f t="shared" si="6"/>
        <v>1/500</v>
      </c>
      <c r="M22" s="9">
        <v>1.7</v>
      </c>
      <c r="N22" s="9">
        <v>0</v>
      </c>
      <c r="O22" s="9">
        <f t="shared" si="7"/>
        <v>1.7</v>
      </c>
      <c r="P22" s="9">
        <v>1.6</v>
      </c>
      <c r="Q22" s="9">
        <f t="shared" si="8"/>
        <v>1.7</v>
      </c>
      <c r="R22" s="9">
        <f t="shared" si="9"/>
        <v>1.9</v>
      </c>
      <c r="S22" s="9">
        <f t="shared" si="1"/>
        <v>0.48</v>
      </c>
      <c r="T22" s="9">
        <v>1.6</v>
      </c>
      <c r="U22" s="9">
        <f t="shared" si="2"/>
        <v>1.7</v>
      </c>
      <c r="V22" s="9">
        <f>Sheet1!E24</f>
        <v>1722.89</v>
      </c>
      <c r="W22" s="9">
        <f>Sheet1!G24</f>
        <v>1722.58</v>
      </c>
      <c r="X22" s="14">
        <f t="shared" si="3"/>
        <v>1723.4499999999998</v>
      </c>
      <c r="Y22" s="9"/>
    </row>
    <row r="23" spans="2:25">
      <c r="B23" s="9"/>
      <c r="C23" s="10">
        <f>Sheet1!C25</f>
        <v>600</v>
      </c>
      <c r="D23" s="9">
        <f t="shared" si="0"/>
        <v>3.75</v>
      </c>
      <c r="E23" s="9">
        <v>3</v>
      </c>
      <c r="F23" s="9">
        <f t="shared" si="4"/>
        <v>1.97</v>
      </c>
      <c r="G23" s="9">
        <f t="shared" si="5"/>
        <v>1.88</v>
      </c>
      <c r="H23" s="9">
        <v>1.1200000000000001</v>
      </c>
      <c r="I23" s="9">
        <v>0.87</v>
      </c>
      <c r="J23" s="9">
        <v>1.4E-2</v>
      </c>
      <c r="K23" s="9">
        <f>Sheet1!K24</f>
        <v>2E-3</v>
      </c>
      <c r="L23" s="9" t="str">
        <f t="shared" si="6"/>
        <v>1/500</v>
      </c>
      <c r="M23" s="9">
        <v>1.7</v>
      </c>
      <c r="N23" s="9">
        <v>0</v>
      </c>
      <c r="O23" s="9">
        <f t="shared" si="7"/>
        <v>1.7</v>
      </c>
      <c r="P23" s="9">
        <v>1.6</v>
      </c>
      <c r="Q23" s="9">
        <f t="shared" si="8"/>
        <v>1.7</v>
      </c>
      <c r="R23" s="9">
        <f t="shared" si="9"/>
        <v>1.9</v>
      </c>
      <c r="S23" s="9">
        <f t="shared" si="1"/>
        <v>0.48</v>
      </c>
      <c r="T23" s="9">
        <v>1.6</v>
      </c>
      <c r="U23" s="9">
        <f t="shared" si="2"/>
        <v>1.7</v>
      </c>
      <c r="V23" s="9">
        <f>Sheet1!E25</f>
        <v>1722.38</v>
      </c>
      <c r="W23" s="9">
        <f>Sheet1!G25</f>
        <v>1722.48</v>
      </c>
      <c r="X23" s="14">
        <f t="shared" si="3"/>
        <v>1723.35</v>
      </c>
      <c r="Y23" s="9"/>
    </row>
    <row r="24" spans="2:25">
      <c r="B24" s="9"/>
      <c r="C24" s="10">
        <f>Sheet1!C26</f>
        <v>610</v>
      </c>
      <c r="D24" s="9">
        <f t="shared" si="0"/>
        <v>3.75</v>
      </c>
      <c r="E24" s="9">
        <v>3</v>
      </c>
      <c r="F24" s="9">
        <f t="shared" si="4"/>
        <v>1.97</v>
      </c>
      <c r="G24" s="9">
        <f t="shared" si="5"/>
        <v>1.88</v>
      </c>
      <c r="H24" s="9">
        <v>1.1200000000000001</v>
      </c>
      <c r="I24" s="9">
        <v>0.87</v>
      </c>
      <c r="J24" s="9">
        <v>1.4E-2</v>
      </c>
      <c r="K24" s="9">
        <f>Sheet1!K25</f>
        <v>2E-3</v>
      </c>
      <c r="L24" s="9" t="str">
        <f t="shared" si="6"/>
        <v>1/500</v>
      </c>
      <c r="M24" s="9">
        <v>1.7</v>
      </c>
      <c r="N24" s="9">
        <v>0</v>
      </c>
      <c r="O24" s="9">
        <f t="shared" si="7"/>
        <v>1.7</v>
      </c>
      <c r="P24" s="9">
        <v>1.6</v>
      </c>
      <c r="Q24" s="9">
        <f t="shared" si="8"/>
        <v>1.7</v>
      </c>
      <c r="R24" s="9">
        <f t="shared" si="9"/>
        <v>1.9</v>
      </c>
      <c r="S24" s="9">
        <f t="shared" si="1"/>
        <v>0.48</v>
      </c>
      <c r="T24" s="9">
        <v>1.6</v>
      </c>
      <c r="U24" s="9">
        <f t="shared" si="2"/>
        <v>1.7</v>
      </c>
      <c r="V24" s="9">
        <f>Sheet1!E26</f>
        <v>1722.62</v>
      </c>
      <c r="W24" s="9">
        <f>Sheet1!G26</f>
        <v>1722.46</v>
      </c>
      <c r="X24" s="14">
        <f t="shared" si="3"/>
        <v>1723.33</v>
      </c>
      <c r="Y24" s="9"/>
    </row>
    <row r="25" spans="2:25">
      <c r="B25" s="9"/>
      <c r="C25" s="10">
        <f>Sheet1!C27</f>
        <v>650</v>
      </c>
      <c r="D25" s="9">
        <f t="shared" si="0"/>
        <v>3.75</v>
      </c>
      <c r="E25" s="9">
        <v>3</v>
      </c>
      <c r="F25" s="9">
        <f t="shared" si="4"/>
        <v>1.97</v>
      </c>
      <c r="G25" s="9">
        <f t="shared" si="5"/>
        <v>1.88</v>
      </c>
      <c r="H25" s="9">
        <v>1.1200000000000001</v>
      </c>
      <c r="I25" s="9">
        <v>0.87</v>
      </c>
      <c r="J25" s="9">
        <v>1.4E-2</v>
      </c>
      <c r="K25" s="9">
        <f>Sheet1!K26</f>
        <v>2E-3</v>
      </c>
      <c r="L25" s="9" t="str">
        <f t="shared" si="6"/>
        <v>1/500</v>
      </c>
      <c r="M25" s="9">
        <v>1.7</v>
      </c>
      <c r="N25" s="9">
        <v>0</v>
      </c>
      <c r="O25" s="9">
        <f t="shared" si="7"/>
        <v>1.7</v>
      </c>
      <c r="P25" s="9">
        <v>1.6</v>
      </c>
      <c r="Q25" s="9">
        <f t="shared" si="8"/>
        <v>1.7</v>
      </c>
      <c r="R25" s="9">
        <f t="shared" si="9"/>
        <v>1.9</v>
      </c>
      <c r="S25" s="9">
        <f t="shared" si="1"/>
        <v>0.48</v>
      </c>
      <c r="T25" s="9">
        <v>1.6</v>
      </c>
      <c r="U25" s="9">
        <f t="shared" si="2"/>
        <v>1.7</v>
      </c>
      <c r="V25" s="9">
        <f>Sheet1!E27</f>
        <v>1722.2199999999998</v>
      </c>
      <c r="W25" s="9">
        <f>Sheet1!G27</f>
        <v>1722.38</v>
      </c>
      <c r="X25" s="14">
        <f t="shared" si="3"/>
        <v>1723.25</v>
      </c>
      <c r="Y25" s="9"/>
    </row>
    <row r="26" spans="2:25">
      <c r="B26" s="9" t="s">
        <v>376</v>
      </c>
      <c r="C26" s="10">
        <f>Sheet1!C28</f>
        <v>660</v>
      </c>
      <c r="D26" s="9">
        <f t="shared" si="0"/>
        <v>3.75</v>
      </c>
      <c r="E26" s="9">
        <v>3</v>
      </c>
      <c r="F26" s="9">
        <f t="shared" si="4"/>
        <v>1.97</v>
      </c>
      <c r="G26" s="9">
        <f t="shared" si="5"/>
        <v>1.88</v>
      </c>
      <c r="H26" s="9">
        <v>1.1200000000000001</v>
      </c>
      <c r="I26" s="9">
        <v>0.87</v>
      </c>
      <c r="J26" s="9">
        <v>1.4E-2</v>
      </c>
      <c r="K26" s="9">
        <f>Sheet1!K27</f>
        <v>2E-3</v>
      </c>
      <c r="L26" s="9" t="str">
        <f t="shared" si="6"/>
        <v>1/500</v>
      </c>
      <c r="M26" s="9">
        <v>1.7</v>
      </c>
      <c r="N26" s="9">
        <v>0</v>
      </c>
      <c r="O26" s="9">
        <f t="shared" si="7"/>
        <v>1.7</v>
      </c>
      <c r="P26" s="9">
        <v>1.6</v>
      </c>
      <c r="Q26" s="9">
        <f t="shared" si="8"/>
        <v>1.7</v>
      </c>
      <c r="R26" s="9">
        <f t="shared" si="9"/>
        <v>1.9</v>
      </c>
      <c r="S26" s="9">
        <f t="shared" si="1"/>
        <v>0.48</v>
      </c>
      <c r="T26" s="9">
        <v>1.6</v>
      </c>
      <c r="U26" s="9">
        <f t="shared" si="2"/>
        <v>1.7</v>
      </c>
      <c r="V26" s="9">
        <f>Sheet1!E28</f>
        <v>1722.12</v>
      </c>
      <c r="W26" s="9">
        <f>Sheet1!G28</f>
        <v>1722.36</v>
      </c>
      <c r="X26" s="14">
        <f t="shared" si="3"/>
        <v>1723.2299999999998</v>
      </c>
      <c r="Y26" s="9" t="s">
        <v>376</v>
      </c>
    </row>
    <row r="27" spans="2:25">
      <c r="B27" s="9"/>
      <c r="C27" s="10">
        <f>Sheet1!C29</f>
        <v>663</v>
      </c>
      <c r="D27" s="9">
        <f t="shared" si="0"/>
        <v>3.75</v>
      </c>
      <c r="E27" s="9">
        <v>3</v>
      </c>
      <c r="F27" s="9">
        <f t="shared" si="4"/>
        <v>1.97</v>
      </c>
      <c r="G27" s="9">
        <f t="shared" si="5"/>
        <v>1.88</v>
      </c>
      <c r="H27" s="9">
        <v>1.1200000000000001</v>
      </c>
      <c r="I27" s="9">
        <v>0.87</v>
      </c>
      <c r="J27" s="9">
        <v>1.4E-2</v>
      </c>
      <c r="K27" s="9">
        <f>Sheet1!K28</f>
        <v>2E-3</v>
      </c>
      <c r="L27" s="9" t="str">
        <f t="shared" si="6"/>
        <v>1/500</v>
      </c>
      <c r="M27" s="9">
        <v>1.7</v>
      </c>
      <c r="N27" s="9">
        <v>0</v>
      </c>
      <c r="O27" s="9">
        <f t="shared" si="7"/>
        <v>1.7</v>
      </c>
      <c r="P27" s="9">
        <v>1.6</v>
      </c>
      <c r="Q27" s="9">
        <f t="shared" si="8"/>
        <v>1.7</v>
      </c>
      <c r="R27" s="9">
        <f t="shared" si="9"/>
        <v>1.9</v>
      </c>
      <c r="S27" s="9">
        <f t="shared" si="1"/>
        <v>0.48</v>
      </c>
      <c r="T27" s="9">
        <v>1.6</v>
      </c>
      <c r="U27" s="9">
        <f t="shared" si="2"/>
        <v>1.7</v>
      </c>
      <c r="V27" s="9">
        <f>Sheet1!E29</f>
        <v>1722.09</v>
      </c>
      <c r="W27" s="9">
        <f>Sheet1!G29</f>
        <v>1720.1599999999999</v>
      </c>
      <c r="X27" s="14">
        <f t="shared" si="3"/>
        <v>1721.0299999999997</v>
      </c>
      <c r="Y27" s="9"/>
    </row>
    <row r="28" spans="2:25">
      <c r="B28" s="9"/>
      <c r="C28" s="10">
        <f>Sheet1!C30</f>
        <v>700</v>
      </c>
      <c r="D28" s="9">
        <f t="shared" si="0"/>
        <v>3.75</v>
      </c>
      <c r="E28" s="9">
        <v>3</v>
      </c>
      <c r="F28" s="9">
        <f t="shared" si="4"/>
        <v>1.97</v>
      </c>
      <c r="G28" s="9">
        <f t="shared" si="5"/>
        <v>1.88</v>
      </c>
      <c r="H28" s="9">
        <v>1.1200000000000001</v>
      </c>
      <c r="I28" s="9">
        <v>0.87</v>
      </c>
      <c r="J28" s="9">
        <v>1.4E-2</v>
      </c>
      <c r="K28" s="9">
        <f>Sheet1!K29</f>
        <v>2E-3</v>
      </c>
      <c r="L28" s="9" t="str">
        <f t="shared" si="6"/>
        <v>1/500</v>
      </c>
      <c r="M28" s="9">
        <v>1.7</v>
      </c>
      <c r="N28" s="9">
        <v>0</v>
      </c>
      <c r="O28" s="9">
        <f t="shared" si="7"/>
        <v>1.7</v>
      </c>
      <c r="P28" s="9">
        <v>1.6</v>
      </c>
      <c r="Q28" s="9">
        <f t="shared" si="8"/>
        <v>1.7</v>
      </c>
      <c r="R28" s="9">
        <f t="shared" si="9"/>
        <v>1.9</v>
      </c>
      <c r="S28" s="9">
        <f t="shared" si="1"/>
        <v>0.48</v>
      </c>
      <c r="T28" s="9">
        <v>1.6</v>
      </c>
      <c r="U28" s="9">
        <f t="shared" si="2"/>
        <v>1.7</v>
      </c>
      <c r="V28" s="9">
        <f>Sheet1!E30</f>
        <v>1721.72</v>
      </c>
      <c r="W28" s="9">
        <f>Sheet1!G30</f>
        <v>1720.08</v>
      </c>
      <c r="X28" s="14">
        <f t="shared" si="3"/>
        <v>1720.9499999999998</v>
      </c>
      <c r="Y28" s="9"/>
    </row>
    <row r="29" spans="2:25">
      <c r="B29" s="9"/>
      <c r="C29" s="10">
        <f>Sheet1!C31</f>
        <v>710</v>
      </c>
      <c r="D29" s="9">
        <f t="shared" si="0"/>
        <v>3.75</v>
      </c>
      <c r="E29" s="9">
        <v>3</v>
      </c>
      <c r="F29" s="9">
        <f t="shared" si="4"/>
        <v>1.97</v>
      </c>
      <c r="G29" s="9">
        <f t="shared" si="5"/>
        <v>1.88</v>
      </c>
      <c r="H29" s="9">
        <v>1.1200000000000001</v>
      </c>
      <c r="I29" s="9">
        <v>0.87</v>
      </c>
      <c r="J29" s="9">
        <v>1.4E-2</v>
      </c>
      <c r="K29" s="9">
        <f>Sheet1!K30</f>
        <v>2E-3</v>
      </c>
      <c r="L29" s="9" t="str">
        <f t="shared" si="6"/>
        <v>1/500</v>
      </c>
      <c r="M29" s="9">
        <v>1.7</v>
      </c>
      <c r="N29" s="9">
        <v>0</v>
      </c>
      <c r="O29" s="9">
        <f t="shared" si="7"/>
        <v>1.7</v>
      </c>
      <c r="P29" s="9">
        <v>1.6</v>
      </c>
      <c r="Q29" s="9">
        <f t="shared" si="8"/>
        <v>1.7</v>
      </c>
      <c r="R29" s="9">
        <f t="shared" si="9"/>
        <v>1.9</v>
      </c>
      <c r="S29" s="9">
        <f t="shared" si="1"/>
        <v>0.48</v>
      </c>
      <c r="T29" s="9">
        <v>1.6</v>
      </c>
      <c r="U29" s="9">
        <f t="shared" si="2"/>
        <v>1.7</v>
      </c>
      <c r="V29" s="9">
        <f>Sheet1!E31</f>
        <v>1721.61</v>
      </c>
      <c r="W29" s="9">
        <f>Sheet1!G31</f>
        <v>1720.06</v>
      </c>
      <c r="X29" s="14">
        <f t="shared" si="3"/>
        <v>1720.9299999999998</v>
      </c>
      <c r="Y29" s="9"/>
    </row>
    <row r="30" spans="2:25">
      <c r="B30" s="9"/>
      <c r="C30" s="10">
        <f>Sheet1!C32</f>
        <v>750</v>
      </c>
      <c r="D30" s="9">
        <f t="shared" si="0"/>
        <v>3.75</v>
      </c>
      <c r="E30" s="9">
        <v>3</v>
      </c>
      <c r="F30" s="9">
        <f t="shared" si="4"/>
        <v>1.97</v>
      </c>
      <c r="G30" s="9">
        <f t="shared" si="5"/>
        <v>1.88</v>
      </c>
      <c r="H30" s="9">
        <v>1.1200000000000001</v>
      </c>
      <c r="I30" s="9">
        <v>0.87</v>
      </c>
      <c r="J30" s="9">
        <v>1.4E-2</v>
      </c>
      <c r="K30" s="9">
        <f>Sheet1!K31</f>
        <v>2E-3</v>
      </c>
      <c r="L30" s="9" t="str">
        <f t="shared" si="6"/>
        <v>1/500</v>
      </c>
      <c r="M30" s="9">
        <v>1.7</v>
      </c>
      <c r="N30" s="9">
        <v>0</v>
      </c>
      <c r="O30" s="9">
        <f t="shared" si="7"/>
        <v>1.7</v>
      </c>
      <c r="P30" s="9">
        <v>1.6</v>
      </c>
      <c r="Q30" s="9">
        <f t="shared" si="8"/>
        <v>1.7</v>
      </c>
      <c r="R30" s="9">
        <f t="shared" si="9"/>
        <v>1.9</v>
      </c>
      <c r="S30" s="9">
        <f t="shared" si="1"/>
        <v>0.48</v>
      </c>
      <c r="T30" s="9">
        <v>1.6</v>
      </c>
      <c r="U30" s="9">
        <f t="shared" si="2"/>
        <v>1.7</v>
      </c>
      <c r="V30" s="9">
        <f>Sheet1!E32</f>
        <v>1721.2</v>
      </c>
      <c r="W30" s="9">
        <f>Sheet1!G32</f>
        <v>1719.98</v>
      </c>
      <c r="X30" s="14">
        <f t="shared" si="3"/>
        <v>1720.85</v>
      </c>
      <c r="Y30" s="9"/>
    </row>
    <row r="31" spans="2:25">
      <c r="B31" s="9"/>
      <c r="C31" s="10">
        <f>Sheet1!C33</f>
        <v>800</v>
      </c>
      <c r="D31" s="9">
        <f t="shared" si="0"/>
        <v>3.75</v>
      </c>
      <c r="E31" s="9">
        <v>3</v>
      </c>
      <c r="F31" s="9">
        <f t="shared" si="4"/>
        <v>1.97</v>
      </c>
      <c r="G31" s="9">
        <f t="shared" si="5"/>
        <v>1.88</v>
      </c>
      <c r="H31" s="9">
        <v>1.1200000000000001</v>
      </c>
      <c r="I31" s="9">
        <v>0.87</v>
      </c>
      <c r="J31" s="9">
        <v>1.4E-2</v>
      </c>
      <c r="K31" s="9">
        <f>Sheet1!K32</f>
        <v>2E-3</v>
      </c>
      <c r="L31" s="9" t="str">
        <f t="shared" si="6"/>
        <v>1/500</v>
      </c>
      <c r="M31" s="9">
        <v>1.7</v>
      </c>
      <c r="N31" s="9">
        <v>0</v>
      </c>
      <c r="O31" s="9">
        <f t="shared" si="7"/>
        <v>1.7</v>
      </c>
      <c r="P31" s="9">
        <v>1.6</v>
      </c>
      <c r="Q31" s="9">
        <f t="shared" si="8"/>
        <v>1.7</v>
      </c>
      <c r="R31" s="9">
        <f t="shared" si="9"/>
        <v>1.9</v>
      </c>
      <c r="S31" s="9">
        <f t="shared" si="1"/>
        <v>0.48</v>
      </c>
      <c r="T31" s="9">
        <v>1.6</v>
      </c>
      <c r="U31" s="9">
        <f t="shared" si="2"/>
        <v>1.7</v>
      </c>
      <c r="V31" s="9">
        <f>Sheet1!E33</f>
        <v>1720.6</v>
      </c>
      <c r="W31" s="9">
        <f>Sheet1!G33</f>
        <v>1719.88</v>
      </c>
      <c r="X31" s="14">
        <f t="shared" si="3"/>
        <v>1720.75</v>
      </c>
      <c r="Y31" s="9"/>
    </row>
    <row r="32" spans="2:25">
      <c r="B32" s="9"/>
      <c r="C32" s="10">
        <f>Sheet1!C34</f>
        <v>850</v>
      </c>
      <c r="D32" s="9">
        <f t="shared" si="0"/>
        <v>3.75</v>
      </c>
      <c r="E32" s="9">
        <v>3</v>
      </c>
      <c r="F32" s="9">
        <f t="shared" si="4"/>
        <v>1.97</v>
      </c>
      <c r="G32" s="9">
        <f t="shared" si="5"/>
        <v>1.88</v>
      </c>
      <c r="H32" s="9">
        <v>1.1200000000000001</v>
      </c>
      <c r="I32" s="9">
        <v>0.87</v>
      </c>
      <c r="J32" s="9">
        <v>1.4E-2</v>
      </c>
      <c r="K32" s="9">
        <f>Sheet1!K33</f>
        <v>2E-3</v>
      </c>
      <c r="L32" s="9" t="str">
        <f t="shared" si="6"/>
        <v>1/500</v>
      </c>
      <c r="M32" s="9">
        <v>1.7</v>
      </c>
      <c r="N32" s="9">
        <v>0</v>
      </c>
      <c r="O32" s="9">
        <f t="shared" si="7"/>
        <v>1.7</v>
      </c>
      <c r="P32" s="9">
        <v>1.6</v>
      </c>
      <c r="Q32" s="9">
        <f t="shared" si="8"/>
        <v>1.7</v>
      </c>
      <c r="R32" s="9">
        <f t="shared" si="9"/>
        <v>1.9</v>
      </c>
      <c r="S32" s="9">
        <f t="shared" si="1"/>
        <v>0.48</v>
      </c>
      <c r="T32" s="9">
        <v>1.6</v>
      </c>
      <c r="U32" s="9">
        <f t="shared" si="2"/>
        <v>1.7</v>
      </c>
      <c r="V32" s="9">
        <f>Sheet1!E34</f>
        <v>1720</v>
      </c>
      <c r="W32" s="9">
        <f>Sheet1!G34</f>
        <v>1719.78</v>
      </c>
      <c r="X32" s="14">
        <f t="shared" si="3"/>
        <v>1720.6499999999999</v>
      </c>
      <c r="Y32" s="9"/>
    </row>
    <row r="33" spans="2:25">
      <c r="B33" s="9" t="s">
        <v>377</v>
      </c>
      <c r="C33" s="10">
        <f>Sheet1!C35</f>
        <v>880</v>
      </c>
      <c r="D33" s="9">
        <f t="shared" si="0"/>
        <v>3.75</v>
      </c>
      <c r="E33" s="9">
        <v>3</v>
      </c>
      <c r="F33" s="9">
        <f t="shared" si="4"/>
        <v>1.97</v>
      </c>
      <c r="G33" s="9">
        <f t="shared" si="5"/>
        <v>1.88</v>
      </c>
      <c r="H33" s="9">
        <v>1.1200000000000001</v>
      </c>
      <c r="I33" s="9">
        <v>0.87</v>
      </c>
      <c r="J33" s="9">
        <v>1.4E-2</v>
      </c>
      <c r="K33" s="9">
        <f>Sheet1!K34</f>
        <v>2E-3</v>
      </c>
      <c r="L33" s="9" t="str">
        <f t="shared" si="6"/>
        <v>1/500</v>
      </c>
      <c r="M33" s="9">
        <v>1.7</v>
      </c>
      <c r="N33" s="9">
        <v>0</v>
      </c>
      <c r="O33" s="9">
        <f t="shared" si="7"/>
        <v>1.7</v>
      </c>
      <c r="P33" s="9">
        <v>1.6</v>
      </c>
      <c r="Q33" s="9">
        <f t="shared" si="8"/>
        <v>1.7</v>
      </c>
      <c r="R33" s="9">
        <f t="shared" si="9"/>
        <v>1.9</v>
      </c>
      <c r="S33" s="9">
        <f t="shared" si="1"/>
        <v>0.48</v>
      </c>
      <c r="T33" s="9">
        <v>1.6</v>
      </c>
      <c r="U33" s="9">
        <f t="shared" si="2"/>
        <v>1.7</v>
      </c>
      <c r="V33" s="9">
        <f>Sheet1!E35</f>
        <v>1719.5</v>
      </c>
      <c r="W33" s="9">
        <f>Sheet1!G35</f>
        <v>1719.72</v>
      </c>
      <c r="X33" s="14">
        <f t="shared" si="3"/>
        <v>1720.59</v>
      </c>
      <c r="Y33" s="9" t="s">
        <v>377</v>
      </c>
    </row>
    <row r="34" spans="2:25">
      <c r="B34" s="9"/>
      <c r="C34" s="10">
        <f>Sheet1!C36</f>
        <v>882</v>
      </c>
      <c r="D34" s="9">
        <f t="shared" si="0"/>
        <v>3.75</v>
      </c>
      <c r="E34" s="9">
        <v>3</v>
      </c>
      <c r="F34" s="9">
        <f t="shared" si="4"/>
        <v>1.97</v>
      </c>
      <c r="G34" s="9">
        <f t="shared" si="5"/>
        <v>1.88</v>
      </c>
      <c r="H34" s="9">
        <v>1.1200000000000001</v>
      </c>
      <c r="I34" s="9">
        <v>0.87</v>
      </c>
      <c r="J34" s="9">
        <v>1.4E-2</v>
      </c>
      <c r="K34" s="9">
        <f>Sheet1!K35</f>
        <v>2E-3</v>
      </c>
      <c r="L34" s="9" t="str">
        <f t="shared" si="6"/>
        <v>1/500</v>
      </c>
      <c r="M34" s="9">
        <v>1.7</v>
      </c>
      <c r="N34" s="9">
        <v>0</v>
      </c>
      <c r="O34" s="9">
        <f t="shared" si="7"/>
        <v>1.7</v>
      </c>
      <c r="P34" s="9">
        <v>1.6</v>
      </c>
      <c r="Q34" s="9">
        <f t="shared" si="8"/>
        <v>1.7</v>
      </c>
      <c r="R34" s="9">
        <f t="shared" si="9"/>
        <v>1.9</v>
      </c>
      <c r="S34" s="9">
        <f t="shared" si="1"/>
        <v>0.48</v>
      </c>
      <c r="T34" s="9">
        <v>1.6</v>
      </c>
      <c r="U34" s="9">
        <f t="shared" si="2"/>
        <v>1.7</v>
      </c>
      <c r="V34" s="9">
        <f>Sheet1!E36</f>
        <v>1719.49</v>
      </c>
      <c r="W34" s="9">
        <f>Sheet1!G36</f>
        <v>1717.52</v>
      </c>
      <c r="X34" s="14">
        <f t="shared" si="3"/>
        <v>1718.3899999999999</v>
      </c>
      <c r="Y34" s="9"/>
    </row>
    <row r="35" spans="2:25">
      <c r="B35" s="9"/>
      <c r="C35" s="10">
        <f>Sheet1!C37</f>
        <v>900</v>
      </c>
      <c r="D35" s="9">
        <f t="shared" si="0"/>
        <v>3.75</v>
      </c>
      <c r="E35" s="9">
        <v>3</v>
      </c>
      <c r="F35" s="9">
        <f t="shared" si="4"/>
        <v>1.97</v>
      </c>
      <c r="G35" s="9">
        <f t="shared" si="5"/>
        <v>1.88</v>
      </c>
      <c r="H35" s="9">
        <v>1.1200000000000001</v>
      </c>
      <c r="I35" s="9">
        <v>0.87</v>
      </c>
      <c r="J35" s="9">
        <v>1.4E-2</v>
      </c>
      <c r="K35" s="9">
        <f>Sheet1!K36</f>
        <v>2E-3</v>
      </c>
      <c r="L35" s="9" t="str">
        <f t="shared" si="6"/>
        <v>1/500</v>
      </c>
      <c r="M35" s="9">
        <v>1.7</v>
      </c>
      <c r="N35" s="9">
        <v>0</v>
      </c>
      <c r="O35" s="9">
        <f t="shared" si="7"/>
        <v>1.7</v>
      </c>
      <c r="P35" s="9">
        <v>1.6</v>
      </c>
      <c r="Q35" s="9">
        <f t="shared" si="8"/>
        <v>1.7</v>
      </c>
      <c r="R35" s="9">
        <f t="shared" si="9"/>
        <v>1.9</v>
      </c>
      <c r="S35" s="9">
        <f t="shared" si="1"/>
        <v>0.48</v>
      </c>
      <c r="T35" s="9">
        <v>1.6</v>
      </c>
      <c r="U35" s="9">
        <f t="shared" si="2"/>
        <v>1.7</v>
      </c>
      <c r="V35" s="9">
        <f>Sheet1!E37</f>
        <v>1719.2740000000001</v>
      </c>
      <c r="W35" s="9">
        <f>Sheet1!G37</f>
        <v>1717.48</v>
      </c>
      <c r="X35" s="14">
        <f t="shared" si="3"/>
        <v>1718.35</v>
      </c>
      <c r="Y35" s="9"/>
    </row>
    <row r="36" spans="2:25">
      <c r="B36" s="9"/>
      <c r="C36" s="10">
        <f>Sheet1!C38</f>
        <v>940</v>
      </c>
      <c r="D36" s="9">
        <f t="shared" si="0"/>
        <v>3.75</v>
      </c>
      <c r="E36" s="9">
        <v>3</v>
      </c>
      <c r="F36" s="9">
        <f t="shared" si="4"/>
        <v>1.97</v>
      </c>
      <c r="G36" s="9">
        <f t="shared" si="5"/>
        <v>1.88</v>
      </c>
      <c r="H36" s="9">
        <v>1.1200000000000001</v>
      </c>
      <c r="I36" s="9">
        <v>0.87</v>
      </c>
      <c r="J36" s="9">
        <v>1.4E-2</v>
      </c>
      <c r="K36" s="9">
        <f>Sheet1!K37</f>
        <v>2E-3</v>
      </c>
      <c r="L36" s="9" t="str">
        <f t="shared" si="6"/>
        <v>1/500</v>
      </c>
      <c r="M36" s="9">
        <v>1.7</v>
      </c>
      <c r="N36" s="9">
        <v>0</v>
      </c>
      <c r="O36" s="9">
        <f t="shared" si="7"/>
        <v>1.7</v>
      </c>
      <c r="P36" s="9">
        <v>1.6</v>
      </c>
      <c r="Q36" s="9">
        <f t="shared" si="8"/>
        <v>1.7</v>
      </c>
      <c r="R36" s="9">
        <f t="shared" si="9"/>
        <v>1.9</v>
      </c>
      <c r="S36" s="9">
        <f t="shared" si="1"/>
        <v>0.48</v>
      </c>
      <c r="T36" s="9">
        <v>1.6</v>
      </c>
      <c r="U36" s="9">
        <f t="shared" si="2"/>
        <v>1.7</v>
      </c>
      <c r="V36" s="9">
        <f>Sheet1!E38</f>
        <v>1718.79</v>
      </c>
      <c r="W36" s="9">
        <f>Sheet1!G38</f>
        <v>1717.4</v>
      </c>
      <c r="X36" s="14">
        <f t="shared" si="3"/>
        <v>1718.27</v>
      </c>
      <c r="Y36" s="9"/>
    </row>
    <row r="37" spans="2:25">
      <c r="B37" s="9"/>
      <c r="C37" s="10">
        <f>Sheet1!C39</f>
        <v>950</v>
      </c>
      <c r="D37" s="9">
        <f t="shared" si="0"/>
        <v>3.75</v>
      </c>
      <c r="E37" s="9">
        <v>3</v>
      </c>
      <c r="F37" s="9">
        <f t="shared" si="4"/>
        <v>1.97</v>
      </c>
      <c r="G37" s="9">
        <f t="shared" si="5"/>
        <v>1.88</v>
      </c>
      <c r="H37" s="9">
        <v>1.1200000000000001</v>
      </c>
      <c r="I37" s="9">
        <v>0.87</v>
      </c>
      <c r="J37" s="9">
        <v>1.4E-2</v>
      </c>
      <c r="K37" s="9">
        <f>Sheet1!K38</f>
        <v>2E-3</v>
      </c>
      <c r="L37" s="9" t="str">
        <f t="shared" si="6"/>
        <v>1/500</v>
      </c>
      <c r="M37" s="9">
        <v>1.7</v>
      </c>
      <c r="N37" s="9">
        <v>0</v>
      </c>
      <c r="O37" s="9">
        <f t="shared" si="7"/>
        <v>1.7</v>
      </c>
      <c r="P37" s="9">
        <v>1.6</v>
      </c>
      <c r="Q37" s="9">
        <f t="shared" si="8"/>
        <v>1.7</v>
      </c>
      <c r="R37" s="9">
        <f t="shared" si="9"/>
        <v>1.9</v>
      </c>
      <c r="S37" s="9">
        <f t="shared" si="1"/>
        <v>0.48</v>
      </c>
      <c r="T37" s="9">
        <v>1.6</v>
      </c>
      <c r="U37" s="9">
        <f t="shared" si="2"/>
        <v>1.7</v>
      </c>
      <c r="V37" s="9">
        <f>Sheet1!E39</f>
        <v>1718.6</v>
      </c>
      <c r="W37" s="9">
        <f>Sheet1!G39</f>
        <v>1717.38</v>
      </c>
      <c r="X37" s="14">
        <f t="shared" si="3"/>
        <v>1718.25</v>
      </c>
      <c r="Y37" s="9"/>
    </row>
    <row r="38" spans="2:25">
      <c r="B38" s="9"/>
      <c r="C38" s="10">
        <f>Sheet1!C40</f>
        <v>1000</v>
      </c>
      <c r="D38" s="9">
        <f t="shared" si="0"/>
        <v>3.75</v>
      </c>
      <c r="E38" s="9">
        <v>3</v>
      </c>
      <c r="F38" s="9">
        <f t="shared" si="4"/>
        <v>1.97</v>
      </c>
      <c r="G38" s="9">
        <f t="shared" si="5"/>
        <v>1.88</v>
      </c>
      <c r="H38" s="9">
        <v>1.1200000000000001</v>
      </c>
      <c r="I38" s="9">
        <v>0.87</v>
      </c>
      <c r="J38" s="9">
        <v>1.4E-2</v>
      </c>
      <c r="K38" s="9">
        <f>Sheet1!K39</f>
        <v>2E-3</v>
      </c>
      <c r="L38" s="9" t="str">
        <f t="shared" si="6"/>
        <v>1/500</v>
      </c>
      <c r="M38" s="9">
        <v>1.7</v>
      </c>
      <c r="N38" s="9">
        <v>0</v>
      </c>
      <c r="O38" s="9">
        <f t="shared" si="7"/>
        <v>1.7</v>
      </c>
      <c r="P38" s="9">
        <v>1.6</v>
      </c>
      <c r="Q38" s="9">
        <f t="shared" si="8"/>
        <v>1.7</v>
      </c>
      <c r="R38" s="9">
        <f t="shared" si="9"/>
        <v>1.9</v>
      </c>
      <c r="S38" s="9">
        <f t="shared" si="1"/>
        <v>0.48</v>
      </c>
      <c r="T38" s="9">
        <v>1.6</v>
      </c>
      <c r="U38" s="9">
        <f t="shared" si="2"/>
        <v>1.7</v>
      </c>
      <c r="V38" s="9">
        <f>Sheet1!E40</f>
        <v>1717.9</v>
      </c>
      <c r="W38" s="9">
        <f>Sheet1!G40</f>
        <v>1717.28</v>
      </c>
      <c r="X38" s="14">
        <f t="shared" si="3"/>
        <v>1718.1499999999999</v>
      </c>
      <c r="Y38" s="9"/>
    </row>
    <row r="39" spans="2:25">
      <c r="B39" s="9"/>
      <c r="C39" s="10">
        <f>Sheet1!C41</f>
        <v>1050</v>
      </c>
      <c r="D39" s="9">
        <f t="shared" si="0"/>
        <v>3.75</v>
      </c>
      <c r="E39" s="9">
        <v>3</v>
      </c>
      <c r="F39" s="9">
        <f t="shared" si="4"/>
        <v>1.97</v>
      </c>
      <c r="G39" s="9">
        <f t="shared" si="5"/>
        <v>1.88</v>
      </c>
      <c r="H39" s="9">
        <v>1.1200000000000001</v>
      </c>
      <c r="I39" s="9">
        <v>0.87</v>
      </c>
      <c r="J39" s="9">
        <v>1.4E-2</v>
      </c>
      <c r="K39" s="9">
        <f>Sheet1!K40</f>
        <v>2E-3</v>
      </c>
      <c r="L39" s="9" t="str">
        <f t="shared" si="6"/>
        <v>1/500</v>
      </c>
      <c r="M39" s="9">
        <v>1.7</v>
      </c>
      <c r="N39" s="9">
        <v>0</v>
      </c>
      <c r="O39" s="9">
        <f t="shared" si="7"/>
        <v>1.7</v>
      </c>
      <c r="P39" s="9">
        <v>1.6</v>
      </c>
      <c r="Q39" s="9">
        <f t="shared" si="8"/>
        <v>1.7</v>
      </c>
      <c r="R39" s="9">
        <f t="shared" si="9"/>
        <v>1.9</v>
      </c>
      <c r="S39" s="9">
        <f t="shared" si="1"/>
        <v>0.48</v>
      </c>
      <c r="T39" s="9">
        <v>1.6</v>
      </c>
      <c r="U39" s="9">
        <f t="shared" si="2"/>
        <v>1.7</v>
      </c>
      <c r="V39" s="9">
        <f>Sheet1!E41</f>
        <v>1717.67</v>
      </c>
      <c r="W39" s="9">
        <f>Sheet1!G41</f>
        <v>1717.18</v>
      </c>
      <c r="X39" s="14">
        <f t="shared" si="3"/>
        <v>1718.05</v>
      </c>
      <c r="Y39" s="9"/>
    </row>
    <row r="40" spans="2:25">
      <c r="B40" s="9"/>
      <c r="C40" s="10">
        <f>Sheet1!C42</f>
        <v>1100</v>
      </c>
      <c r="D40" s="9">
        <f t="shared" si="0"/>
        <v>3.75</v>
      </c>
      <c r="E40" s="9">
        <v>3</v>
      </c>
      <c r="F40" s="9">
        <f t="shared" si="4"/>
        <v>1.97</v>
      </c>
      <c r="G40" s="9">
        <f t="shared" si="5"/>
        <v>1.88</v>
      </c>
      <c r="H40" s="9">
        <v>1.1200000000000001</v>
      </c>
      <c r="I40" s="9">
        <v>0.87</v>
      </c>
      <c r="J40" s="9">
        <v>1.4E-2</v>
      </c>
      <c r="K40" s="9">
        <f>Sheet1!K41</f>
        <v>2E-3</v>
      </c>
      <c r="L40" s="9" t="str">
        <f t="shared" si="6"/>
        <v>1/500</v>
      </c>
      <c r="M40" s="9">
        <v>1.7</v>
      </c>
      <c r="N40" s="9">
        <v>0</v>
      </c>
      <c r="O40" s="9">
        <f t="shared" si="7"/>
        <v>1.7</v>
      </c>
      <c r="P40" s="9">
        <v>1.6</v>
      </c>
      <c r="Q40" s="9">
        <f t="shared" si="8"/>
        <v>1.7</v>
      </c>
      <c r="R40" s="9">
        <f t="shared" si="9"/>
        <v>1.9</v>
      </c>
      <c r="S40" s="9">
        <f t="shared" si="1"/>
        <v>0.48</v>
      </c>
      <c r="T40" s="9">
        <v>1.6</v>
      </c>
      <c r="U40" s="9">
        <f t="shared" si="2"/>
        <v>1.7</v>
      </c>
      <c r="V40" s="9">
        <f>Sheet1!E42</f>
        <v>1717.63</v>
      </c>
      <c r="W40" s="9">
        <f>Sheet1!G42</f>
        <v>1717.08</v>
      </c>
      <c r="X40" s="14">
        <f t="shared" si="3"/>
        <v>1717.9499999999998</v>
      </c>
      <c r="Y40" s="9"/>
    </row>
    <row r="41" spans="2:25">
      <c r="B41" s="9"/>
      <c r="C41" s="10">
        <f>Sheet1!C43</f>
        <v>1150</v>
      </c>
      <c r="D41" s="9">
        <f t="shared" si="0"/>
        <v>3.75</v>
      </c>
      <c r="E41" s="9">
        <v>3</v>
      </c>
      <c r="F41" s="9">
        <f t="shared" si="4"/>
        <v>1.97</v>
      </c>
      <c r="G41" s="9">
        <f t="shared" si="5"/>
        <v>1.88</v>
      </c>
      <c r="H41" s="9">
        <v>1.1200000000000001</v>
      </c>
      <c r="I41" s="9">
        <v>0.87</v>
      </c>
      <c r="J41" s="9">
        <v>1.4E-2</v>
      </c>
      <c r="K41" s="9">
        <f>Sheet1!K42</f>
        <v>2E-3</v>
      </c>
      <c r="L41" s="9" t="str">
        <f t="shared" si="6"/>
        <v>1/500</v>
      </c>
      <c r="M41" s="9">
        <v>1.7</v>
      </c>
      <c r="N41" s="9">
        <v>0</v>
      </c>
      <c r="O41" s="9">
        <f t="shared" si="7"/>
        <v>1.7</v>
      </c>
      <c r="P41" s="9">
        <v>1.6</v>
      </c>
      <c r="Q41" s="9">
        <f t="shared" si="8"/>
        <v>1.7</v>
      </c>
      <c r="R41" s="9">
        <f t="shared" si="9"/>
        <v>1.9</v>
      </c>
      <c r="S41" s="9">
        <f t="shared" si="1"/>
        <v>0.48</v>
      </c>
      <c r="T41" s="9">
        <v>1.6</v>
      </c>
      <c r="U41" s="9">
        <f t="shared" si="2"/>
        <v>1.7</v>
      </c>
      <c r="V41" s="9">
        <f>Sheet1!E43</f>
        <v>1716.99</v>
      </c>
      <c r="W41" s="9">
        <f>Sheet1!G43</f>
        <v>1716.98</v>
      </c>
      <c r="X41" s="14">
        <f t="shared" si="3"/>
        <v>1717.85</v>
      </c>
      <c r="Y41" s="9"/>
    </row>
    <row r="42" spans="2:25">
      <c r="B42" s="9" t="s">
        <v>378</v>
      </c>
      <c r="C42" s="10">
        <f>Sheet1!C44</f>
        <v>1170</v>
      </c>
      <c r="D42" s="9">
        <f t="shared" si="0"/>
        <v>3.75</v>
      </c>
      <c r="E42" s="9">
        <v>3</v>
      </c>
      <c r="F42" s="9">
        <f t="shared" si="4"/>
        <v>1.97</v>
      </c>
      <c r="G42" s="9">
        <f t="shared" si="5"/>
        <v>1.88</v>
      </c>
      <c r="H42" s="9">
        <v>1.1200000000000001</v>
      </c>
      <c r="I42" s="9">
        <v>0.87</v>
      </c>
      <c r="J42" s="9">
        <v>1.4E-2</v>
      </c>
      <c r="K42" s="9">
        <f>Sheet1!K43</f>
        <v>2E-3</v>
      </c>
      <c r="L42" s="9" t="str">
        <f t="shared" si="6"/>
        <v>1/500</v>
      </c>
      <c r="M42" s="9">
        <v>1.7</v>
      </c>
      <c r="N42" s="9">
        <v>0</v>
      </c>
      <c r="O42" s="9">
        <f t="shared" si="7"/>
        <v>1.7</v>
      </c>
      <c r="P42" s="9">
        <v>1.6</v>
      </c>
      <c r="Q42" s="9">
        <f t="shared" si="8"/>
        <v>1.7</v>
      </c>
      <c r="R42" s="9">
        <f t="shared" si="9"/>
        <v>1.9</v>
      </c>
      <c r="S42" s="9">
        <f t="shared" si="1"/>
        <v>0.48</v>
      </c>
      <c r="T42" s="9">
        <v>1.6</v>
      </c>
      <c r="U42" s="9">
        <f t="shared" si="2"/>
        <v>1.7</v>
      </c>
      <c r="V42" s="9">
        <f>Sheet1!E44</f>
        <v>1716.63</v>
      </c>
      <c r="W42" s="9">
        <f>Sheet1!G44</f>
        <v>1716.94</v>
      </c>
      <c r="X42" s="14">
        <f t="shared" si="3"/>
        <v>1717.81</v>
      </c>
      <c r="Y42" s="9" t="s">
        <v>378</v>
      </c>
    </row>
    <row r="43" spans="2:25">
      <c r="B43" s="9"/>
      <c r="C43" s="10">
        <f>Sheet1!C45</f>
        <v>1173</v>
      </c>
      <c r="D43" s="9">
        <f t="shared" si="0"/>
        <v>3.75</v>
      </c>
      <c r="E43" s="9">
        <v>3</v>
      </c>
      <c r="F43" s="9">
        <f t="shared" si="4"/>
        <v>1.97</v>
      </c>
      <c r="G43" s="9">
        <f t="shared" si="5"/>
        <v>1.88</v>
      </c>
      <c r="H43" s="9">
        <v>1.1200000000000001</v>
      </c>
      <c r="I43" s="9">
        <v>0.87</v>
      </c>
      <c r="J43" s="9">
        <v>1.4E-2</v>
      </c>
      <c r="K43" s="9">
        <f>Sheet1!K44</f>
        <v>2E-3</v>
      </c>
      <c r="L43" s="9" t="str">
        <f t="shared" si="6"/>
        <v>1/500</v>
      </c>
      <c r="M43" s="9">
        <v>1.7</v>
      </c>
      <c r="N43" s="9">
        <v>0</v>
      </c>
      <c r="O43" s="9">
        <f t="shared" si="7"/>
        <v>1.7</v>
      </c>
      <c r="P43" s="9">
        <v>1.6</v>
      </c>
      <c r="Q43" s="9">
        <f t="shared" si="8"/>
        <v>1.7</v>
      </c>
      <c r="R43" s="9">
        <f t="shared" si="9"/>
        <v>1.9</v>
      </c>
      <c r="S43" s="9">
        <f t="shared" si="1"/>
        <v>0.48</v>
      </c>
      <c r="T43" s="9">
        <v>1.6</v>
      </c>
      <c r="U43" s="9">
        <f t="shared" si="2"/>
        <v>1.7</v>
      </c>
      <c r="V43" s="9">
        <f>Sheet1!E45</f>
        <v>1716.576</v>
      </c>
      <c r="W43" s="9">
        <f>Sheet1!G45</f>
        <v>1714.74</v>
      </c>
      <c r="X43" s="14">
        <f t="shared" si="3"/>
        <v>1715.61</v>
      </c>
      <c r="Y43" s="9"/>
    </row>
    <row r="44" spans="2:25">
      <c r="B44" s="9"/>
      <c r="C44" s="10">
        <f>Sheet1!C46</f>
        <v>1200</v>
      </c>
      <c r="D44" s="9">
        <f t="shared" si="0"/>
        <v>3.75</v>
      </c>
      <c r="E44" s="9">
        <v>3</v>
      </c>
      <c r="F44" s="9">
        <f t="shared" si="4"/>
        <v>1.97</v>
      </c>
      <c r="G44" s="9">
        <f t="shared" si="5"/>
        <v>1.88</v>
      </c>
      <c r="H44" s="9">
        <v>1.1200000000000001</v>
      </c>
      <c r="I44" s="9">
        <v>0.87</v>
      </c>
      <c r="J44" s="9">
        <v>1.4E-2</v>
      </c>
      <c r="K44" s="9">
        <f>Sheet1!K45</f>
        <v>2E-3</v>
      </c>
      <c r="L44" s="9" t="str">
        <f t="shared" si="6"/>
        <v>1/500</v>
      </c>
      <c r="M44" s="9">
        <v>1.7</v>
      </c>
      <c r="N44" s="9">
        <v>0</v>
      </c>
      <c r="O44" s="9">
        <f t="shared" si="7"/>
        <v>1.7</v>
      </c>
      <c r="P44" s="9">
        <v>1.6</v>
      </c>
      <c r="Q44" s="9">
        <f t="shared" si="8"/>
        <v>1.7</v>
      </c>
      <c r="R44" s="9">
        <f t="shared" si="9"/>
        <v>1.9</v>
      </c>
      <c r="S44" s="9">
        <f t="shared" si="1"/>
        <v>0.48</v>
      </c>
      <c r="T44" s="9">
        <v>1.6</v>
      </c>
      <c r="U44" s="9">
        <f t="shared" si="2"/>
        <v>1.7</v>
      </c>
      <c r="V44" s="9">
        <f>Sheet1!E46</f>
        <v>1716.1</v>
      </c>
      <c r="W44" s="9">
        <f>Sheet1!G46</f>
        <v>1714.68</v>
      </c>
      <c r="X44" s="14">
        <f t="shared" si="3"/>
        <v>1715.55</v>
      </c>
      <c r="Y44" s="9"/>
    </row>
    <row r="45" spans="2:25">
      <c r="B45" s="9"/>
      <c r="C45" s="10">
        <f>Sheet1!C47</f>
        <v>1250</v>
      </c>
      <c r="D45" s="9">
        <f t="shared" si="0"/>
        <v>3.75</v>
      </c>
      <c r="E45" s="9">
        <v>3</v>
      </c>
      <c r="F45" s="9">
        <f t="shared" si="4"/>
        <v>1.97</v>
      </c>
      <c r="G45" s="9">
        <f t="shared" si="5"/>
        <v>1.88</v>
      </c>
      <c r="H45" s="9">
        <v>1.1200000000000001</v>
      </c>
      <c r="I45" s="9">
        <v>0.87</v>
      </c>
      <c r="J45" s="9">
        <v>1.4E-2</v>
      </c>
      <c r="K45" s="9">
        <f>Sheet1!K46</f>
        <v>2E-3</v>
      </c>
      <c r="L45" s="9" t="str">
        <f t="shared" si="6"/>
        <v>1/500</v>
      </c>
      <c r="M45" s="9">
        <v>1.7</v>
      </c>
      <c r="N45" s="9">
        <v>0</v>
      </c>
      <c r="O45" s="9">
        <f t="shared" si="7"/>
        <v>1.7</v>
      </c>
      <c r="P45" s="9">
        <v>1.6</v>
      </c>
      <c r="Q45" s="9">
        <f t="shared" si="8"/>
        <v>1.7</v>
      </c>
      <c r="R45" s="9">
        <f t="shared" si="9"/>
        <v>1.9</v>
      </c>
      <c r="S45" s="9">
        <f t="shared" si="1"/>
        <v>0.48</v>
      </c>
      <c r="T45" s="9">
        <v>1.6</v>
      </c>
      <c r="U45" s="9">
        <f t="shared" si="2"/>
        <v>1.7</v>
      </c>
      <c r="V45" s="9">
        <f>Sheet1!E47</f>
        <v>1715.23</v>
      </c>
      <c r="W45" s="9">
        <f>Sheet1!G47</f>
        <v>1714.58</v>
      </c>
      <c r="X45" s="14">
        <f t="shared" si="3"/>
        <v>1715.4499999999998</v>
      </c>
      <c r="Y45" s="9"/>
    </row>
    <row r="46" spans="2:25">
      <c r="B46" s="9"/>
      <c r="C46" s="10">
        <f>Sheet1!C48</f>
        <v>1260</v>
      </c>
      <c r="D46" s="9">
        <f t="shared" si="0"/>
        <v>3.75</v>
      </c>
      <c r="E46" s="9">
        <v>3</v>
      </c>
      <c r="F46" s="9">
        <f t="shared" si="4"/>
        <v>1.97</v>
      </c>
      <c r="G46" s="9">
        <f t="shared" si="5"/>
        <v>1.88</v>
      </c>
      <c r="H46" s="9">
        <v>1.1200000000000001</v>
      </c>
      <c r="I46" s="9">
        <v>0.87</v>
      </c>
      <c r="J46" s="9">
        <v>1.4E-2</v>
      </c>
      <c r="K46" s="9">
        <f>Sheet1!K47</f>
        <v>2E-3</v>
      </c>
      <c r="L46" s="9" t="str">
        <f t="shared" si="6"/>
        <v>1/500</v>
      </c>
      <c r="M46" s="9">
        <v>1.7</v>
      </c>
      <c r="N46" s="9">
        <v>0</v>
      </c>
      <c r="O46" s="9">
        <f t="shared" si="7"/>
        <v>1.7</v>
      </c>
      <c r="P46" s="9">
        <v>1.6</v>
      </c>
      <c r="Q46" s="9">
        <f t="shared" si="8"/>
        <v>1.7</v>
      </c>
      <c r="R46" s="9">
        <f t="shared" si="9"/>
        <v>1.9</v>
      </c>
      <c r="S46" s="9">
        <f t="shared" si="1"/>
        <v>0.48</v>
      </c>
      <c r="T46" s="9">
        <v>1.6</v>
      </c>
      <c r="U46" s="9">
        <f t="shared" si="2"/>
        <v>1.7</v>
      </c>
      <c r="V46" s="9">
        <f>Sheet1!E48</f>
        <v>1715.15</v>
      </c>
      <c r="W46" s="9">
        <f>Sheet1!G48</f>
        <v>1714.56</v>
      </c>
      <c r="X46" s="14">
        <f t="shared" si="3"/>
        <v>1715.4299999999998</v>
      </c>
      <c r="Y46" s="9"/>
    </row>
    <row r="47" spans="2:25">
      <c r="B47" s="9"/>
      <c r="C47" s="10">
        <f>Sheet1!C49</f>
        <v>1300</v>
      </c>
      <c r="D47" s="9">
        <f t="shared" si="0"/>
        <v>3.75</v>
      </c>
      <c r="E47" s="9">
        <v>3</v>
      </c>
      <c r="F47" s="9">
        <f t="shared" si="4"/>
        <v>1.97</v>
      </c>
      <c r="G47" s="9">
        <f t="shared" si="5"/>
        <v>1.88</v>
      </c>
      <c r="H47" s="9">
        <v>1.1200000000000001</v>
      </c>
      <c r="I47" s="9">
        <v>0.87</v>
      </c>
      <c r="J47" s="9">
        <v>1.4E-2</v>
      </c>
      <c r="K47" s="9">
        <f>Sheet1!K48</f>
        <v>2E-3</v>
      </c>
      <c r="L47" s="9" t="str">
        <f t="shared" si="6"/>
        <v>1/500</v>
      </c>
      <c r="M47" s="9">
        <v>1.7</v>
      </c>
      <c r="N47" s="9">
        <v>0</v>
      </c>
      <c r="O47" s="9">
        <f t="shared" si="7"/>
        <v>1.7</v>
      </c>
      <c r="P47" s="9">
        <v>1.6</v>
      </c>
      <c r="Q47" s="9">
        <f t="shared" si="8"/>
        <v>1.7</v>
      </c>
      <c r="R47" s="9">
        <f t="shared" si="9"/>
        <v>1.9</v>
      </c>
      <c r="S47" s="9">
        <f t="shared" si="1"/>
        <v>0.48</v>
      </c>
      <c r="T47" s="9">
        <v>1.6</v>
      </c>
      <c r="U47" s="9">
        <f t="shared" si="2"/>
        <v>1.7</v>
      </c>
      <c r="V47" s="9">
        <f>Sheet1!E49</f>
        <v>1714.71</v>
      </c>
      <c r="W47" s="9">
        <f>Sheet1!G49</f>
        <v>1714.48</v>
      </c>
      <c r="X47" s="14">
        <f t="shared" si="3"/>
        <v>1715.35</v>
      </c>
      <c r="Y47" s="9"/>
    </row>
    <row r="48" spans="2:25">
      <c r="B48" s="9"/>
      <c r="C48" s="10">
        <f>Sheet1!C50</f>
        <v>1350</v>
      </c>
      <c r="D48" s="9">
        <f t="shared" si="0"/>
        <v>3.75</v>
      </c>
      <c r="E48" s="9">
        <v>3</v>
      </c>
      <c r="F48" s="9">
        <f t="shared" si="4"/>
        <v>1.97</v>
      </c>
      <c r="G48" s="9">
        <f t="shared" si="5"/>
        <v>1.88</v>
      </c>
      <c r="H48" s="9">
        <v>1.1200000000000001</v>
      </c>
      <c r="I48" s="9">
        <v>0.87</v>
      </c>
      <c r="J48" s="9">
        <v>1.4E-2</v>
      </c>
      <c r="K48" s="9">
        <f>Sheet1!K49</f>
        <v>2E-3</v>
      </c>
      <c r="L48" s="9" t="str">
        <f t="shared" si="6"/>
        <v>1/500</v>
      </c>
      <c r="M48" s="9">
        <v>1.7</v>
      </c>
      <c r="N48" s="9">
        <v>0</v>
      </c>
      <c r="O48" s="9">
        <f t="shared" si="7"/>
        <v>1.7</v>
      </c>
      <c r="P48" s="9">
        <v>1.6</v>
      </c>
      <c r="Q48" s="9">
        <f t="shared" si="8"/>
        <v>1.7</v>
      </c>
      <c r="R48" s="9">
        <f t="shared" si="9"/>
        <v>1.9</v>
      </c>
      <c r="S48" s="9">
        <f t="shared" si="1"/>
        <v>0.48</v>
      </c>
      <c r="T48" s="9">
        <v>1.6</v>
      </c>
      <c r="U48" s="9">
        <f t="shared" si="2"/>
        <v>1.7</v>
      </c>
      <c r="V48" s="9">
        <f>Sheet1!E50</f>
        <v>1714.16</v>
      </c>
      <c r="W48" s="9">
        <f>Sheet1!G50</f>
        <v>1714.38</v>
      </c>
      <c r="X48" s="14">
        <f t="shared" si="3"/>
        <v>1715.25</v>
      </c>
      <c r="Y48" s="9"/>
    </row>
    <row r="49" spans="2:25">
      <c r="B49" s="9" t="s">
        <v>379</v>
      </c>
      <c r="C49" s="10">
        <f>Sheet1!C51</f>
        <v>1360</v>
      </c>
      <c r="D49" s="9">
        <f t="shared" si="0"/>
        <v>3.75</v>
      </c>
      <c r="E49" s="9">
        <v>3</v>
      </c>
      <c r="F49" s="9">
        <f t="shared" si="4"/>
        <v>1.97</v>
      </c>
      <c r="G49" s="9">
        <f t="shared" si="5"/>
        <v>1.88</v>
      </c>
      <c r="H49" s="9">
        <v>1.1200000000000001</v>
      </c>
      <c r="I49" s="9">
        <v>0.87</v>
      </c>
      <c r="J49" s="9">
        <v>1.4E-2</v>
      </c>
      <c r="K49" s="9">
        <f>Sheet1!K50</f>
        <v>2E-3</v>
      </c>
      <c r="L49" s="9" t="str">
        <f t="shared" si="6"/>
        <v>1/500</v>
      </c>
      <c r="M49" s="9">
        <v>1.7</v>
      </c>
      <c r="N49" s="9">
        <v>0</v>
      </c>
      <c r="O49" s="9">
        <f t="shared" si="7"/>
        <v>1.7</v>
      </c>
      <c r="P49" s="9">
        <v>1.6</v>
      </c>
      <c r="Q49" s="9">
        <f t="shared" si="8"/>
        <v>1.7</v>
      </c>
      <c r="R49" s="9">
        <f t="shared" si="9"/>
        <v>1.9</v>
      </c>
      <c r="S49" s="9">
        <f t="shared" si="1"/>
        <v>0.48</v>
      </c>
      <c r="T49" s="9">
        <v>1.6</v>
      </c>
      <c r="U49" s="9">
        <f t="shared" si="2"/>
        <v>1.7</v>
      </c>
      <c r="V49" s="9">
        <f>Sheet1!E51</f>
        <v>1714.0500000000002</v>
      </c>
      <c r="W49" s="9">
        <f>Sheet1!G51</f>
        <v>1714.36</v>
      </c>
      <c r="X49" s="14">
        <f t="shared" si="3"/>
        <v>1715.2299999999998</v>
      </c>
      <c r="Y49" s="9" t="s">
        <v>379</v>
      </c>
    </row>
    <row r="50" spans="2:25">
      <c r="B50" s="9"/>
      <c r="C50" s="10">
        <f>Sheet1!C52</f>
        <v>1363</v>
      </c>
      <c r="D50" s="9">
        <f t="shared" si="0"/>
        <v>3.75</v>
      </c>
      <c r="E50" s="9">
        <v>3</v>
      </c>
      <c r="F50" s="9">
        <f t="shared" si="4"/>
        <v>1.97</v>
      </c>
      <c r="G50" s="9">
        <f t="shared" si="5"/>
        <v>1.88</v>
      </c>
      <c r="H50" s="9">
        <v>1.1200000000000001</v>
      </c>
      <c r="I50" s="9">
        <v>0.87</v>
      </c>
      <c r="J50" s="9">
        <v>1.4E-2</v>
      </c>
      <c r="K50" s="9">
        <f>Sheet1!K51</f>
        <v>2E-3</v>
      </c>
      <c r="L50" s="9" t="str">
        <f t="shared" si="6"/>
        <v>1/500</v>
      </c>
      <c r="M50" s="9">
        <v>1.7</v>
      </c>
      <c r="N50" s="9">
        <v>0</v>
      </c>
      <c r="O50" s="9">
        <f t="shared" si="7"/>
        <v>1.7</v>
      </c>
      <c r="P50" s="9">
        <v>1.6</v>
      </c>
      <c r="Q50" s="9">
        <f t="shared" si="8"/>
        <v>1.7</v>
      </c>
      <c r="R50" s="9">
        <f t="shared" si="9"/>
        <v>1.9</v>
      </c>
      <c r="S50" s="9">
        <f t="shared" si="1"/>
        <v>0.48</v>
      </c>
      <c r="T50" s="9">
        <v>1.6</v>
      </c>
      <c r="U50" s="9">
        <f t="shared" si="2"/>
        <v>1.7</v>
      </c>
      <c r="V50" s="9">
        <f>Sheet1!E52</f>
        <v>1714</v>
      </c>
      <c r="W50" s="9">
        <f>Sheet1!G52</f>
        <v>1712.1599999999999</v>
      </c>
      <c r="X50" s="14">
        <f t="shared" si="3"/>
        <v>1713.0299999999997</v>
      </c>
      <c r="Y50" s="9"/>
    </row>
    <row r="51" spans="2:25">
      <c r="B51" s="9"/>
      <c r="C51" s="10">
        <f>Sheet1!C53</f>
        <v>1400</v>
      </c>
      <c r="D51" s="9">
        <f t="shared" si="0"/>
        <v>3.75</v>
      </c>
      <c r="E51" s="9">
        <v>3</v>
      </c>
      <c r="F51" s="9">
        <f t="shared" si="4"/>
        <v>1.97</v>
      </c>
      <c r="G51" s="9">
        <f t="shared" si="5"/>
        <v>1.88</v>
      </c>
      <c r="H51" s="9">
        <v>1.1200000000000001</v>
      </c>
      <c r="I51" s="9">
        <v>0.87</v>
      </c>
      <c r="J51" s="9">
        <v>1.4E-2</v>
      </c>
      <c r="K51" s="9">
        <f>Sheet1!K52</f>
        <v>2E-3</v>
      </c>
      <c r="L51" s="9" t="str">
        <f t="shared" si="6"/>
        <v>1/500</v>
      </c>
      <c r="M51" s="9">
        <v>1.7</v>
      </c>
      <c r="N51" s="9">
        <v>0</v>
      </c>
      <c r="O51" s="9">
        <f t="shared" si="7"/>
        <v>1.7</v>
      </c>
      <c r="P51" s="9">
        <v>1.6</v>
      </c>
      <c r="Q51" s="9">
        <f t="shared" si="8"/>
        <v>1.7</v>
      </c>
      <c r="R51" s="9">
        <f t="shared" si="9"/>
        <v>1.9</v>
      </c>
      <c r="S51" s="9">
        <f t="shared" si="1"/>
        <v>0.48</v>
      </c>
      <c r="T51" s="9">
        <v>1.6</v>
      </c>
      <c r="U51" s="9">
        <f t="shared" si="2"/>
        <v>1.7</v>
      </c>
      <c r="V51" s="9">
        <f>Sheet1!E53</f>
        <v>1713.6100000000001</v>
      </c>
      <c r="W51" s="9">
        <f>Sheet1!G53</f>
        <v>1712.08</v>
      </c>
      <c r="X51" s="14">
        <f t="shared" si="3"/>
        <v>1712.9499999999998</v>
      </c>
      <c r="Y51" s="9"/>
    </row>
    <row r="52" spans="2:25">
      <c r="B52" s="9"/>
      <c r="C52" s="10">
        <f>Sheet1!C54</f>
        <v>1450</v>
      </c>
      <c r="D52" s="9">
        <f t="shared" si="0"/>
        <v>3.75</v>
      </c>
      <c r="E52" s="9">
        <v>3</v>
      </c>
      <c r="F52" s="9">
        <f t="shared" si="4"/>
        <v>1.97</v>
      </c>
      <c r="G52" s="9">
        <f t="shared" si="5"/>
        <v>1.88</v>
      </c>
      <c r="H52" s="9">
        <v>1.1200000000000001</v>
      </c>
      <c r="I52" s="9">
        <v>0.87</v>
      </c>
      <c r="J52" s="9">
        <v>1.4E-2</v>
      </c>
      <c r="K52" s="9">
        <f>Sheet1!K53</f>
        <v>2E-3</v>
      </c>
      <c r="L52" s="9" t="str">
        <f t="shared" si="6"/>
        <v>1/500</v>
      </c>
      <c r="M52" s="9">
        <v>1.7</v>
      </c>
      <c r="N52" s="9">
        <v>0</v>
      </c>
      <c r="O52" s="9">
        <f t="shared" si="7"/>
        <v>1.7</v>
      </c>
      <c r="P52" s="9">
        <v>1.6</v>
      </c>
      <c r="Q52" s="9">
        <f t="shared" si="8"/>
        <v>1.7</v>
      </c>
      <c r="R52" s="9">
        <f t="shared" si="9"/>
        <v>1.9</v>
      </c>
      <c r="S52" s="9">
        <f t="shared" si="1"/>
        <v>0.48</v>
      </c>
      <c r="T52" s="9">
        <v>1.6</v>
      </c>
      <c r="U52" s="9">
        <f t="shared" si="2"/>
        <v>1.7</v>
      </c>
      <c r="V52" s="9">
        <f>Sheet1!E54</f>
        <v>1712.89</v>
      </c>
      <c r="W52" s="9">
        <f>Sheet1!G54</f>
        <v>1711.98</v>
      </c>
      <c r="X52" s="14">
        <f t="shared" si="3"/>
        <v>1712.85</v>
      </c>
      <c r="Y52" s="9"/>
    </row>
    <row r="53" spans="2:25">
      <c r="B53" s="9"/>
      <c r="C53" s="10">
        <f>Sheet1!C55</f>
        <v>1500</v>
      </c>
      <c r="D53" s="9">
        <f t="shared" si="0"/>
        <v>3.75</v>
      </c>
      <c r="E53" s="9">
        <v>3</v>
      </c>
      <c r="F53" s="9">
        <f t="shared" si="4"/>
        <v>1.97</v>
      </c>
      <c r="G53" s="9">
        <f t="shared" si="5"/>
        <v>1.88</v>
      </c>
      <c r="H53" s="9">
        <v>1.1200000000000001</v>
      </c>
      <c r="I53" s="9">
        <v>0.87</v>
      </c>
      <c r="J53" s="9">
        <v>1.4E-2</v>
      </c>
      <c r="K53" s="9">
        <f>Sheet1!K54</f>
        <v>2E-3</v>
      </c>
      <c r="L53" s="9" t="str">
        <f t="shared" si="6"/>
        <v>1/500</v>
      </c>
      <c r="M53" s="9">
        <v>1.7</v>
      </c>
      <c r="N53" s="9">
        <v>0</v>
      </c>
      <c r="O53" s="9">
        <f t="shared" si="7"/>
        <v>1.7</v>
      </c>
      <c r="P53" s="9">
        <v>1.6</v>
      </c>
      <c r="Q53" s="9">
        <f t="shared" si="8"/>
        <v>1.7</v>
      </c>
      <c r="R53" s="9">
        <f t="shared" si="9"/>
        <v>1.9</v>
      </c>
      <c r="S53" s="9">
        <f t="shared" si="1"/>
        <v>0.48</v>
      </c>
      <c r="T53" s="9">
        <v>1.6</v>
      </c>
      <c r="U53" s="9">
        <f t="shared" si="2"/>
        <v>1.7</v>
      </c>
      <c r="V53" s="9">
        <f>Sheet1!E55</f>
        <v>1712.33</v>
      </c>
      <c r="W53" s="9">
        <f>Sheet1!G55</f>
        <v>1711.88</v>
      </c>
      <c r="X53" s="14">
        <f t="shared" si="3"/>
        <v>1712.75</v>
      </c>
      <c r="Y53" s="9"/>
    </row>
    <row r="54" spans="2:25">
      <c r="B54" s="9"/>
      <c r="C54" s="10">
        <f>Sheet1!C56</f>
        <v>1510</v>
      </c>
      <c r="D54" s="9">
        <f t="shared" si="0"/>
        <v>3.75</v>
      </c>
      <c r="E54" s="9">
        <v>3</v>
      </c>
      <c r="F54" s="9">
        <f t="shared" si="4"/>
        <v>1.97</v>
      </c>
      <c r="G54" s="9">
        <f t="shared" si="5"/>
        <v>1.88</v>
      </c>
      <c r="H54" s="9">
        <v>1.1200000000000001</v>
      </c>
      <c r="I54" s="9">
        <v>0.87</v>
      </c>
      <c r="J54" s="9">
        <v>1.4E-2</v>
      </c>
      <c r="K54" s="9">
        <f>Sheet1!K55</f>
        <v>2E-3</v>
      </c>
      <c r="L54" s="9" t="str">
        <f t="shared" si="6"/>
        <v>1/500</v>
      </c>
      <c r="M54" s="9">
        <v>1.7</v>
      </c>
      <c r="N54" s="9">
        <v>0</v>
      </c>
      <c r="O54" s="9">
        <f t="shared" si="7"/>
        <v>1.7</v>
      </c>
      <c r="P54" s="9">
        <v>1.6</v>
      </c>
      <c r="Q54" s="9">
        <f t="shared" si="8"/>
        <v>1.7</v>
      </c>
      <c r="R54" s="9">
        <f t="shared" si="9"/>
        <v>1.9</v>
      </c>
      <c r="S54" s="9">
        <f t="shared" si="1"/>
        <v>0.48</v>
      </c>
      <c r="T54" s="9">
        <v>1.6</v>
      </c>
      <c r="U54" s="9">
        <f t="shared" si="2"/>
        <v>1.7</v>
      </c>
      <c r="V54" s="9">
        <f>Sheet1!E56</f>
        <v>1712.29</v>
      </c>
      <c r="W54" s="9">
        <f>Sheet1!G56</f>
        <v>1711.86</v>
      </c>
      <c r="X54" s="14">
        <f t="shared" si="3"/>
        <v>1712.7299999999998</v>
      </c>
      <c r="Y54" s="9"/>
    </row>
    <row r="55" spans="2:25">
      <c r="B55" s="9"/>
      <c r="C55" s="10">
        <f>Sheet1!C57</f>
        <v>1600</v>
      </c>
      <c r="D55" s="9">
        <f t="shared" si="0"/>
        <v>3.75</v>
      </c>
      <c r="E55" s="9">
        <v>3</v>
      </c>
      <c r="F55" s="9">
        <f t="shared" si="4"/>
        <v>1.97</v>
      </c>
      <c r="G55" s="9">
        <f t="shared" si="5"/>
        <v>1.88</v>
      </c>
      <c r="H55" s="9">
        <v>1.1200000000000001</v>
      </c>
      <c r="I55" s="9">
        <v>0.87</v>
      </c>
      <c r="J55" s="9">
        <v>1.4E-2</v>
      </c>
      <c r="K55" s="9">
        <f>Sheet1!K56</f>
        <v>2E-3</v>
      </c>
      <c r="L55" s="9" t="str">
        <f t="shared" si="6"/>
        <v>1/500</v>
      </c>
      <c r="M55" s="9">
        <v>1.7</v>
      </c>
      <c r="N55" s="9">
        <v>0</v>
      </c>
      <c r="O55" s="9">
        <f t="shared" si="7"/>
        <v>1.7</v>
      </c>
      <c r="P55" s="9">
        <v>1.6</v>
      </c>
      <c r="Q55" s="9">
        <f t="shared" si="8"/>
        <v>1.7</v>
      </c>
      <c r="R55" s="9">
        <f t="shared" si="9"/>
        <v>1.9</v>
      </c>
      <c r="S55" s="9">
        <f t="shared" si="1"/>
        <v>0.48</v>
      </c>
      <c r="T55" s="9">
        <v>1.6</v>
      </c>
      <c r="U55" s="9">
        <f t="shared" si="2"/>
        <v>1.7</v>
      </c>
      <c r="V55" s="9">
        <f>Sheet1!E57</f>
        <v>1712.14</v>
      </c>
      <c r="W55" s="9">
        <f>Sheet1!G57</f>
        <v>1711.68</v>
      </c>
      <c r="X55" s="14">
        <f t="shared" si="3"/>
        <v>1712.55</v>
      </c>
      <c r="Y55" s="9"/>
    </row>
    <row r="56" spans="2:25">
      <c r="B56" s="9"/>
      <c r="C56" s="10">
        <f>Sheet1!C58</f>
        <v>1620</v>
      </c>
      <c r="D56" s="9">
        <f t="shared" si="0"/>
        <v>3.75</v>
      </c>
      <c r="E56" s="9">
        <v>3</v>
      </c>
      <c r="F56" s="9">
        <f t="shared" si="4"/>
        <v>1.97</v>
      </c>
      <c r="G56" s="9">
        <f t="shared" si="5"/>
        <v>1.88</v>
      </c>
      <c r="H56" s="9">
        <v>1.1200000000000001</v>
      </c>
      <c r="I56" s="9">
        <v>0.87</v>
      </c>
      <c r="J56" s="9">
        <v>1.4E-2</v>
      </c>
      <c r="K56" s="9">
        <f>Sheet1!K57</f>
        <v>2E-3</v>
      </c>
      <c r="L56" s="9" t="str">
        <f t="shared" si="6"/>
        <v>1/500</v>
      </c>
      <c r="M56" s="9">
        <v>1.7</v>
      </c>
      <c r="N56" s="9">
        <v>0</v>
      </c>
      <c r="O56" s="9">
        <f t="shared" si="7"/>
        <v>1.7</v>
      </c>
      <c r="P56" s="9">
        <v>1.6</v>
      </c>
      <c r="Q56" s="9">
        <f t="shared" si="8"/>
        <v>1.7</v>
      </c>
      <c r="R56" s="9">
        <f t="shared" si="9"/>
        <v>1.9</v>
      </c>
      <c r="S56" s="9">
        <f t="shared" si="1"/>
        <v>0.48</v>
      </c>
      <c r="T56" s="9">
        <v>1.6</v>
      </c>
      <c r="U56" s="9">
        <f t="shared" si="2"/>
        <v>1.7</v>
      </c>
      <c r="V56" s="9">
        <f>Sheet1!E58</f>
        <v>1711.62</v>
      </c>
      <c r="W56" s="9">
        <f>Sheet1!G58</f>
        <v>1711.64</v>
      </c>
      <c r="X56" s="14">
        <f t="shared" si="3"/>
        <v>1712.51</v>
      </c>
      <c r="Y56" s="9"/>
    </row>
    <row r="57" spans="2:25">
      <c r="B57" s="9" t="s">
        <v>380</v>
      </c>
      <c r="C57" s="10">
        <f>Sheet1!C59</f>
        <v>1630</v>
      </c>
      <c r="D57" s="9">
        <f t="shared" si="0"/>
        <v>3.75</v>
      </c>
      <c r="E57" s="9">
        <v>3</v>
      </c>
      <c r="F57" s="9">
        <f t="shared" si="4"/>
        <v>1.97</v>
      </c>
      <c r="G57" s="9">
        <f t="shared" si="5"/>
        <v>1.88</v>
      </c>
      <c r="H57" s="9">
        <v>1.1200000000000001</v>
      </c>
      <c r="I57" s="9">
        <v>0.87</v>
      </c>
      <c r="J57" s="9">
        <v>1.4E-2</v>
      </c>
      <c r="K57" s="9">
        <f>Sheet1!K58</f>
        <v>2E-3</v>
      </c>
      <c r="L57" s="9" t="str">
        <f t="shared" si="6"/>
        <v>1/500</v>
      </c>
      <c r="M57" s="9">
        <v>1.7</v>
      </c>
      <c r="N57" s="9">
        <v>0</v>
      </c>
      <c r="O57" s="9">
        <f t="shared" si="7"/>
        <v>1.7</v>
      </c>
      <c r="P57" s="9">
        <v>1.6</v>
      </c>
      <c r="Q57" s="9">
        <f t="shared" si="8"/>
        <v>1.7</v>
      </c>
      <c r="R57" s="9">
        <f t="shared" si="9"/>
        <v>1.9</v>
      </c>
      <c r="S57" s="9">
        <f t="shared" si="1"/>
        <v>0.48</v>
      </c>
      <c r="T57" s="9">
        <v>1.6</v>
      </c>
      <c r="U57" s="9">
        <f t="shared" si="2"/>
        <v>1.7</v>
      </c>
      <c r="V57" s="9">
        <f>Sheet1!E59</f>
        <v>1711.28</v>
      </c>
      <c r="W57" s="9">
        <f>Sheet1!G59</f>
        <v>1711.62</v>
      </c>
      <c r="X57" s="14">
        <f t="shared" si="3"/>
        <v>1712.4899999999998</v>
      </c>
      <c r="Y57" s="9" t="s">
        <v>380</v>
      </c>
    </row>
    <row r="58" spans="2:25">
      <c r="B58" s="9"/>
      <c r="C58" s="10">
        <f>Sheet1!C60</f>
        <v>1633</v>
      </c>
      <c r="D58" s="9">
        <f t="shared" si="0"/>
        <v>3.75</v>
      </c>
      <c r="E58" s="9">
        <v>3</v>
      </c>
      <c r="F58" s="9">
        <f t="shared" si="4"/>
        <v>1.97</v>
      </c>
      <c r="G58" s="9">
        <f t="shared" si="5"/>
        <v>1.88</v>
      </c>
      <c r="H58" s="9">
        <v>1.1200000000000001</v>
      </c>
      <c r="I58" s="9">
        <v>0.87</v>
      </c>
      <c r="J58" s="9">
        <v>1.4E-2</v>
      </c>
      <c r="K58" s="9">
        <f>Sheet1!K59</f>
        <v>2E-3</v>
      </c>
      <c r="L58" s="9" t="str">
        <f t="shared" si="6"/>
        <v>1/500</v>
      </c>
      <c r="M58" s="9">
        <v>1.7</v>
      </c>
      <c r="N58" s="9">
        <v>0</v>
      </c>
      <c r="O58" s="9">
        <f t="shared" si="7"/>
        <v>1.7</v>
      </c>
      <c r="P58" s="9">
        <v>1.6</v>
      </c>
      <c r="Q58" s="9">
        <f t="shared" si="8"/>
        <v>1.7</v>
      </c>
      <c r="R58" s="9">
        <f t="shared" si="9"/>
        <v>1.9</v>
      </c>
      <c r="S58" s="9">
        <f t="shared" si="1"/>
        <v>0.48</v>
      </c>
      <c r="T58" s="9">
        <v>1.6</v>
      </c>
      <c r="U58" s="9">
        <f t="shared" si="2"/>
        <v>1.7</v>
      </c>
      <c r="V58" s="9">
        <f>Sheet1!E60</f>
        <v>1711.28</v>
      </c>
      <c r="W58" s="9">
        <f>Sheet1!G60</f>
        <v>1709.4199999999998</v>
      </c>
      <c r="X58" s="14">
        <f t="shared" si="3"/>
        <v>1710.2899999999997</v>
      </c>
      <c r="Y58" s="9"/>
    </row>
    <row r="59" spans="2:25">
      <c r="B59" s="9"/>
      <c r="C59" s="10">
        <f>Sheet1!C61</f>
        <v>1650</v>
      </c>
      <c r="D59" s="9">
        <f t="shared" si="0"/>
        <v>3.75</v>
      </c>
      <c r="E59" s="9">
        <v>3</v>
      </c>
      <c r="F59" s="9">
        <f t="shared" si="4"/>
        <v>1.97</v>
      </c>
      <c r="G59" s="9">
        <f t="shared" si="5"/>
        <v>1.88</v>
      </c>
      <c r="H59" s="9">
        <v>1.1200000000000001</v>
      </c>
      <c r="I59" s="9">
        <v>0.87</v>
      </c>
      <c r="J59" s="9">
        <v>1.4E-2</v>
      </c>
      <c r="K59" s="9">
        <f>Sheet1!K60</f>
        <v>2E-3</v>
      </c>
      <c r="L59" s="9" t="str">
        <f t="shared" si="6"/>
        <v>1/500</v>
      </c>
      <c r="M59" s="9">
        <v>1.7</v>
      </c>
      <c r="N59" s="9">
        <v>0</v>
      </c>
      <c r="O59" s="9">
        <f t="shared" si="7"/>
        <v>1.7</v>
      </c>
      <c r="P59" s="9">
        <v>1.6</v>
      </c>
      <c r="Q59" s="9">
        <f t="shared" si="8"/>
        <v>1.7</v>
      </c>
      <c r="R59" s="9">
        <f t="shared" si="9"/>
        <v>1.9</v>
      </c>
      <c r="S59" s="9">
        <f t="shared" si="1"/>
        <v>0.48</v>
      </c>
      <c r="T59" s="9">
        <v>1.6</v>
      </c>
      <c r="U59" s="9">
        <f t="shared" si="2"/>
        <v>1.7</v>
      </c>
      <c r="V59" s="9">
        <f>Sheet1!E61</f>
        <v>1710.69</v>
      </c>
      <c r="W59" s="9">
        <f>Sheet1!G61</f>
        <v>1709.38</v>
      </c>
      <c r="X59" s="14">
        <f t="shared" si="3"/>
        <v>1710.25</v>
      </c>
      <c r="Y59" s="9"/>
    </row>
    <row r="60" spans="2:25">
      <c r="B60" s="9"/>
      <c r="C60" s="10">
        <f>Sheet1!C62</f>
        <v>1700</v>
      </c>
      <c r="D60" s="9">
        <f t="shared" si="0"/>
        <v>3.75</v>
      </c>
      <c r="E60" s="9">
        <v>3</v>
      </c>
      <c r="F60" s="9">
        <f t="shared" si="4"/>
        <v>1.97</v>
      </c>
      <c r="G60" s="9">
        <f t="shared" si="5"/>
        <v>1.88</v>
      </c>
      <c r="H60" s="9">
        <v>1.1200000000000001</v>
      </c>
      <c r="I60" s="9">
        <v>0.87</v>
      </c>
      <c r="J60" s="9">
        <v>1.4E-2</v>
      </c>
      <c r="K60" s="9">
        <f>Sheet1!K61</f>
        <v>2E-3</v>
      </c>
      <c r="L60" s="9" t="str">
        <f t="shared" si="6"/>
        <v>1/500</v>
      </c>
      <c r="M60" s="9">
        <v>1.7</v>
      </c>
      <c r="N60" s="9">
        <v>0</v>
      </c>
      <c r="O60" s="9">
        <f t="shared" si="7"/>
        <v>1.7</v>
      </c>
      <c r="P60" s="9">
        <v>1.6</v>
      </c>
      <c r="Q60" s="9">
        <f t="shared" si="8"/>
        <v>1.7</v>
      </c>
      <c r="R60" s="9">
        <f t="shared" si="9"/>
        <v>1.9</v>
      </c>
      <c r="S60" s="9">
        <f t="shared" si="1"/>
        <v>0.48</v>
      </c>
      <c r="T60" s="9">
        <v>1.6</v>
      </c>
      <c r="U60" s="9">
        <f t="shared" si="2"/>
        <v>1.7</v>
      </c>
      <c r="V60" s="9">
        <f>Sheet1!E62</f>
        <v>1710.01</v>
      </c>
      <c r="W60" s="9">
        <f>Sheet1!G62</f>
        <v>1709.28</v>
      </c>
      <c r="X60" s="14">
        <f t="shared" si="3"/>
        <v>1710.1499999999999</v>
      </c>
      <c r="Y60" s="9"/>
    </row>
    <row r="61" spans="2:25">
      <c r="B61" s="9"/>
      <c r="C61" s="10">
        <f>Sheet1!C63</f>
        <v>1800</v>
      </c>
      <c r="D61" s="9">
        <f t="shared" si="0"/>
        <v>3.75</v>
      </c>
      <c r="E61" s="9">
        <v>3</v>
      </c>
      <c r="F61" s="9">
        <f t="shared" si="4"/>
        <v>1.97</v>
      </c>
      <c r="G61" s="9">
        <f t="shared" si="5"/>
        <v>1.88</v>
      </c>
      <c r="H61" s="9">
        <v>1.1200000000000001</v>
      </c>
      <c r="I61" s="9">
        <v>0.87</v>
      </c>
      <c r="J61" s="9">
        <v>1.4E-2</v>
      </c>
      <c r="K61" s="9">
        <f>Sheet1!K62</f>
        <v>2E-3</v>
      </c>
      <c r="L61" s="9" t="str">
        <f t="shared" si="6"/>
        <v>1/500</v>
      </c>
      <c r="M61" s="9">
        <v>1.7</v>
      </c>
      <c r="N61" s="9">
        <v>0</v>
      </c>
      <c r="O61" s="9">
        <f t="shared" si="7"/>
        <v>1.7</v>
      </c>
      <c r="P61" s="9">
        <v>1.6</v>
      </c>
      <c r="Q61" s="9">
        <f t="shared" si="8"/>
        <v>1.7</v>
      </c>
      <c r="R61" s="9">
        <f t="shared" si="9"/>
        <v>1.9</v>
      </c>
      <c r="S61" s="9">
        <f t="shared" si="1"/>
        <v>0.48</v>
      </c>
      <c r="T61" s="9">
        <v>1.6</v>
      </c>
      <c r="U61" s="9">
        <f t="shared" si="2"/>
        <v>1.7</v>
      </c>
      <c r="V61" s="9">
        <f>Sheet1!E63</f>
        <v>1709.22</v>
      </c>
      <c r="W61" s="9">
        <f>Sheet1!G63</f>
        <v>1709.08</v>
      </c>
      <c r="X61" s="14">
        <f t="shared" si="3"/>
        <v>1709.9499999999998</v>
      </c>
      <c r="Y61" s="9"/>
    </row>
    <row r="62" spans="2:25">
      <c r="B62" s="9" t="s">
        <v>381</v>
      </c>
      <c r="C62" s="10">
        <f>Sheet1!C64</f>
        <v>1850</v>
      </c>
      <c r="D62" s="9">
        <f t="shared" si="0"/>
        <v>3.75</v>
      </c>
      <c r="E62" s="9">
        <v>3</v>
      </c>
      <c r="F62" s="9">
        <f t="shared" si="4"/>
        <v>1.97</v>
      </c>
      <c r="G62" s="9">
        <f t="shared" si="5"/>
        <v>1.88</v>
      </c>
      <c r="H62" s="9">
        <v>1.1200000000000001</v>
      </c>
      <c r="I62" s="9">
        <v>0.87</v>
      </c>
      <c r="J62" s="9">
        <v>1.4E-2</v>
      </c>
      <c r="K62" s="9">
        <f>Sheet1!K63</f>
        <v>2E-3</v>
      </c>
      <c r="L62" s="9" t="str">
        <f t="shared" si="6"/>
        <v>1/500</v>
      </c>
      <c r="M62" s="9">
        <v>1.7</v>
      </c>
      <c r="N62" s="9">
        <v>0</v>
      </c>
      <c r="O62" s="9">
        <f t="shared" si="7"/>
        <v>1.7</v>
      </c>
      <c r="P62" s="9">
        <v>1.6</v>
      </c>
      <c r="Q62" s="9">
        <f t="shared" si="8"/>
        <v>1.7</v>
      </c>
      <c r="R62" s="9">
        <f t="shared" si="9"/>
        <v>1.9</v>
      </c>
      <c r="S62" s="9">
        <f t="shared" si="1"/>
        <v>0.48</v>
      </c>
      <c r="T62" s="9">
        <v>1.6</v>
      </c>
      <c r="U62" s="9">
        <f t="shared" si="2"/>
        <v>1.7</v>
      </c>
      <c r="V62" s="9">
        <f>Sheet1!E64</f>
        <v>1708.66</v>
      </c>
      <c r="W62" s="9">
        <f>Sheet1!G64</f>
        <v>1708.98</v>
      </c>
      <c r="X62" s="14">
        <f t="shared" si="3"/>
        <v>1709.85</v>
      </c>
      <c r="Y62" s="9" t="s">
        <v>381</v>
      </c>
    </row>
    <row r="63" spans="2:25">
      <c r="B63" s="9"/>
      <c r="C63" s="10">
        <f>Sheet1!C65</f>
        <v>1853</v>
      </c>
      <c r="D63" s="9">
        <f t="shared" si="0"/>
        <v>3.75</v>
      </c>
      <c r="E63" s="9">
        <v>3</v>
      </c>
      <c r="F63" s="9">
        <f t="shared" si="4"/>
        <v>1.97</v>
      </c>
      <c r="G63" s="9">
        <f t="shared" si="5"/>
        <v>1.88</v>
      </c>
      <c r="H63" s="9">
        <v>1.1200000000000001</v>
      </c>
      <c r="I63" s="9">
        <v>0.87</v>
      </c>
      <c r="J63" s="9">
        <v>1.4E-2</v>
      </c>
      <c r="K63" s="9">
        <f>Sheet1!K64</f>
        <v>2E-3</v>
      </c>
      <c r="L63" s="9" t="str">
        <f t="shared" si="6"/>
        <v>1/500</v>
      </c>
      <c r="M63" s="9">
        <v>1.7</v>
      </c>
      <c r="N63" s="9">
        <v>0</v>
      </c>
      <c r="O63" s="9">
        <f t="shared" si="7"/>
        <v>1.7</v>
      </c>
      <c r="P63" s="9">
        <v>1.6</v>
      </c>
      <c r="Q63" s="9">
        <f t="shared" si="8"/>
        <v>1.7</v>
      </c>
      <c r="R63" s="9">
        <f t="shared" si="9"/>
        <v>1.9</v>
      </c>
      <c r="S63" s="9">
        <f t="shared" si="1"/>
        <v>0.48</v>
      </c>
      <c r="T63" s="9">
        <v>1.6</v>
      </c>
      <c r="U63" s="9">
        <f t="shared" si="2"/>
        <v>1.7</v>
      </c>
      <c r="V63" s="9">
        <f>Sheet1!E65</f>
        <v>1708.66</v>
      </c>
      <c r="W63" s="9">
        <f>Sheet1!G65</f>
        <v>1706.78</v>
      </c>
      <c r="X63" s="14">
        <f t="shared" si="3"/>
        <v>1707.6499999999999</v>
      </c>
      <c r="Y63" s="9"/>
    </row>
    <row r="64" spans="2:25">
      <c r="B64" s="9"/>
      <c r="C64" s="10">
        <f>Sheet1!C66</f>
        <v>1900</v>
      </c>
      <c r="D64" s="9">
        <f t="shared" si="0"/>
        <v>3.75</v>
      </c>
      <c r="E64" s="9">
        <v>3</v>
      </c>
      <c r="F64" s="9">
        <f t="shared" si="4"/>
        <v>1.97</v>
      </c>
      <c r="G64" s="9">
        <f t="shared" si="5"/>
        <v>1.88</v>
      </c>
      <c r="H64" s="9">
        <v>1.1200000000000001</v>
      </c>
      <c r="I64" s="9">
        <v>0.87</v>
      </c>
      <c r="J64" s="9">
        <v>1.4E-2</v>
      </c>
      <c r="K64" s="9">
        <f>Sheet1!K65</f>
        <v>2E-3</v>
      </c>
      <c r="L64" s="9" t="str">
        <f t="shared" si="6"/>
        <v>1/500</v>
      </c>
      <c r="M64" s="9">
        <v>1.7</v>
      </c>
      <c r="N64" s="9">
        <v>0</v>
      </c>
      <c r="O64" s="9">
        <f t="shared" si="7"/>
        <v>1.7</v>
      </c>
      <c r="P64" s="9">
        <v>1.6</v>
      </c>
      <c r="Q64" s="9">
        <f t="shared" si="8"/>
        <v>1.7</v>
      </c>
      <c r="R64" s="9">
        <f t="shared" si="9"/>
        <v>1.9</v>
      </c>
      <c r="S64" s="9">
        <f t="shared" si="1"/>
        <v>0.48</v>
      </c>
      <c r="T64" s="9">
        <v>1.6</v>
      </c>
      <c r="U64" s="9">
        <f t="shared" si="2"/>
        <v>1.7</v>
      </c>
      <c r="V64" s="9">
        <f>Sheet1!E66</f>
        <v>1708.09</v>
      </c>
      <c r="W64" s="9">
        <f>Sheet1!G66</f>
        <v>1706.68</v>
      </c>
      <c r="X64" s="14">
        <f t="shared" si="3"/>
        <v>1707.55</v>
      </c>
      <c r="Y64" s="9"/>
    </row>
    <row r="65" spans="2:25">
      <c r="B65" s="9"/>
      <c r="C65" s="10">
        <f>Sheet1!C67</f>
        <v>1950</v>
      </c>
      <c r="D65" s="9">
        <f t="shared" si="0"/>
        <v>3.75</v>
      </c>
      <c r="E65" s="9">
        <v>3</v>
      </c>
      <c r="F65" s="9">
        <f t="shared" si="4"/>
        <v>1.97</v>
      </c>
      <c r="G65" s="9">
        <f t="shared" si="5"/>
        <v>1.88</v>
      </c>
      <c r="H65" s="9">
        <v>1.1200000000000001</v>
      </c>
      <c r="I65" s="9">
        <v>0.87</v>
      </c>
      <c r="J65" s="9">
        <v>1.4E-2</v>
      </c>
      <c r="K65" s="9">
        <f>Sheet1!K66</f>
        <v>2E-3</v>
      </c>
      <c r="L65" s="9" t="str">
        <f t="shared" si="6"/>
        <v>1/500</v>
      </c>
      <c r="M65" s="9">
        <v>1.7</v>
      </c>
      <c r="N65" s="9">
        <v>0</v>
      </c>
      <c r="O65" s="9">
        <f t="shared" si="7"/>
        <v>1.7</v>
      </c>
      <c r="P65" s="9">
        <v>1.6</v>
      </c>
      <c r="Q65" s="9">
        <f t="shared" si="8"/>
        <v>1.7</v>
      </c>
      <c r="R65" s="9">
        <f t="shared" si="9"/>
        <v>1.9</v>
      </c>
      <c r="S65" s="9">
        <f t="shared" si="1"/>
        <v>0.48</v>
      </c>
      <c r="T65" s="9">
        <v>1.6</v>
      </c>
      <c r="U65" s="9">
        <f t="shared" si="2"/>
        <v>1.7</v>
      </c>
      <c r="V65" s="9">
        <f>Sheet1!E67</f>
        <v>1708.21</v>
      </c>
      <c r="W65" s="9">
        <f>Sheet1!G67</f>
        <v>1706.58</v>
      </c>
      <c r="X65" s="14">
        <f t="shared" si="3"/>
        <v>1707.4499999999998</v>
      </c>
      <c r="Y65" s="9"/>
    </row>
    <row r="66" spans="2:25">
      <c r="B66" s="9"/>
      <c r="C66" s="10">
        <f>Sheet1!C68</f>
        <v>2000</v>
      </c>
      <c r="D66" s="9">
        <f t="shared" si="0"/>
        <v>3.75</v>
      </c>
      <c r="E66" s="9">
        <v>3</v>
      </c>
      <c r="F66" s="9">
        <f t="shared" si="4"/>
        <v>1.97</v>
      </c>
      <c r="G66" s="9">
        <f t="shared" si="5"/>
        <v>1.88</v>
      </c>
      <c r="H66" s="9">
        <v>1.1200000000000001</v>
      </c>
      <c r="I66" s="9">
        <v>0.87</v>
      </c>
      <c r="J66" s="9">
        <v>1.4E-2</v>
      </c>
      <c r="K66" s="9">
        <f>Sheet1!K67</f>
        <v>2E-3</v>
      </c>
      <c r="L66" s="9" t="str">
        <f t="shared" si="6"/>
        <v>1/500</v>
      </c>
      <c r="M66" s="9">
        <v>1.7</v>
      </c>
      <c r="N66" s="9">
        <v>0</v>
      </c>
      <c r="O66" s="9">
        <f t="shared" si="7"/>
        <v>1.7</v>
      </c>
      <c r="P66" s="9">
        <v>1.6</v>
      </c>
      <c r="Q66" s="9">
        <f t="shared" si="8"/>
        <v>1.7</v>
      </c>
      <c r="R66" s="9">
        <f t="shared" si="9"/>
        <v>1.9</v>
      </c>
      <c r="S66" s="9">
        <f t="shared" si="1"/>
        <v>0.48</v>
      </c>
      <c r="T66" s="9">
        <v>1.6</v>
      </c>
      <c r="U66" s="9">
        <f t="shared" si="2"/>
        <v>1.7</v>
      </c>
      <c r="V66" s="9">
        <f>Sheet1!E68</f>
        <v>1707.91</v>
      </c>
      <c r="W66" s="9">
        <f>Sheet1!G68</f>
        <v>1706.48</v>
      </c>
      <c r="X66" s="14">
        <f t="shared" si="3"/>
        <v>1707.35</v>
      </c>
      <c r="Y66" s="9"/>
    </row>
    <row r="67" spans="2:25">
      <c r="B67" s="9"/>
      <c r="C67" s="10">
        <f>Sheet1!C69</f>
        <v>2050</v>
      </c>
      <c r="D67" s="9">
        <f t="shared" si="0"/>
        <v>3.75</v>
      </c>
      <c r="E67" s="9">
        <v>3</v>
      </c>
      <c r="F67" s="9">
        <f t="shared" si="4"/>
        <v>1.97</v>
      </c>
      <c r="G67" s="9">
        <f t="shared" si="5"/>
        <v>1.88</v>
      </c>
      <c r="H67" s="9">
        <v>1.1200000000000001</v>
      </c>
      <c r="I67" s="9">
        <v>0.87</v>
      </c>
      <c r="J67" s="9">
        <v>1.4E-2</v>
      </c>
      <c r="K67" s="9">
        <f>Sheet1!K68</f>
        <v>2E-3</v>
      </c>
      <c r="L67" s="9" t="str">
        <f t="shared" si="6"/>
        <v>1/500</v>
      </c>
      <c r="M67" s="9">
        <v>1.7</v>
      </c>
      <c r="N67" s="9">
        <v>0</v>
      </c>
      <c r="O67" s="9">
        <f t="shared" si="7"/>
        <v>1.7</v>
      </c>
      <c r="P67" s="9">
        <v>1.6</v>
      </c>
      <c r="Q67" s="9">
        <f t="shared" si="8"/>
        <v>1.7</v>
      </c>
      <c r="R67" s="9">
        <f t="shared" si="9"/>
        <v>1.9</v>
      </c>
      <c r="S67" s="9">
        <f t="shared" si="1"/>
        <v>0.48</v>
      </c>
      <c r="T67" s="9">
        <v>1.6</v>
      </c>
      <c r="U67" s="9">
        <f t="shared" si="2"/>
        <v>1.7</v>
      </c>
      <c r="V67" s="9">
        <f>Sheet1!E69</f>
        <v>1707.08</v>
      </c>
      <c r="W67" s="9">
        <f>Sheet1!G69</f>
        <v>1706.38</v>
      </c>
      <c r="X67" s="14">
        <f t="shared" si="3"/>
        <v>1707.25</v>
      </c>
      <c r="Y67" s="9"/>
    </row>
    <row r="68" spans="2:25">
      <c r="B68" s="9"/>
      <c r="C68" s="10">
        <f>Sheet1!C70</f>
        <v>2100</v>
      </c>
      <c r="D68" s="9">
        <f t="shared" si="0"/>
        <v>3.75</v>
      </c>
      <c r="E68" s="9">
        <v>3</v>
      </c>
      <c r="F68" s="9">
        <f t="shared" si="4"/>
        <v>1.97</v>
      </c>
      <c r="G68" s="9">
        <f t="shared" si="5"/>
        <v>1.88</v>
      </c>
      <c r="H68" s="9">
        <v>1.1200000000000001</v>
      </c>
      <c r="I68" s="9">
        <v>0.87</v>
      </c>
      <c r="J68" s="9">
        <v>1.4E-2</v>
      </c>
      <c r="K68" s="9">
        <f>Sheet1!K69</f>
        <v>2E-3</v>
      </c>
      <c r="L68" s="9" t="str">
        <f t="shared" si="6"/>
        <v>1/500</v>
      </c>
      <c r="M68" s="9">
        <v>1.7</v>
      </c>
      <c r="N68" s="9">
        <v>0</v>
      </c>
      <c r="O68" s="9">
        <f t="shared" si="7"/>
        <v>1.7</v>
      </c>
      <c r="P68" s="9">
        <v>1.6</v>
      </c>
      <c r="Q68" s="9">
        <f t="shared" si="8"/>
        <v>1.7</v>
      </c>
      <c r="R68" s="9">
        <f t="shared" si="9"/>
        <v>1.9</v>
      </c>
      <c r="S68" s="9">
        <f t="shared" si="1"/>
        <v>0.48</v>
      </c>
      <c r="T68" s="9">
        <v>1.6</v>
      </c>
      <c r="U68" s="9">
        <f t="shared" si="2"/>
        <v>1.7</v>
      </c>
      <c r="V68" s="9">
        <f>Sheet1!E70</f>
        <v>1706.34</v>
      </c>
      <c r="W68" s="9">
        <f>Sheet1!G70</f>
        <v>1706.28</v>
      </c>
      <c r="X68" s="14">
        <f t="shared" si="3"/>
        <v>1707.1499999999999</v>
      </c>
      <c r="Y68" s="9"/>
    </row>
    <row r="69" spans="2:25">
      <c r="B69" s="9" t="s">
        <v>382</v>
      </c>
      <c r="C69" s="10">
        <f>Sheet1!C71</f>
        <v>2120</v>
      </c>
      <c r="D69" s="9">
        <f t="shared" ref="D69:D132" si="10">E69*1.25</f>
        <v>3.75</v>
      </c>
      <c r="E69" s="9">
        <v>3</v>
      </c>
      <c r="F69" s="9">
        <f t="shared" si="4"/>
        <v>1.97</v>
      </c>
      <c r="G69" s="9">
        <f t="shared" si="5"/>
        <v>1.88</v>
      </c>
      <c r="H69" s="9">
        <v>1.1200000000000001</v>
      </c>
      <c r="I69" s="9">
        <v>0.87</v>
      </c>
      <c r="J69" s="9">
        <v>1.4E-2</v>
      </c>
      <c r="K69" s="9">
        <f>Sheet1!K70</f>
        <v>2E-3</v>
      </c>
      <c r="L69" s="9" t="str">
        <f t="shared" si="6"/>
        <v>1/500</v>
      </c>
      <c r="M69" s="9">
        <v>1.7</v>
      </c>
      <c r="N69" s="9">
        <v>0</v>
      </c>
      <c r="O69" s="9">
        <f t="shared" si="7"/>
        <v>1.7</v>
      </c>
      <c r="P69" s="9">
        <v>1.6</v>
      </c>
      <c r="Q69" s="9">
        <f t="shared" si="8"/>
        <v>1.7</v>
      </c>
      <c r="R69" s="9">
        <f t="shared" si="9"/>
        <v>1.9</v>
      </c>
      <c r="S69" s="9">
        <f t="shared" ref="S69:S132" si="11">T69-H69</f>
        <v>0.48</v>
      </c>
      <c r="T69" s="9">
        <v>1.6</v>
      </c>
      <c r="U69" s="9">
        <f t="shared" ref="U69:U132" si="12">M69+T69*N69</f>
        <v>1.7</v>
      </c>
      <c r="V69" s="9">
        <f>Sheet1!E71</f>
        <v>1705.95</v>
      </c>
      <c r="W69" s="9">
        <f>Sheet1!G71</f>
        <v>1706.24</v>
      </c>
      <c r="X69" s="14">
        <f t="shared" ref="X69:X132" si="13">W69+I69</f>
        <v>1707.11</v>
      </c>
      <c r="Y69" s="9" t="s">
        <v>382</v>
      </c>
    </row>
    <row r="70" spans="2:25">
      <c r="B70" s="9"/>
      <c r="C70" s="10">
        <f>Sheet1!C72</f>
        <v>2123</v>
      </c>
      <c r="D70" s="9">
        <f t="shared" si="10"/>
        <v>3.75</v>
      </c>
      <c r="E70" s="9">
        <v>3</v>
      </c>
      <c r="F70" s="9">
        <f t="shared" ref="F70:F133" si="14">ROUND(D70/R70,2)</f>
        <v>1.97</v>
      </c>
      <c r="G70" s="9">
        <f t="shared" ref="G70:G133" si="15">ROUND(E70/P70,2)</f>
        <v>1.88</v>
      </c>
      <c r="H70" s="9">
        <v>1.1200000000000001</v>
      </c>
      <c r="I70" s="9">
        <v>0.87</v>
      </c>
      <c r="J70" s="9">
        <v>1.4E-2</v>
      </c>
      <c r="K70" s="9">
        <f>Sheet1!K71</f>
        <v>2E-3</v>
      </c>
      <c r="L70" s="9" t="str">
        <f t="shared" ref="L70:L133" si="16">"1/"&amp;ROUND(1/K70,0)</f>
        <v>1/500</v>
      </c>
      <c r="M70" s="9">
        <v>1.7</v>
      </c>
      <c r="N70" s="9">
        <v>0</v>
      </c>
      <c r="O70" s="9">
        <f t="shared" ref="O70:O133" si="17">ROUND(M70+2*N70*I70,2)</f>
        <v>1.7</v>
      </c>
      <c r="P70" s="9">
        <v>1.6</v>
      </c>
      <c r="Q70" s="9">
        <f t="shared" ref="Q70:Q133" si="18">ROUND(M70+N70*2*H70,2)</f>
        <v>1.7</v>
      </c>
      <c r="R70" s="9">
        <f t="shared" ref="R70:R133" si="19">ROUND((M70+Q70)*H70/2,2)</f>
        <v>1.9</v>
      </c>
      <c r="S70" s="9">
        <f t="shared" si="11"/>
        <v>0.48</v>
      </c>
      <c r="T70" s="9">
        <v>1.6</v>
      </c>
      <c r="U70" s="9">
        <f t="shared" si="12"/>
        <v>1.7</v>
      </c>
      <c r="V70" s="9">
        <f>Sheet1!E72</f>
        <v>1705.95</v>
      </c>
      <c r="W70" s="9">
        <f>Sheet1!G72</f>
        <v>1704.04</v>
      </c>
      <c r="X70" s="14">
        <f t="shared" si="13"/>
        <v>1704.9099999999999</v>
      </c>
      <c r="Y70" s="9"/>
    </row>
    <row r="71" spans="2:25">
      <c r="B71" s="9"/>
      <c r="C71" s="10">
        <f>Sheet1!C73</f>
        <v>2150</v>
      </c>
      <c r="D71" s="9">
        <f t="shared" si="10"/>
        <v>3.75</v>
      </c>
      <c r="E71" s="9">
        <v>3</v>
      </c>
      <c r="F71" s="9">
        <f t="shared" si="14"/>
        <v>1.97</v>
      </c>
      <c r="G71" s="9">
        <f t="shared" si="15"/>
        <v>1.88</v>
      </c>
      <c r="H71" s="9">
        <v>1.1200000000000001</v>
      </c>
      <c r="I71" s="9">
        <v>0.87</v>
      </c>
      <c r="J71" s="9">
        <v>1.4E-2</v>
      </c>
      <c r="K71" s="9">
        <f>Sheet1!K72</f>
        <v>2E-3</v>
      </c>
      <c r="L71" s="9" t="str">
        <f t="shared" si="16"/>
        <v>1/500</v>
      </c>
      <c r="M71" s="9">
        <v>1.7</v>
      </c>
      <c r="N71" s="9">
        <v>0</v>
      </c>
      <c r="O71" s="9">
        <f t="shared" si="17"/>
        <v>1.7</v>
      </c>
      <c r="P71" s="9">
        <v>1.6</v>
      </c>
      <c r="Q71" s="9">
        <f t="shared" si="18"/>
        <v>1.7</v>
      </c>
      <c r="R71" s="9">
        <f t="shared" si="19"/>
        <v>1.9</v>
      </c>
      <c r="S71" s="9">
        <f t="shared" si="11"/>
        <v>0.48</v>
      </c>
      <c r="T71" s="9">
        <v>1.6</v>
      </c>
      <c r="U71" s="9">
        <f t="shared" si="12"/>
        <v>1.7</v>
      </c>
      <c r="V71" s="9">
        <f>Sheet1!E73</f>
        <v>1705.46</v>
      </c>
      <c r="W71" s="9">
        <f>Sheet1!G73</f>
        <v>1703.98</v>
      </c>
      <c r="X71" s="14">
        <f t="shared" si="13"/>
        <v>1704.85</v>
      </c>
      <c r="Y71" s="9"/>
    </row>
    <row r="72" spans="2:25">
      <c r="B72" s="9"/>
      <c r="C72" s="10">
        <f>Sheet1!C74</f>
        <v>2200</v>
      </c>
      <c r="D72" s="9">
        <f t="shared" si="10"/>
        <v>3.75</v>
      </c>
      <c r="E72" s="9">
        <v>3</v>
      </c>
      <c r="F72" s="9">
        <f t="shared" si="14"/>
        <v>1.97</v>
      </c>
      <c r="G72" s="9">
        <f t="shared" si="15"/>
        <v>1.88</v>
      </c>
      <c r="H72" s="9">
        <v>1.1200000000000001</v>
      </c>
      <c r="I72" s="9">
        <v>0.87</v>
      </c>
      <c r="J72" s="9">
        <v>1.4E-2</v>
      </c>
      <c r="K72" s="9">
        <f>Sheet1!K73</f>
        <v>2E-3</v>
      </c>
      <c r="L72" s="9" t="str">
        <f t="shared" si="16"/>
        <v>1/500</v>
      </c>
      <c r="M72" s="9">
        <v>1.7</v>
      </c>
      <c r="N72" s="9">
        <v>0</v>
      </c>
      <c r="O72" s="9">
        <f t="shared" si="17"/>
        <v>1.7</v>
      </c>
      <c r="P72" s="9">
        <v>1.6</v>
      </c>
      <c r="Q72" s="9">
        <f t="shared" si="18"/>
        <v>1.7</v>
      </c>
      <c r="R72" s="9">
        <f t="shared" si="19"/>
        <v>1.9</v>
      </c>
      <c r="S72" s="9">
        <f t="shared" si="11"/>
        <v>0.48</v>
      </c>
      <c r="T72" s="9">
        <v>1.6</v>
      </c>
      <c r="U72" s="9">
        <f t="shared" si="12"/>
        <v>1.7</v>
      </c>
      <c r="V72" s="9">
        <f>Sheet1!E74</f>
        <v>1704.87</v>
      </c>
      <c r="W72" s="9">
        <f>Sheet1!G74</f>
        <v>1703.88</v>
      </c>
      <c r="X72" s="14">
        <f t="shared" si="13"/>
        <v>1704.75</v>
      </c>
      <c r="Y72" s="9"/>
    </row>
    <row r="73" spans="2:25">
      <c r="B73" s="9"/>
      <c r="C73" s="10">
        <f>Sheet1!C75</f>
        <v>2250</v>
      </c>
      <c r="D73" s="9">
        <f t="shared" si="10"/>
        <v>3.75</v>
      </c>
      <c r="E73" s="9">
        <v>3</v>
      </c>
      <c r="F73" s="9">
        <f t="shared" si="14"/>
        <v>1.97</v>
      </c>
      <c r="G73" s="9">
        <f t="shared" si="15"/>
        <v>1.88</v>
      </c>
      <c r="H73" s="9">
        <v>1.1200000000000001</v>
      </c>
      <c r="I73" s="9">
        <v>0.87</v>
      </c>
      <c r="J73" s="9">
        <v>1.4E-2</v>
      </c>
      <c r="K73" s="9">
        <f>Sheet1!K74</f>
        <v>2E-3</v>
      </c>
      <c r="L73" s="9" t="str">
        <f t="shared" si="16"/>
        <v>1/500</v>
      </c>
      <c r="M73" s="9">
        <v>1.7</v>
      </c>
      <c r="N73" s="9">
        <v>0</v>
      </c>
      <c r="O73" s="9">
        <f t="shared" si="17"/>
        <v>1.7</v>
      </c>
      <c r="P73" s="9">
        <v>1.6</v>
      </c>
      <c r="Q73" s="9">
        <f t="shared" si="18"/>
        <v>1.7</v>
      </c>
      <c r="R73" s="9">
        <f t="shared" si="19"/>
        <v>1.9</v>
      </c>
      <c r="S73" s="9">
        <f t="shared" si="11"/>
        <v>0.48</v>
      </c>
      <c r="T73" s="9">
        <v>1.6</v>
      </c>
      <c r="U73" s="9">
        <f t="shared" si="12"/>
        <v>1.7</v>
      </c>
      <c r="V73" s="9">
        <f>Sheet1!E75</f>
        <v>1704.17</v>
      </c>
      <c r="W73" s="9">
        <f>Sheet1!G75</f>
        <v>1703.78</v>
      </c>
      <c r="X73" s="14">
        <f t="shared" si="13"/>
        <v>1704.6499999999999</v>
      </c>
      <c r="Y73" s="9"/>
    </row>
    <row r="74" spans="2:25">
      <c r="B74" s="9"/>
      <c r="C74" s="10">
        <f>Sheet1!C76</f>
        <v>2300</v>
      </c>
      <c r="D74" s="9">
        <f t="shared" si="10"/>
        <v>3.75</v>
      </c>
      <c r="E74" s="9">
        <v>3</v>
      </c>
      <c r="F74" s="9">
        <f t="shared" si="14"/>
        <v>1.97</v>
      </c>
      <c r="G74" s="9">
        <f t="shared" si="15"/>
        <v>1.88</v>
      </c>
      <c r="H74" s="9">
        <v>1.1200000000000001</v>
      </c>
      <c r="I74" s="9">
        <v>0.87</v>
      </c>
      <c r="J74" s="9">
        <v>1.4E-2</v>
      </c>
      <c r="K74" s="9">
        <f>Sheet1!K75</f>
        <v>2E-3</v>
      </c>
      <c r="L74" s="9" t="str">
        <f t="shared" si="16"/>
        <v>1/500</v>
      </c>
      <c r="M74" s="9">
        <v>1.7</v>
      </c>
      <c r="N74" s="9">
        <v>0</v>
      </c>
      <c r="O74" s="9">
        <f t="shared" si="17"/>
        <v>1.7</v>
      </c>
      <c r="P74" s="9">
        <v>1.6</v>
      </c>
      <c r="Q74" s="9">
        <f t="shared" si="18"/>
        <v>1.7</v>
      </c>
      <c r="R74" s="9">
        <f t="shared" si="19"/>
        <v>1.9</v>
      </c>
      <c r="S74" s="9">
        <f t="shared" si="11"/>
        <v>0.48</v>
      </c>
      <c r="T74" s="9">
        <v>1.6</v>
      </c>
      <c r="U74" s="9">
        <f t="shared" si="12"/>
        <v>1.7</v>
      </c>
      <c r="V74" s="9">
        <f>Sheet1!E76</f>
        <v>1703.5</v>
      </c>
      <c r="W74" s="9">
        <f>Sheet1!G76</f>
        <v>1703.68</v>
      </c>
      <c r="X74" s="14">
        <f t="shared" si="13"/>
        <v>1704.55</v>
      </c>
      <c r="Y74" s="9"/>
    </row>
    <row r="75" spans="2:25">
      <c r="B75" s="9"/>
      <c r="C75" s="10">
        <f>Sheet1!C77</f>
        <v>2310</v>
      </c>
      <c r="D75" s="9">
        <f t="shared" si="10"/>
        <v>3.75</v>
      </c>
      <c r="E75" s="9">
        <v>3</v>
      </c>
      <c r="F75" s="9">
        <f t="shared" si="14"/>
        <v>1.97</v>
      </c>
      <c r="G75" s="9">
        <f t="shared" si="15"/>
        <v>1.88</v>
      </c>
      <c r="H75" s="9">
        <v>1.1200000000000001</v>
      </c>
      <c r="I75" s="9">
        <v>0.87</v>
      </c>
      <c r="J75" s="9">
        <v>1.4E-2</v>
      </c>
      <c r="K75" s="9">
        <f>Sheet1!K76</f>
        <v>2E-3</v>
      </c>
      <c r="L75" s="9" t="str">
        <f t="shared" si="16"/>
        <v>1/500</v>
      </c>
      <c r="M75" s="9">
        <v>1.7</v>
      </c>
      <c r="N75" s="9">
        <v>0</v>
      </c>
      <c r="O75" s="9">
        <f t="shared" si="17"/>
        <v>1.7</v>
      </c>
      <c r="P75" s="9">
        <v>1.6</v>
      </c>
      <c r="Q75" s="9">
        <f t="shared" si="18"/>
        <v>1.7</v>
      </c>
      <c r="R75" s="9">
        <f t="shared" si="19"/>
        <v>1.9</v>
      </c>
      <c r="S75" s="9">
        <f t="shared" si="11"/>
        <v>0.48</v>
      </c>
      <c r="T75" s="9">
        <v>1.6</v>
      </c>
      <c r="U75" s="9">
        <f t="shared" si="12"/>
        <v>1.7</v>
      </c>
      <c r="V75" s="9">
        <f>Sheet1!E77</f>
        <v>1703.65</v>
      </c>
      <c r="W75" s="9">
        <f>Sheet1!G77</f>
        <v>1703.66</v>
      </c>
      <c r="X75" s="14">
        <f t="shared" si="13"/>
        <v>1704.53</v>
      </c>
      <c r="Y75" s="9"/>
    </row>
    <row r="76" spans="2:25">
      <c r="B76" s="9"/>
      <c r="C76" s="10">
        <f>Sheet1!C78</f>
        <v>2320</v>
      </c>
      <c r="D76" s="9">
        <f t="shared" si="10"/>
        <v>3.75</v>
      </c>
      <c r="E76" s="9">
        <v>3</v>
      </c>
      <c r="F76" s="9">
        <f t="shared" si="14"/>
        <v>1.97</v>
      </c>
      <c r="G76" s="9">
        <f t="shared" si="15"/>
        <v>1.88</v>
      </c>
      <c r="H76" s="9">
        <v>1.1200000000000001</v>
      </c>
      <c r="I76" s="9">
        <v>0.87</v>
      </c>
      <c r="J76" s="9">
        <v>1.4E-2</v>
      </c>
      <c r="K76" s="9">
        <f>Sheet1!K77</f>
        <v>2E-3</v>
      </c>
      <c r="L76" s="9" t="str">
        <f t="shared" si="16"/>
        <v>1/500</v>
      </c>
      <c r="M76" s="9">
        <v>1.7</v>
      </c>
      <c r="N76" s="9">
        <v>0</v>
      </c>
      <c r="O76" s="9">
        <f t="shared" si="17"/>
        <v>1.7</v>
      </c>
      <c r="P76" s="9">
        <v>1.6</v>
      </c>
      <c r="Q76" s="9">
        <f t="shared" si="18"/>
        <v>1.7</v>
      </c>
      <c r="R76" s="9">
        <f t="shared" si="19"/>
        <v>1.9</v>
      </c>
      <c r="S76" s="9">
        <f t="shared" si="11"/>
        <v>0.48</v>
      </c>
      <c r="T76" s="9">
        <v>1.6</v>
      </c>
      <c r="U76" s="9">
        <f t="shared" si="12"/>
        <v>1.7</v>
      </c>
      <c r="V76" s="9">
        <f>Sheet1!E78</f>
        <v>1703.52</v>
      </c>
      <c r="W76" s="9">
        <f>Sheet1!G78</f>
        <v>1703.64</v>
      </c>
      <c r="X76" s="14">
        <f t="shared" si="13"/>
        <v>1704.51</v>
      </c>
      <c r="Y76" s="9"/>
    </row>
    <row r="77" spans="2:25">
      <c r="B77" s="9"/>
      <c r="C77" s="10">
        <f>Sheet1!C79</f>
        <v>2330</v>
      </c>
      <c r="D77" s="9">
        <f t="shared" si="10"/>
        <v>3.75</v>
      </c>
      <c r="E77" s="9">
        <v>3</v>
      </c>
      <c r="F77" s="9">
        <f t="shared" si="14"/>
        <v>1.97</v>
      </c>
      <c r="G77" s="9">
        <f t="shared" si="15"/>
        <v>1.88</v>
      </c>
      <c r="H77" s="9">
        <v>1.1200000000000001</v>
      </c>
      <c r="I77" s="9">
        <v>0.87</v>
      </c>
      <c r="J77" s="9">
        <v>1.4E-2</v>
      </c>
      <c r="K77" s="9">
        <f>Sheet1!K78</f>
        <v>2E-3</v>
      </c>
      <c r="L77" s="9" t="str">
        <f t="shared" si="16"/>
        <v>1/500</v>
      </c>
      <c r="M77" s="9">
        <v>1.7</v>
      </c>
      <c r="N77" s="9">
        <v>0</v>
      </c>
      <c r="O77" s="9">
        <f t="shared" si="17"/>
        <v>1.7</v>
      </c>
      <c r="P77" s="9">
        <v>1.6</v>
      </c>
      <c r="Q77" s="9">
        <f t="shared" si="18"/>
        <v>1.7</v>
      </c>
      <c r="R77" s="9">
        <f t="shared" si="19"/>
        <v>1.9</v>
      </c>
      <c r="S77" s="9">
        <f t="shared" si="11"/>
        <v>0.48</v>
      </c>
      <c r="T77" s="9">
        <v>1.6</v>
      </c>
      <c r="U77" s="9">
        <f t="shared" si="12"/>
        <v>1.7</v>
      </c>
      <c r="V77" s="9">
        <f>Sheet1!E79</f>
        <v>1703.39</v>
      </c>
      <c r="W77" s="9">
        <f>Sheet1!G79</f>
        <v>1703.62</v>
      </c>
      <c r="X77" s="14">
        <f t="shared" si="13"/>
        <v>1704.4899999999998</v>
      </c>
      <c r="Y77" s="9"/>
    </row>
    <row r="78" spans="2:25">
      <c r="B78" s="9" t="s">
        <v>383</v>
      </c>
      <c r="C78" s="10">
        <f>Sheet1!C80</f>
        <v>2340</v>
      </c>
      <c r="D78" s="9">
        <f t="shared" si="10"/>
        <v>3.75</v>
      </c>
      <c r="E78" s="9">
        <v>3</v>
      </c>
      <c r="F78" s="9">
        <f t="shared" si="14"/>
        <v>1.97</v>
      </c>
      <c r="G78" s="9">
        <f t="shared" si="15"/>
        <v>1.88</v>
      </c>
      <c r="H78" s="9">
        <v>1.1200000000000001</v>
      </c>
      <c r="I78" s="9">
        <v>0.87</v>
      </c>
      <c r="J78" s="9">
        <v>1.4E-2</v>
      </c>
      <c r="K78" s="9">
        <f>Sheet1!K79</f>
        <v>2E-3</v>
      </c>
      <c r="L78" s="9" t="str">
        <f t="shared" si="16"/>
        <v>1/500</v>
      </c>
      <c r="M78" s="9">
        <v>1.7</v>
      </c>
      <c r="N78" s="9">
        <v>0</v>
      </c>
      <c r="O78" s="9">
        <f t="shared" si="17"/>
        <v>1.7</v>
      </c>
      <c r="P78" s="9">
        <v>1.6</v>
      </c>
      <c r="Q78" s="9">
        <f t="shared" si="18"/>
        <v>1.7</v>
      </c>
      <c r="R78" s="9">
        <f t="shared" si="19"/>
        <v>1.9</v>
      </c>
      <c r="S78" s="9">
        <f t="shared" si="11"/>
        <v>0.48</v>
      </c>
      <c r="T78" s="9">
        <v>1.6</v>
      </c>
      <c r="U78" s="9">
        <f t="shared" si="12"/>
        <v>1.7</v>
      </c>
      <c r="V78" s="9">
        <f>Sheet1!E80</f>
        <v>1703.25</v>
      </c>
      <c r="W78" s="9">
        <f>Sheet1!G80</f>
        <v>1703.6</v>
      </c>
      <c r="X78" s="14">
        <f t="shared" si="13"/>
        <v>1704.4699999999998</v>
      </c>
      <c r="Y78" s="9" t="s">
        <v>383</v>
      </c>
    </row>
    <row r="79" spans="2:25">
      <c r="B79" s="9"/>
      <c r="C79" s="10">
        <f>Sheet1!C81</f>
        <v>2343</v>
      </c>
      <c r="D79" s="9">
        <f t="shared" si="10"/>
        <v>3.75</v>
      </c>
      <c r="E79" s="9">
        <v>3</v>
      </c>
      <c r="F79" s="9">
        <f t="shared" si="14"/>
        <v>1.97</v>
      </c>
      <c r="G79" s="9">
        <f t="shared" si="15"/>
        <v>1.88</v>
      </c>
      <c r="H79" s="9">
        <v>1.1200000000000001</v>
      </c>
      <c r="I79" s="9">
        <v>0.87</v>
      </c>
      <c r="J79" s="9">
        <v>1.4E-2</v>
      </c>
      <c r="K79" s="9">
        <f>Sheet1!K80</f>
        <v>2E-3</v>
      </c>
      <c r="L79" s="9" t="str">
        <f t="shared" si="16"/>
        <v>1/500</v>
      </c>
      <c r="M79" s="9">
        <v>1.7</v>
      </c>
      <c r="N79" s="9">
        <v>0</v>
      </c>
      <c r="O79" s="9">
        <f t="shared" si="17"/>
        <v>1.7</v>
      </c>
      <c r="P79" s="9">
        <v>1.6</v>
      </c>
      <c r="Q79" s="9">
        <f t="shared" si="18"/>
        <v>1.7</v>
      </c>
      <c r="R79" s="9">
        <f t="shared" si="19"/>
        <v>1.9</v>
      </c>
      <c r="S79" s="9">
        <f t="shared" si="11"/>
        <v>0.48</v>
      </c>
      <c r="T79" s="9">
        <v>1.6</v>
      </c>
      <c r="U79" s="9">
        <f t="shared" si="12"/>
        <v>1.7</v>
      </c>
      <c r="V79" s="9">
        <f>Sheet1!E81</f>
        <v>1703.25</v>
      </c>
      <c r="W79" s="9">
        <f>Sheet1!G81</f>
        <v>1701.3999999999999</v>
      </c>
      <c r="X79" s="14">
        <f t="shared" si="13"/>
        <v>1702.2699999999998</v>
      </c>
      <c r="Y79" s="9"/>
    </row>
    <row r="80" spans="2:25">
      <c r="B80" s="9"/>
      <c r="C80" s="10">
        <f>Sheet1!C82</f>
        <v>2350</v>
      </c>
      <c r="D80" s="9">
        <f t="shared" si="10"/>
        <v>3.75</v>
      </c>
      <c r="E80" s="9">
        <v>3</v>
      </c>
      <c r="F80" s="9">
        <f t="shared" si="14"/>
        <v>1.97</v>
      </c>
      <c r="G80" s="9">
        <f t="shared" si="15"/>
        <v>1.88</v>
      </c>
      <c r="H80" s="9">
        <v>1.1200000000000001</v>
      </c>
      <c r="I80" s="9">
        <v>0.87</v>
      </c>
      <c r="J80" s="9">
        <v>1.4E-2</v>
      </c>
      <c r="K80" s="9">
        <f>Sheet1!K81</f>
        <v>2E-3</v>
      </c>
      <c r="L80" s="9" t="str">
        <f t="shared" si="16"/>
        <v>1/500</v>
      </c>
      <c r="M80" s="9">
        <v>1.7</v>
      </c>
      <c r="N80" s="9">
        <v>0</v>
      </c>
      <c r="O80" s="9">
        <f t="shared" si="17"/>
        <v>1.7</v>
      </c>
      <c r="P80" s="9">
        <v>1.6</v>
      </c>
      <c r="Q80" s="9">
        <f t="shared" si="18"/>
        <v>1.7</v>
      </c>
      <c r="R80" s="9">
        <f t="shared" si="19"/>
        <v>1.9</v>
      </c>
      <c r="S80" s="9">
        <f t="shared" si="11"/>
        <v>0.48</v>
      </c>
      <c r="T80" s="9">
        <v>1.6</v>
      </c>
      <c r="U80" s="9">
        <f t="shared" si="12"/>
        <v>1.7</v>
      </c>
      <c r="V80" s="9">
        <f>Sheet1!E82</f>
        <v>1703.14</v>
      </c>
      <c r="W80" s="9">
        <f>Sheet1!G82</f>
        <v>1701.38</v>
      </c>
      <c r="X80" s="14">
        <f t="shared" si="13"/>
        <v>1702.25</v>
      </c>
      <c r="Y80" s="9"/>
    </row>
    <row r="81" spans="2:25">
      <c r="B81" s="9"/>
      <c r="C81" s="10">
        <f>Sheet1!C83</f>
        <v>2400</v>
      </c>
      <c r="D81" s="9">
        <f t="shared" si="10"/>
        <v>3.75</v>
      </c>
      <c r="E81" s="9">
        <v>3</v>
      </c>
      <c r="F81" s="9">
        <f t="shared" si="14"/>
        <v>1.97</v>
      </c>
      <c r="G81" s="9">
        <f t="shared" si="15"/>
        <v>1.88</v>
      </c>
      <c r="H81" s="9">
        <v>1.1200000000000001</v>
      </c>
      <c r="I81" s="9">
        <v>0.87</v>
      </c>
      <c r="J81" s="9">
        <v>1.4E-2</v>
      </c>
      <c r="K81" s="9">
        <f>Sheet1!K82</f>
        <v>2E-3</v>
      </c>
      <c r="L81" s="9" t="str">
        <f t="shared" si="16"/>
        <v>1/500</v>
      </c>
      <c r="M81" s="9">
        <v>1.7</v>
      </c>
      <c r="N81" s="9">
        <v>0</v>
      </c>
      <c r="O81" s="9">
        <f t="shared" si="17"/>
        <v>1.7</v>
      </c>
      <c r="P81" s="9">
        <v>1.6</v>
      </c>
      <c r="Q81" s="9">
        <f t="shared" si="18"/>
        <v>1.7</v>
      </c>
      <c r="R81" s="9">
        <f t="shared" si="19"/>
        <v>1.9</v>
      </c>
      <c r="S81" s="9">
        <f t="shared" si="11"/>
        <v>0.48</v>
      </c>
      <c r="T81" s="9">
        <v>1.6</v>
      </c>
      <c r="U81" s="9">
        <f t="shared" si="12"/>
        <v>1.7</v>
      </c>
      <c r="V81" s="9">
        <f>Sheet1!E83</f>
        <v>1702.41</v>
      </c>
      <c r="W81" s="9">
        <f>Sheet1!G83</f>
        <v>1701.28</v>
      </c>
      <c r="X81" s="14">
        <f t="shared" si="13"/>
        <v>1702.1499999999999</v>
      </c>
      <c r="Y81" s="9"/>
    </row>
    <row r="82" spans="2:25">
      <c r="B82" s="9"/>
      <c r="C82" s="10">
        <f>Sheet1!C84</f>
        <v>2450</v>
      </c>
      <c r="D82" s="9">
        <f t="shared" si="10"/>
        <v>3.75</v>
      </c>
      <c r="E82" s="9">
        <v>3</v>
      </c>
      <c r="F82" s="9">
        <f t="shared" si="14"/>
        <v>1.97</v>
      </c>
      <c r="G82" s="9">
        <f t="shared" si="15"/>
        <v>1.88</v>
      </c>
      <c r="H82" s="9">
        <v>1.1200000000000001</v>
      </c>
      <c r="I82" s="9">
        <v>0.87</v>
      </c>
      <c r="J82" s="9">
        <v>1.4E-2</v>
      </c>
      <c r="K82" s="9">
        <f>Sheet1!K83</f>
        <v>2E-3</v>
      </c>
      <c r="L82" s="9" t="str">
        <f t="shared" si="16"/>
        <v>1/500</v>
      </c>
      <c r="M82" s="9">
        <v>1.7</v>
      </c>
      <c r="N82" s="9">
        <v>0</v>
      </c>
      <c r="O82" s="9">
        <f t="shared" si="17"/>
        <v>1.7</v>
      </c>
      <c r="P82" s="9">
        <v>1.6</v>
      </c>
      <c r="Q82" s="9">
        <f t="shared" si="18"/>
        <v>1.7</v>
      </c>
      <c r="R82" s="9">
        <f t="shared" si="19"/>
        <v>1.9</v>
      </c>
      <c r="S82" s="9">
        <f t="shared" si="11"/>
        <v>0.48</v>
      </c>
      <c r="T82" s="9">
        <v>1.6</v>
      </c>
      <c r="U82" s="9">
        <f t="shared" si="12"/>
        <v>1.7</v>
      </c>
      <c r="V82" s="9">
        <f>Sheet1!E84</f>
        <v>1701.73</v>
      </c>
      <c r="W82" s="9">
        <f>Sheet1!G84</f>
        <v>1701.18</v>
      </c>
      <c r="X82" s="14">
        <f t="shared" si="13"/>
        <v>1702.05</v>
      </c>
      <c r="Y82" s="9"/>
    </row>
    <row r="83" spans="2:25">
      <c r="B83" s="9"/>
      <c r="C83" s="10">
        <f>Sheet1!C85</f>
        <v>2500</v>
      </c>
      <c r="D83" s="9">
        <f t="shared" si="10"/>
        <v>3.75</v>
      </c>
      <c r="E83" s="9">
        <v>3</v>
      </c>
      <c r="F83" s="9">
        <f t="shared" si="14"/>
        <v>1.97</v>
      </c>
      <c r="G83" s="9">
        <f t="shared" si="15"/>
        <v>1.88</v>
      </c>
      <c r="H83" s="9">
        <v>1.1200000000000001</v>
      </c>
      <c r="I83" s="9">
        <v>0.87</v>
      </c>
      <c r="J83" s="9">
        <v>1.4E-2</v>
      </c>
      <c r="K83" s="9">
        <f>Sheet1!K84</f>
        <v>2E-3</v>
      </c>
      <c r="L83" s="9" t="str">
        <f t="shared" si="16"/>
        <v>1/500</v>
      </c>
      <c r="M83" s="9">
        <v>1.7</v>
      </c>
      <c r="N83" s="9">
        <v>0</v>
      </c>
      <c r="O83" s="9">
        <f t="shared" si="17"/>
        <v>1.7</v>
      </c>
      <c r="P83" s="9">
        <v>1.6</v>
      </c>
      <c r="Q83" s="9">
        <f t="shared" si="18"/>
        <v>1.7</v>
      </c>
      <c r="R83" s="9">
        <f t="shared" si="19"/>
        <v>1.9</v>
      </c>
      <c r="S83" s="9">
        <f t="shared" si="11"/>
        <v>0.48</v>
      </c>
      <c r="T83" s="9">
        <v>1.6</v>
      </c>
      <c r="U83" s="9">
        <f t="shared" si="12"/>
        <v>1.7</v>
      </c>
      <c r="V83" s="9">
        <f>Sheet1!E85</f>
        <v>1701.32</v>
      </c>
      <c r="W83" s="9">
        <f>Sheet1!G85</f>
        <v>1701.08</v>
      </c>
      <c r="X83" s="14">
        <f t="shared" si="13"/>
        <v>1701.9499999999998</v>
      </c>
      <c r="Y83" s="9"/>
    </row>
    <row r="84" spans="2:25">
      <c r="B84" s="9"/>
      <c r="C84" s="10">
        <f>Sheet1!C86</f>
        <v>2550</v>
      </c>
      <c r="D84" s="9">
        <f t="shared" si="10"/>
        <v>3.75</v>
      </c>
      <c r="E84" s="9">
        <v>3</v>
      </c>
      <c r="F84" s="9">
        <f t="shared" si="14"/>
        <v>1.97</v>
      </c>
      <c r="G84" s="9">
        <f t="shared" si="15"/>
        <v>1.88</v>
      </c>
      <c r="H84" s="9">
        <v>1.1200000000000001</v>
      </c>
      <c r="I84" s="9">
        <v>0.87</v>
      </c>
      <c r="J84" s="9">
        <v>1.4E-2</v>
      </c>
      <c r="K84" s="9">
        <f>Sheet1!K85</f>
        <v>2E-3</v>
      </c>
      <c r="L84" s="9" t="str">
        <f t="shared" si="16"/>
        <v>1/500</v>
      </c>
      <c r="M84" s="9">
        <v>1.7</v>
      </c>
      <c r="N84" s="9">
        <v>0</v>
      </c>
      <c r="O84" s="9">
        <f t="shared" si="17"/>
        <v>1.7</v>
      </c>
      <c r="P84" s="9">
        <v>1.6</v>
      </c>
      <c r="Q84" s="9">
        <f t="shared" si="18"/>
        <v>1.7</v>
      </c>
      <c r="R84" s="9">
        <f t="shared" si="19"/>
        <v>1.9</v>
      </c>
      <c r="S84" s="9">
        <f t="shared" si="11"/>
        <v>0.48</v>
      </c>
      <c r="T84" s="9">
        <v>1.6</v>
      </c>
      <c r="U84" s="9">
        <f t="shared" si="12"/>
        <v>1.7</v>
      </c>
      <c r="V84" s="9">
        <f>Sheet1!E86</f>
        <v>1700.85</v>
      </c>
      <c r="W84" s="9">
        <f>Sheet1!G86</f>
        <v>1700.98</v>
      </c>
      <c r="X84" s="14">
        <f t="shared" si="13"/>
        <v>1701.85</v>
      </c>
      <c r="Y84" s="9"/>
    </row>
    <row r="85" spans="2:25">
      <c r="B85" s="9" t="s">
        <v>384</v>
      </c>
      <c r="C85" s="10">
        <f>Sheet1!C87</f>
        <v>2560</v>
      </c>
      <c r="D85" s="9">
        <f t="shared" si="10"/>
        <v>3.75</v>
      </c>
      <c r="E85" s="9">
        <v>3</v>
      </c>
      <c r="F85" s="9">
        <f t="shared" si="14"/>
        <v>1.97</v>
      </c>
      <c r="G85" s="9">
        <f t="shared" si="15"/>
        <v>1.88</v>
      </c>
      <c r="H85" s="9">
        <v>1.1200000000000001</v>
      </c>
      <c r="I85" s="9">
        <v>0.87</v>
      </c>
      <c r="J85" s="9">
        <v>1.4E-2</v>
      </c>
      <c r="K85" s="9">
        <f>Sheet1!K86</f>
        <v>2E-3</v>
      </c>
      <c r="L85" s="9" t="str">
        <f t="shared" si="16"/>
        <v>1/500</v>
      </c>
      <c r="M85" s="9">
        <v>1.7</v>
      </c>
      <c r="N85" s="9">
        <v>0</v>
      </c>
      <c r="O85" s="9">
        <f t="shared" si="17"/>
        <v>1.7</v>
      </c>
      <c r="P85" s="9">
        <v>1.6</v>
      </c>
      <c r="Q85" s="9">
        <f t="shared" si="18"/>
        <v>1.7</v>
      </c>
      <c r="R85" s="9">
        <f t="shared" si="19"/>
        <v>1.9</v>
      </c>
      <c r="S85" s="9">
        <f t="shared" si="11"/>
        <v>0.48</v>
      </c>
      <c r="T85" s="9">
        <v>1.6</v>
      </c>
      <c r="U85" s="9">
        <f t="shared" si="12"/>
        <v>1.7</v>
      </c>
      <c r="V85" s="9">
        <f>Sheet1!E87</f>
        <v>1700.65</v>
      </c>
      <c r="W85" s="9">
        <f>Sheet1!G87</f>
        <v>1700.96</v>
      </c>
      <c r="X85" s="14">
        <f t="shared" si="13"/>
        <v>1701.83</v>
      </c>
      <c r="Y85" s="9" t="s">
        <v>384</v>
      </c>
    </row>
    <row r="86" spans="2:25">
      <c r="B86" s="9"/>
      <c r="C86" s="10">
        <f>Sheet1!C88</f>
        <v>2563</v>
      </c>
      <c r="D86" s="9">
        <f t="shared" si="10"/>
        <v>3.75</v>
      </c>
      <c r="E86" s="9">
        <v>3</v>
      </c>
      <c r="F86" s="9">
        <f t="shared" si="14"/>
        <v>1.97</v>
      </c>
      <c r="G86" s="9">
        <f t="shared" si="15"/>
        <v>1.88</v>
      </c>
      <c r="H86" s="9">
        <v>1.1200000000000001</v>
      </c>
      <c r="I86" s="9">
        <v>0.87</v>
      </c>
      <c r="J86" s="9">
        <v>1.4E-2</v>
      </c>
      <c r="K86" s="9">
        <f>Sheet1!K87</f>
        <v>2E-3</v>
      </c>
      <c r="L86" s="9" t="str">
        <f t="shared" si="16"/>
        <v>1/500</v>
      </c>
      <c r="M86" s="9">
        <v>1.7</v>
      </c>
      <c r="N86" s="9">
        <v>0</v>
      </c>
      <c r="O86" s="9">
        <f t="shared" si="17"/>
        <v>1.7</v>
      </c>
      <c r="P86" s="9">
        <v>1.6</v>
      </c>
      <c r="Q86" s="9">
        <f t="shared" si="18"/>
        <v>1.7</v>
      </c>
      <c r="R86" s="9">
        <f t="shared" si="19"/>
        <v>1.9</v>
      </c>
      <c r="S86" s="9">
        <f t="shared" si="11"/>
        <v>0.48</v>
      </c>
      <c r="T86" s="9">
        <v>1.6</v>
      </c>
      <c r="U86" s="9">
        <f t="shared" si="12"/>
        <v>1.7</v>
      </c>
      <c r="V86" s="9">
        <f>Sheet1!E88</f>
        <v>1700.65</v>
      </c>
      <c r="W86" s="9">
        <f>Sheet1!G88</f>
        <v>1698.76</v>
      </c>
      <c r="X86" s="14">
        <f t="shared" si="13"/>
        <v>1699.6299999999999</v>
      </c>
      <c r="Y86" s="9"/>
    </row>
    <row r="87" spans="2:25">
      <c r="B87" s="9"/>
      <c r="C87" s="10">
        <f>Sheet1!C89</f>
        <v>2600</v>
      </c>
      <c r="D87" s="9">
        <f t="shared" si="10"/>
        <v>3.75</v>
      </c>
      <c r="E87" s="9">
        <v>3</v>
      </c>
      <c r="F87" s="9">
        <f t="shared" si="14"/>
        <v>1.97</v>
      </c>
      <c r="G87" s="9">
        <f t="shared" si="15"/>
        <v>1.88</v>
      </c>
      <c r="H87" s="9">
        <v>1.1200000000000001</v>
      </c>
      <c r="I87" s="9">
        <v>0.87</v>
      </c>
      <c r="J87" s="9">
        <v>1.4E-2</v>
      </c>
      <c r="K87" s="9">
        <f>Sheet1!K88</f>
        <v>2E-3</v>
      </c>
      <c r="L87" s="9" t="str">
        <f t="shared" si="16"/>
        <v>1/500</v>
      </c>
      <c r="M87" s="9">
        <v>1.7</v>
      </c>
      <c r="N87" s="9">
        <v>0</v>
      </c>
      <c r="O87" s="9">
        <f t="shared" si="17"/>
        <v>1.7</v>
      </c>
      <c r="P87" s="9">
        <v>1.6</v>
      </c>
      <c r="Q87" s="9">
        <f t="shared" si="18"/>
        <v>1.7</v>
      </c>
      <c r="R87" s="9">
        <f t="shared" si="19"/>
        <v>1.9</v>
      </c>
      <c r="S87" s="9">
        <f t="shared" si="11"/>
        <v>0.48</v>
      </c>
      <c r="T87" s="9">
        <v>1.6</v>
      </c>
      <c r="U87" s="9">
        <f t="shared" si="12"/>
        <v>1.7</v>
      </c>
      <c r="V87" s="9">
        <f>Sheet1!E89</f>
        <v>1700.37</v>
      </c>
      <c r="W87" s="9">
        <f>Sheet1!G89</f>
        <v>1698.68</v>
      </c>
      <c r="X87" s="14">
        <f t="shared" si="13"/>
        <v>1699.55</v>
      </c>
      <c r="Y87" s="9"/>
    </row>
    <row r="88" spans="2:25">
      <c r="B88" s="9"/>
      <c r="C88" s="10">
        <f>Sheet1!C90</f>
        <v>2650</v>
      </c>
      <c r="D88" s="9">
        <f t="shared" si="10"/>
        <v>3.75</v>
      </c>
      <c r="E88" s="9">
        <v>3</v>
      </c>
      <c r="F88" s="9">
        <f t="shared" si="14"/>
        <v>1.97</v>
      </c>
      <c r="G88" s="9">
        <f t="shared" si="15"/>
        <v>1.88</v>
      </c>
      <c r="H88" s="9">
        <v>1.1200000000000001</v>
      </c>
      <c r="I88" s="9">
        <v>0.87</v>
      </c>
      <c r="J88" s="9">
        <v>1.4E-2</v>
      </c>
      <c r="K88" s="9">
        <f>Sheet1!K89</f>
        <v>2E-3</v>
      </c>
      <c r="L88" s="9" t="str">
        <f t="shared" si="16"/>
        <v>1/500</v>
      </c>
      <c r="M88" s="9">
        <v>1.7</v>
      </c>
      <c r="N88" s="9">
        <v>0</v>
      </c>
      <c r="O88" s="9">
        <f t="shared" si="17"/>
        <v>1.7</v>
      </c>
      <c r="P88" s="9">
        <v>1.6</v>
      </c>
      <c r="Q88" s="9">
        <f t="shared" si="18"/>
        <v>1.7</v>
      </c>
      <c r="R88" s="9">
        <f t="shared" si="19"/>
        <v>1.9</v>
      </c>
      <c r="S88" s="9">
        <f t="shared" si="11"/>
        <v>0.48</v>
      </c>
      <c r="T88" s="9">
        <v>1.6</v>
      </c>
      <c r="U88" s="9">
        <f t="shared" si="12"/>
        <v>1.7</v>
      </c>
      <c r="V88" s="9">
        <f>Sheet1!E90</f>
        <v>1700.01</v>
      </c>
      <c r="W88" s="9">
        <f>Sheet1!G90</f>
        <v>1698.58</v>
      </c>
      <c r="X88" s="14">
        <f t="shared" si="13"/>
        <v>1699.4499999999998</v>
      </c>
      <c r="Y88" s="9"/>
    </row>
    <row r="89" spans="2:25">
      <c r="B89" s="9"/>
      <c r="C89" s="10">
        <f>Sheet1!C91</f>
        <v>2700</v>
      </c>
      <c r="D89" s="9">
        <f t="shared" si="10"/>
        <v>3.75</v>
      </c>
      <c r="E89" s="9">
        <v>3</v>
      </c>
      <c r="F89" s="9">
        <f t="shared" si="14"/>
        <v>1.97</v>
      </c>
      <c r="G89" s="9">
        <f t="shared" si="15"/>
        <v>1.88</v>
      </c>
      <c r="H89" s="9">
        <v>1.1200000000000001</v>
      </c>
      <c r="I89" s="9">
        <v>0.87</v>
      </c>
      <c r="J89" s="9">
        <v>1.4E-2</v>
      </c>
      <c r="K89" s="9">
        <f>Sheet1!K90</f>
        <v>2E-3</v>
      </c>
      <c r="L89" s="9" t="str">
        <f t="shared" si="16"/>
        <v>1/500</v>
      </c>
      <c r="M89" s="9">
        <v>1.7</v>
      </c>
      <c r="N89" s="9">
        <v>0</v>
      </c>
      <c r="O89" s="9">
        <f t="shared" si="17"/>
        <v>1.7</v>
      </c>
      <c r="P89" s="9">
        <v>1.6</v>
      </c>
      <c r="Q89" s="9">
        <f t="shared" si="18"/>
        <v>1.7</v>
      </c>
      <c r="R89" s="9">
        <f t="shared" si="19"/>
        <v>1.9</v>
      </c>
      <c r="S89" s="9">
        <f t="shared" si="11"/>
        <v>0.48</v>
      </c>
      <c r="T89" s="9">
        <v>1.6</v>
      </c>
      <c r="U89" s="9">
        <f t="shared" si="12"/>
        <v>1.7</v>
      </c>
      <c r="V89" s="9">
        <f>Sheet1!E91</f>
        <v>1699.8</v>
      </c>
      <c r="W89" s="9">
        <f>Sheet1!G91</f>
        <v>1698.48</v>
      </c>
      <c r="X89" s="14">
        <f t="shared" si="13"/>
        <v>1699.35</v>
      </c>
      <c r="Y89" s="9"/>
    </row>
    <row r="90" spans="2:25">
      <c r="B90" s="9"/>
      <c r="C90" s="10">
        <f>Sheet1!C92</f>
        <v>2750</v>
      </c>
      <c r="D90" s="9">
        <f t="shared" si="10"/>
        <v>3.75</v>
      </c>
      <c r="E90" s="9">
        <v>3</v>
      </c>
      <c r="F90" s="9">
        <f t="shared" si="14"/>
        <v>1.97</v>
      </c>
      <c r="G90" s="9">
        <f t="shared" si="15"/>
        <v>1.88</v>
      </c>
      <c r="H90" s="9">
        <v>1.1200000000000001</v>
      </c>
      <c r="I90" s="9">
        <v>0.87</v>
      </c>
      <c r="J90" s="9">
        <v>1.4E-2</v>
      </c>
      <c r="K90" s="9">
        <f>Sheet1!K91</f>
        <v>2E-3</v>
      </c>
      <c r="L90" s="9" t="str">
        <f t="shared" si="16"/>
        <v>1/500</v>
      </c>
      <c r="M90" s="9">
        <v>1.7</v>
      </c>
      <c r="N90" s="9">
        <v>0</v>
      </c>
      <c r="O90" s="9">
        <f t="shared" si="17"/>
        <v>1.7</v>
      </c>
      <c r="P90" s="9">
        <v>1.6</v>
      </c>
      <c r="Q90" s="9">
        <f t="shared" si="18"/>
        <v>1.7</v>
      </c>
      <c r="R90" s="9">
        <f t="shared" si="19"/>
        <v>1.9</v>
      </c>
      <c r="S90" s="9">
        <f t="shared" si="11"/>
        <v>0.48</v>
      </c>
      <c r="T90" s="9">
        <v>1.6</v>
      </c>
      <c r="U90" s="9">
        <f t="shared" si="12"/>
        <v>1.7</v>
      </c>
      <c r="V90" s="9">
        <f>Sheet1!E92</f>
        <v>1699.18</v>
      </c>
      <c r="W90" s="9">
        <f>Sheet1!G92</f>
        <v>1698.38</v>
      </c>
      <c r="X90" s="14">
        <f t="shared" si="13"/>
        <v>1699.25</v>
      </c>
      <c r="Y90" s="9"/>
    </row>
    <row r="91" spans="2:25">
      <c r="B91" s="9"/>
      <c r="C91" s="10">
        <f>Sheet1!C93</f>
        <v>2800</v>
      </c>
      <c r="D91" s="9">
        <f t="shared" si="10"/>
        <v>3.75</v>
      </c>
      <c r="E91" s="9">
        <v>3</v>
      </c>
      <c r="F91" s="9">
        <f t="shared" si="14"/>
        <v>1.97</v>
      </c>
      <c r="G91" s="9">
        <f t="shared" si="15"/>
        <v>1.88</v>
      </c>
      <c r="H91" s="9">
        <v>1.1200000000000001</v>
      </c>
      <c r="I91" s="9">
        <v>0.87</v>
      </c>
      <c r="J91" s="9">
        <v>1.4E-2</v>
      </c>
      <c r="K91" s="9">
        <f>Sheet1!K92</f>
        <v>2E-3</v>
      </c>
      <c r="L91" s="9" t="str">
        <f t="shared" si="16"/>
        <v>1/500</v>
      </c>
      <c r="M91" s="9">
        <v>1.7</v>
      </c>
      <c r="N91" s="9">
        <v>0</v>
      </c>
      <c r="O91" s="9">
        <f t="shared" si="17"/>
        <v>1.7</v>
      </c>
      <c r="P91" s="9">
        <v>1.6</v>
      </c>
      <c r="Q91" s="9">
        <f t="shared" si="18"/>
        <v>1.7</v>
      </c>
      <c r="R91" s="9">
        <f t="shared" si="19"/>
        <v>1.9</v>
      </c>
      <c r="S91" s="9">
        <f t="shared" si="11"/>
        <v>0.48</v>
      </c>
      <c r="T91" s="9">
        <v>1.6</v>
      </c>
      <c r="U91" s="9">
        <f t="shared" si="12"/>
        <v>1.7</v>
      </c>
      <c r="V91" s="9">
        <f>Sheet1!E93</f>
        <v>1698.74</v>
      </c>
      <c r="W91" s="9">
        <f>Sheet1!G93</f>
        <v>1698.28</v>
      </c>
      <c r="X91" s="14">
        <f t="shared" si="13"/>
        <v>1699.1499999999999</v>
      </c>
      <c r="Y91" s="9"/>
    </row>
    <row r="92" spans="2:25">
      <c r="B92" s="9"/>
      <c r="C92" s="10">
        <f>Sheet1!C94</f>
        <v>2810</v>
      </c>
      <c r="D92" s="9">
        <f t="shared" si="10"/>
        <v>3.75</v>
      </c>
      <c r="E92" s="9">
        <v>3</v>
      </c>
      <c r="F92" s="9">
        <f t="shared" si="14"/>
        <v>1.97</v>
      </c>
      <c r="G92" s="9">
        <f t="shared" si="15"/>
        <v>1.88</v>
      </c>
      <c r="H92" s="9">
        <v>1.1200000000000001</v>
      </c>
      <c r="I92" s="9">
        <v>0.87</v>
      </c>
      <c r="J92" s="9">
        <v>1.4E-2</v>
      </c>
      <c r="K92" s="9">
        <f>Sheet1!K93</f>
        <v>2E-3</v>
      </c>
      <c r="L92" s="9" t="str">
        <f t="shared" si="16"/>
        <v>1/500</v>
      </c>
      <c r="M92" s="9">
        <v>1.7</v>
      </c>
      <c r="N92" s="9">
        <v>0</v>
      </c>
      <c r="O92" s="9">
        <f t="shared" si="17"/>
        <v>1.7</v>
      </c>
      <c r="P92" s="9">
        <v>1.6</v>
      </c>
      <c r="Q92" s="9">
        <f t="shared" si="18"/>
        <v>1.7</v>
      </c>
      <c r="R92" s="9">
        <f t="shared" si="19"/>
        <v>1.9</v>
      </c>
      <c r="S92" s="9">
        <f t="shared" si="11"/>
        <v>0.48</v>
      </c>
      <c r="T92" s="9">
        <v>1.6</v>
      </c>
      <c r="U92" s="9">
        <f t="shared" si="12"/>
        <v>1.7</v>
      </c>
      <c r="V92" s="9">
        <f>Sheet1!E94</f>
        <v>1698.24</v>
      </c>
      <c r="W92" s="9">
        <f>Sheet1!G94</f>
        <v>1698.26</v>
      </c>
      <c r="X92" s="14">
        <f t="shared" si="13"/>
        <v>1699.1299999999999</v>
      </c>
      <c r="Y92" s="9"/>
    </row>
    <row r="93" spans="2:25">
      <c r="B93" s="9"/>
      <c r="C93" s="10">
        <f>Sheet1!C95</f>
        <v>2817</v>
      </c>
      <c r="D93" s="9">
        <f t="shared" si="10"/>
        <v>3.75</v>
      </c>
      <c r="E93" s="9">
        <v>3</v>
      </c>
      <c r="F93" s="9">
        <f t="shared" si="14"/>
        <v>1.97</v>
      </c>
      <c r="G93" s="9">
        <f t="shared" si="15"/>
        <v>1.88</v>
      </c>
      <c r="H93" s="9">
        <v>1.1200000000000001</v>
      </c>
      <c r="I93" s="9">
        <v>0.87</v>
      </c>
      <c r="J93" s="9">
        <v>1.4E-2</v>
      </c>
      <c r="K93" s="9">
        <f>Sheet1!K94</f>
        <v>2E-3</v>
      </c>
      <c r="L93" s="9" t="str">
        <f t="shared" si="16"/>
        <v>1/500</v>
      </c>
      <c r="M93" s="9">
        <v>1.7</v>
      </c>
      <c r="N93" s="9">
        <v>0</v>
      </c>
      <c r="O93" s="9">
        <f t="shared" si="17"/>
        <v>1.7</v>
      </c>
      <c r="P93" s="9">
        <v>1.6</v>
      </c>
      <c r="Q93" s="9">
        <f t="shared" si="18"/>
        <v>1.7</v>
      </c>
      <c r="R93" s="9">
        <f t="shared" si="19"/>
        <v>1.9</v>
      </c>
      <c r="S93" s="9">
        <f t="shared" si="11"/>
        <v>0.48</v>
      </c>
      <c r="T93" s="9">
        <v>1.6</v>
      </c>
      <c r="U93" s="9">
        <f t="shared" si="12"/>
        <v>1.7</v>
      </c>
      <c r="V93" s="9">
        <f>Sheet1!E95</f>
        <v>1698</v>
      </c>
      <c r="W93" s="9">
        <f>Sheet1!G95</f>
        <v>1698.25</v>
      </c>
      <c r="X93" s="14">
        <f t="shared" si="13"/>
        <v>1699.12</v>
      </c>
      <c r="Y93" s="9"/>
    </row>
    <row r="94" spans="2:25">
      <c r="B94" s="9" t="s">
        <v>385</v>
      </c>
      <c r="C94" s="10">
        <f>Sheet1!C96</f>
        <v>2820</v>
      </c>
      <c r="D94" s="9">
        <f t="shared" si="10"/>
        <v>3.75</v>
      </c>
      <c r="E94" s="9">
        <v>3</v>
      </c>
      <c r="F94" s="9">
        <f t="shared" si="14"/>
        <v>1.97</v>
      </c>
      <c r="G94" s="9">
        <f t="shared" si="15"/>
        <v>1.88</v>
      </c>
      <c r="H94" s="9">
        <v>1.1200000000000001</v>
      </c>
      <c r="I94" s="9">
        <v>0.87</v>
      </c>
      <c r="J94" s="9">
        <v>1.4E-2</v>
      </c>
      <c r="K94" s="9">
        <f>Sheet1!K95</f>
        <v>2E-3</v>
      </c>
      <c r="L94" s="9" t="str">
        <f t="shared" si="16"/>
        <v>1/500</v>
      </c>
      <c r="M94" s="9">
        <v>1.7</v>
      </c>
      <c r="N94" s="9">
        <v>0</v>
      </c>
      <c r="O94" s="9">
        <f t="shared" si="17"/>
        <v>1.7</v>
      </c>
      <c r="P94" s="9">
        <v>1.6</v>
      </c>
      <c r="Q94" s="9">
        <f t="shared" si="18"/>
        <v>1.7</v>
      </c>
      <c r="R94" s="9">
        <f t="shared" si="19"/>
        <v>1.9</v>
      </c>
      <c r="S94" s="9">
        <f t="shared" si="11"/>
        <v>0.48</v>
      </c>
      <c r="T94" s="9">
        <v>1.6</v>
      </c>
      <c r="U94" s="9">
        <f t="shared" si="12"/>
        <v>1.7</v>
      </c>
      <c r="V94" s="9">
        <f>Sheet1!E96</f>
        <v>1697.92</v>
      </c>
      <c r="W94" s="9">
        <f>Sheet1!G96</f>
        <v>1698.24</v>
      </c>
      <c r="X94" s="14">
        <f t="shared" si="13"/>
        <v>1699.11</v>
      </c>
      <c r="Y94" s="9" t="s">
        <v>385</v>
      </c>
    </row>
    <row r="95" spans="2:25">
      <c r="B95" s="9"/>
      <c r="C95" s="10">
        <f>Sheet1!C97</f>
        <v>2823</v>
      </c>
      <c r="D95" s="9">
        <f t="shared" si="10"/>
        <v>3.75</v>
      </c>
      <c r="E95" s="9">
        <v>3</v>
      </c>
      <c r="F95" s="9">
        <f t="shared" si="14"/>
        <v>1.97</v>
      </c>
      <c r="G95" s="9">
        <f t="shared" si="15"/>
        <v>1.88</v>
      </c>
      <c r="H95" s="9">
        <v>1.1200000000000001</v>
      </c>
      <c r="I95" s="9">
        <v>0.87</v>
      </c>
      <c r="J95" s="9">
        <v>1.4E-2</v>
      </c>
      <c r="K95" s="9">
        <f>Sheet1!K96</f>
        <v>2E-3</v>
      </c>
      <c r="L95" s="9" t="str">
        <f t="shared" si="16"/>
        <v>1/500</v>
      </c>
      <c r="M95" s="9">
        <v>1.7</v>
      </c>
      <c r="N95" s="9">
        <v>0</v>
      </c>
      <c r="O95" s="9">
        <f t="shared" si="17"/>
        <v>1.7</v>
      </c>
      <c r="P95" s="9">
        <v>1.6</v>
      </c>
      <c r="Q95" s="9">
        <f t="shared" si="18"/>
        <v>1.7</v>
      </c>
      <c r="R95" s="9">
        <f t="shared" si="19"/>
        <v>1.9</v>
      </c>
      <c r="S95" s="9">
        <f t="shared" si="11"/>
        <v>0.48</v>
      </c>
      <c r="T95" s="9">
        <v>1.6</v>
      </c>
      <c r="U95" s="9">
        <f t="shared" si="12"/>
        <v>1.7</v>
      </c>
      <c r="V95" s="9">
        <f>Sheet1!E97</f>
        <v>1697.92</v>
      </c>
      <c r="W95" s="9">
        <f>Sheet1!G97</f>
        <v>1696.04</v>
      </c>
      <c r="X95" s="14">
        <f t="shared" si="13"/>
        <v>1696.9099999999999</v>
      </c>
      <c r="Y95" s="9"/>
    </row>
    <row r="96" spans="2:25">
      <c r="B96" s="9"/>
      <c r="C96" s="10">
        <f>Sheet1!C98</f>
        <v>2850</v>
      </c>
      <c r="D96" s="9">
        <f t="shared" si="10"/>
        <v>3.75</v>
      </c>
      <c r="E96" s="9">
        <v>3</v>
      </c>
      <c r="F96" s="9">
        <f t="shared" si="14"/>
        <v>1.97</v>
      </c>
      <c r="G96" s="9">
        <f t="shared" si="15"/>
        <v>1.88</v>
      </c>
      <c r="H96" s="9">
        <v>1.1200000000000001</v>
      </c>
      <c r="I96" s="9">
        <v>0.87</v>
      </c>
      <c r="J96" s="9">
        <v>1.4E-2</v>
      </c>
      <c r="K96" s="9">
        <f>Sheet1!K97</f>
        <v>2E-3</v>
      </c>
      <c r="L96" s="9" t="str">
        <f t="shared" si="16"/>
        <v>1/500</v>
      </c>
      <c r="M96" s="9">
        <v>1.7</v>
      </c>
      <c r="N96" s="9">
        <v>0</v>
      </c>
      <c r="O96" s="9">
        <f t="shared" si="17"/>
        <v>1.7</v>
      </c>
      <c r="P96" s="9">
        <v>1.6</v>
      </c>
      <c r="Q96" s="9">
        <f t="shared" si="18"/>
        <v>1.7</v>
      </c>
      <c r="R96" s="9">
        <f t="shared" si="19"/>
        <v>1.9</v>
      </c>
      <c r="S96" s="9">
        <f t="shared" si="11"/>
        <v>0.48</v>
      </c>
      <c r="T96" s="9">
        <v>1.6</v>
      </c>
      <c r="U96" s="9">
        <f t="shared" si="12"/>
        <v>1.7</v>
      </c>
      <c r="V96" s="9">
        <f>Sheet1!E98</f>
        <v>1697.58</v>
      </c>
      <c r="W96" s="9">
        <f>Sheet1!G98</f>
        <v>1695.98</v>
      </c>
      <c r="X96" s="14">
        <f t="shared" si="13"/>
        <v>1696.85</v>
      </c>
      <c r="Y96" s="9"/>
    </row>
    <row r="97" spans="2:25">
      <c r="B97" s="9"/>
      <c r="C97" s="10">
        <f>Sheet1!C99</f>
        <v>2900</v>
      </c>
      <c r="D97" s="9">
        <f t="shared" si="10"/>
        <v>3.75</v>
      </c>
      <c r="E97" s="9">
        <v>3</v>
      </c>
      <c r="F97" s="9">
        <f t="shared" si="14"/>
        <v>1.97</v>
      </c>
      <c r="G97" s="9">
        <f t="shared" si="15"/>
        <v>1.88</v>
      </c>
      <c r="H97" s="9">
        <v>1.1200000000000001</v>
      </c>
      <c r="I97" s="9">
        <v>0.87</v>
      </c>
      <c r="J97" s="9">
        <v>1.4E-2</v>
      </c>
      <c r="K97" s="9">
        <f>Sheet1!K98</f>
        <v>2E-3</v>
      </c>
      <c r="L97" s="9" t="str">
        <f t="shared" si="16"/>
        <v>1/500</v>
      </c>
      <c r="M97" s="9">
        <v>1.7</v>
      </c>
      <c r="N97" s="9">
        <v>0</v>
      </c>
      <c r="O97" s="9">
        <f t="shared" si="17"/>
        <v>1.7</v>
      </c>
      <c r="P97" s="9">
        <v>1.6</v>
      </c>
      <c r="Q97" s="9">
        <f t="shared" si="18"/>
        <v>1.7</v>
      </c>
      <c r="R97" s="9">
        <f t="shared" si="19"/>
        <v>1.9</v>
      </c>
      <c r="S97" s="9">
        <f t="shared" si="11"/>
        <v>0.48</v>
      </c>
      <c r="T97" s="9">
        <v>1.6</v>
      </c>
      <c r="U97" s="9">
        <f t="shared" si="12"/>
        <v>1.7</v>
      </c>
      <c r="V97" s="9">
        <f>Sheet1!E99</f>
        <v>1697.22</v>
      </c>
      <c r="W97" s="9">
        <f>Sheet1!G99</f>
        <v>1695.88</v>
      </c>
      <c r="X97" s="14">
        <f t="shared" si="13"/>
        <v>1696.75</v>
      </c>
      <c r="Y97" s="9"/>
    </row>
    <row r="98" spans="2:25">
      <c r="B98" s="9"/>
      <c r="C98" s="10">
        <f>Sheet1!C100</f>
        <v>2950</v>
      </c>
      <c r="D98" s="9">
        <f t="shared" si="10"/>
        <v>3.75</v>
      </c>
      <c r="E98" s="9">
        <v>3</v>
      </c>
      <c r="F98" s="9">
        <f t="shared" si="14"/>
        <v>1.97</v>
      </c>
      <c r="G98" s="9">
        <f t="shared" si="15"/>
        <v>1.88</v>
      </c>
      <c r="H98" s="9">
        <v>1.1200000000000001</v>
      </c>
      <c r="I98" s="9">
        <v>0.87</v>
      </c>
      <c r="J98" s="9">
        <v>1.4E-2</v>
      </c>
      <c r="K98" s="9">
        <f>Sheet1!K99</f>
        <v>2E-3</v>
      </c>
      <c r="L98" s="9" t="str">
        <f t="shared" si="16"/>
        <v>1/500</v>
      </c>
      <c r="M98" s="9">
        <v>1.7</v>
      </c>
      <c r="N98" s="9">
        <v>0</v>
      </c>
      <c r="O98" s="9">
        <f t="shared" si="17"/>
        <v>1.7</v>
      </c>
      <c r="P98" s="9">
        <v>1.6</v>
      </c>
      <c r="Q98" s="9">
        <f t="shared" si="18"/>
        <v>1.7</v>
      </c>
      <c r="R98" s="9">
        <f t="shared" si="19"/>
        <v>1.9</v>
      </c>
      <c r="S98" s="9">
        <f t="shared" si="11"/>
        <v>0.48</v>
      </c>
      <c r="T98" s="9">
        <v>1.6</v>
      </c>
      <c r="U98" s="9">
        <f t="shared" si="12"/>
        <v>1.7</v>
      </c>
      <c r="V98" s="9">
        <f>Sheet1!E100</f>
        <v>1696.85</v>
      </c>
      <c r="W98" s="9">
        <f>Sheet1!G100</f>
        <v>1695.78</v>
      </c>
      <c r="X98" s="14">
        <f t="shared" si="13"/>
        <v>1696.6499999999999</v>
      </c>
      <c r="Y98" s="9"/>
    </row>
    <row r="99" spans="2:25">
      <c r="B99" s="9"/>
      <c r="C99" s="10">
        <f>Sheet1!C101</f>
        <v>3000</v>
      </c>
      <c r="D99" s="9">
        <f t="shared" si="10"/>
        <v>3.75</v>
      </c>
      <c r="E99" s="9">
        <v>3</v>
      </c>
      <c r="F99" s="9">
        <f t="shared" si="14"/>
        <v>1.97</v>
      </c>
      <c r="G99" s="9">
        <f t="shared" si="15"/>
        <v>1.88</v>
      </c>
      <c r="H99" s="9">
        <v>1.1200000000000001</v>
      </c>
      <c r="I99" s="9">
        <v>0.87</v>
      </c>
      <c r="J99" s="9">
        <v>1.4E-2</v>
      </c>
      <c r="K99" s="9">
        <f>Sheet1!K100</f>
        <v>2E-3</v>
      </c>
      <c r="L99" s="9" t="str">
        <f t="shared" si="16"/>
        <v>1/500</v>
      </c>
      <c r="M99" s="9">
        <v>1.7</v>
      </c>
      <c r="N99" s="9">
        <v>0</v>
      </c>
      <c r="O99" s="9">
        <f t="shared" si="17"/>
        <v>1.7</v>
      </c>
      <c r="P99" s="9">
        <v>1.6</v>
      </c>
      <c r="Q99" s="9">
        <f t="shared" si="18"/>
        <v>1.7</v>
      </c>
      <c r="R99" s="9">
        <f t="shared" si="19"/>
        <v>1.9</v>
      </c>
      <c r="S99" s="9">
        <f t="shared" si="11"/>
        <v>0.48</v>
      </c>
      <c r="T99" s="9">
        <v>1.6</v>
      </c>
      <c r="U99" s="9">
        <f t="shared" si="12"/>
        <v>1.7</v>
      </c>
      <c r="V99" s="9">
        <f>Sheet1!E101</f>
        <v>1696.49</v>
      </c>
      <c r="W99" s="9">
        <f>Sheet1!G101</f>
        <v>1695.68</v>
      </c>
      <c r="X99" s="14">
        <f t="shared" si="13"/>
        <v>1696.55</v>
      </c>
      <c r="Y99" s="9"/>
    </row>
    <row r="100" spans="2:25">
      <c r="B100" s="9"/>
      <c r="C100" s="10">
        <f>Sheet1!C102</f>
        <v>3050</v>
      </c>
      <c r="D100" s="9">
        <f t="shared" si="10"/>
        <v>3.75</v>
      </c>
      <c r="E100" s="9">
        <v>3</v>
      </c>
      <c r="F100" s="9">
        <f t="shared" si="14"/>
        <v>1.97</v>
      </c>
      <c r="G100" s="9">
        <f t="shared" si="15"/>
        <v>1.88</v>
      </c>
      <c r="H100" s="9">
        <v>1.1200000000000001</v>
      </c>
      <c r="I100" s="9">
        <v>0.87</v>
      </c>
      <c r="J100" s="9">
        <v>1.4E-2</v>
      </c>
      <c r="K100" s="9">
        <f>Sheet1!K101</f>
        <v>2E-3</v>
      </c>
      <c r="L100" s="9" t="str">
        <f t="shared" si="16"/>
        <v>1/500</v>
      </c>
      <c r="M100" s="9">
        <v>1.7</v>
      </c>
      <c r="N100" s="9">
        <v>0</v>
      </c>
      <c r="O100" s="9">
        <f t="shared" si="17"/>
        <v>1.7</v>
      </c>
      <c r="P100" s="9">
        <v>1.6</v>
      </c>
      <c r="Q100" s="9">
        <f t="shared" si="18"/>
        <v>1.7</v>
      </c>
      <c r="R100" s="9">
        <f t="shared" si="19"/>
        <v>1.9</v>
      </c>
      <c r="S100" s="9">
        <f t="shared" si="11"/>
        <v>0.48</v>
      </c>
      <c r="T100" s="9">
        <v>1.6</v>
      </c>
      <c r="U100" s="9">
        <f t="shared" si="12"/>
        <v>1.7</v>
      </c>
      <c r="V100" s="9">
        <f>Sheet1!E102</f>
        <v>1696.15</v>
      </c>
      <c r="W100" s="9">
        <f>Sheet1!G102</f>
        <v>1695.58</v>
      </c>
      <c r="X100" s="14">
        <f t="shared" si="13"/>
        <v>1696.4499999999998</v>
      </c>
      <c r="Y100" s="9"/>
    </row>
    <row r="101" spans="2:25">
      <c r="B101" s="9"/>
      <c r="C101" s="10">
        <f>Sheet1!C103</f>
        <v>3100</v>
      </c>
      <c r="D101" s="9">
        <f t="shared" si="10"/>
        <v>3.75</v>
      </c>
      <c r="E101" s="9">
        <v>3</v>
      </c>
      <c r="F101" s="9">
        <f t="shared" si="14"/>
        <v>1.97</v>
      </c>
      <c r="G101" s="9">
        <f t="shared" si="15"/>
        <v>1.88</v>
      </c>
      <c r="H101" s="9">
        <v>1.1200000000000001</v>
      </c>
      <c r="I101" s="9">
        <v>0.87</v>
      </c>
      <c r="J101" s="9">
        <v>1.4E-2</v>
      </c>
      <c r="K101" s="9">
        <f>Sheet1!K102</f>
        <v>2E-3</v>
      </c>
      <c r="L101" s="9" t="str">
        <f t="shared" si="16"/>
        <v>1/500</v>
      </c>
      <c r="M101" s="9">
        <v>1.7</v>
      </c>
      <c r="N101" s="9">
        <v>0</v>
      </c>
      <c r="O101" s="9">
        <f t="shared" si="17"/>
        <v>1.7</v>
      </c>
      <c r="P101" s="9">
        <v>1.6</v>
      </c>
      <c r="Q101" s="9">
        <f t="shared" si="18"/>
        <v>1.7</v>
      </c>
      <c r="R101" s="9">
        <f t="shared" si="19"/>
        <v>1.9</v>
      </c>
      <c r="S101" s="9">
        <f t="shared" si="11"/>
        <v>0.48</v>
      </c>
      <c r="T101" s="9">
        <v>1.6</v>
      </c>
      <c r="U101" s="9">
        <f t="shared" si="12"/>
        <v>1.7</v>
      </c>
      <c r="V101" s="9">
        <f>Sheet1!E103</f>
        <v>1696.08</v>
      </c>
      <c r="W101" s="9">
        <f>Sheet1!G103</f>
        <v>1695.48</v>
      </c>
      <c r="X101" s="14">
        <f t="shared" si="13"/>
        <v>1696.35</v>
      </c>
      <c r="Y101" s="9"/>
    </row>
    <row r="102" spans="2:25">
      <c r="B102" s="9"/>
      <c r="C102" s="10">
        <f>Sheet1!C104</f>
        <v>3150</v>
      </c>
      <c r="D102" s="9">
        <f t="shared" si="10"/>
        <v>3.75</v>
      </c>
      <c r="E102" s="9">
        <v>3</v>
      </c>
      <c r="F102" s="9">
        <f t="shared" si="14"/>
        <v>1.97</v>
      </c>
      <c r="G102" s="9">
        <f t="shared" si="15"/>
        <v>1.88</v>
      </c>
      <c r="H102" s="9">
        <v>1.1200000000000001</v>
      </c>
      <c r="I102" s="9">
        <v>0.87</v>
      </c>
      <c r="J102" s="9">
        <v>1.4E-2</v>
      </c>
      <c r="K102" s="9">
        <f>Sheet1!K103</f>
        <v>2E-3</v>
      </c>
      <c r="L102" s="9" t="str">
        <f t="shared" si="16"/>
        <v>1/500</v>
      </c>
      <c r="M102" s="9">
        <v>1.7</v>
      </c>
      <c r="N102" s="9">
        <v>0</v>
      </c>
      <c r="O102" s="9">
        <f t="shared" si="17"/>
        <v>1.7</v>
      </c>
      <c r="P102" s="9">
        <v>1.6</v>
      </c>
      <c r="Q102" s="9">
        <f t="shared" si="18"/>
        <v>1.7</v>
      </c>
      <c r="R102" s="9">
        <f t="shared" si="19"/>
        <v>1.9</v>
      </c>
      <c r="S102" s="9">
        <f t="shared" si="11"/>
        <v>0.48</v>
      </c>
      <c r="T102" s="9">
        <v>1.6</v>
      </c>
      <c r="U102" s="9">
        <f t="shared" si="12"/>
        <v>1.7</v>
      </c>
      <c r="V102" s="9">
        <f>Sheet1!E104</f>
        <v>1695.59</v>
      </c>
      <c r="W102" s="9">
        <f>Sheet1!G104</f>
        <v>1695.38</v>
      </c>
      <c r="X102" s="14">
        <f t="shared" si="13"/>
        <v>1696.25</v>
      </c>
      <c r="Y102" s="9"/>
    </row>
    <row r="103" spans="2:25">
      <c r="B103" s="9" t="s">
        <v>386</v>
      </c>
      <c r="C103" s="10">
        <f>Sheet1!C105</f>
        <v>3190</v>
      </c>
      <c r="D103" s="9">
        <f t="shared" si="10"/>
        <v>3.75</v>
      </c>
      <c r="E103" s="9">
        <v>3</v>
      </c>
      <c r="F103" s="9">
        <f t="shared" si="14"/>
        <v>1.97</v>
      </c>
      <c r="G103" s="9">
        <f t="shared" si="15"/>
        <v>1.88</v>
      </c>
      <c r="H103" s="9">
        <v>1.1200000000000001</v>
      </c>
      <c r="I103" s="9">
        <v>0.87</v>
      </c>
      <c r="J103" s="9">
        <v>1.4E-2</v>
      </c>
      <c r="K103" s="9">
        <f>Sheet1!K104</f>
        <v>2E-3</v>
      </c>
      <c r="L103" s="9" t="str">
        <f t="shared" si="16"/>
        <v>1/500</v>
      </c>
      <c r="M103" s="9">
        <v>1.7</v>
      </c>
      <c r="N103" s="9">
        <v>0</v>
      </c>
      <c r="O103" s="9">
        <f t="shared" si="17"/>
        <v>1.7</v>
      </c>
      <c r="P103" s="9">
        <v>1.6</v>
      </c>
      <c r="Q103" s="9">
        <f t="shared" si="18"/>
        <v>1.7</v>
      </c>
      <c r="R103" s="9">
        <f t="shared" si="19"/>
        <v>1.9</v>
      </c>
      <c r="S103" s="9">
        <f t="shared" si="11"/>
        <v>0.48</v>
      </c>
      <c r="T103" s="9">
        <v>1.6</v>
      </c>
      <c r="U103" s="9">
        <f t="shared" si="12"/>
        <v>1.7</v>
      </c>
      <c r="V103" s="9">
        <f>Sheet1!E105</f>
        <v>1694.95</v>
      </c>
      <c r="W103" s="9">
        <f>Sheet1!G105</f>
        <v>1695.3</v>
      </c>
      <c r="X103" s="14">
        <f t="shared" si="13"/>
        <v>1696.1699999999998</v>
      </c>
      <c r="Y103" s="9" t="s">
        <v>386</v>
      </c>
    </row>
    <row r="104" spans="2:25">
      <c r="B104" s="9"/>
      <c r="C104" s="10">
        <f>Sheet1!C106</f>
        <v>3193</v>
      </c>
      <c r="D104" s="9">
        <f t="shared" si="10"/>
        <v>3.75</v>
      </c>
      <c r="E104" s="9">
        <v>3</v>
      </c>
      <c r="F104" s="9">
        <f t="shared" si="14"/>
        <v>1.97</v>
      </c>
      <c r="G104" s="9">
        <f t="shared" si="15"/>
        <v>1.88</v>
      </c>
      <c r="H104" s="9">
        <v>1.1200000000000001</v>
      </c>
      <c r="I104" s="9">
        <v>0.87</v>
      </c>
      <c r="J104" s="9">
        <v>1.4E-2</v>
      </c>
      <c r="K104" s="9">
        <f>Sheet1!K105</f>
        <v>2E-3</v>
      </c>
      <c r="L104" s="9" t="str">
        <f t="shared" si="16"/>
        <v>1/500</v>
      </c>
      <c r="M104" s="9">
        <v>1.7</v>
      </c>
      <c r="N104" s="9">
        <v>0</v>
      </c>
      <c r="O104" s="9">
        <f t="shared" si="17"/>
        <v>1.7</v>
      </c>
      <c r="P104" s="9">
        <v>1.6</v>
      </c>
      <c r="Q104" s="9">
        <f t="shared" si="18"/>
        <v>1.7</v>
      </c>
      <c r="R104" s="9">
        <f t="shared" si="19"/>
        <v>1.9</v>
      </c>
      <c r="S104" s="9">
        <f t="shared" si="11"/>
        <v>0.48</v>
      </c>
      <c r="T104" s="9">
        <v>1.6</v>
      </c>
      <c r="U104" s="9">
        <f t="shared" si="12"/>
        <v>1.7</v>
      </c>
      <c r="V104" s="9">
        <f>Sheet1!E106</f>
        <v>1694.95</v>
      </c>
      <c r="W104" s="9">
        <f>Sheet1!G106</f>
        <v>1693.1</v>
      </c>
      <c r="X104" s="14">
        <f t="shared" si="13"/>
        <v>1693.9699999999998</v>
      </c>
      <c r="Y104" s="9"/>
    </row>
    <row r="105" spans="2:25">
      <c r="B105" s="9"/>
      <c r="C105" s="10">
        <f>Sheet1!C107</f>
        <v>3200</v>
      </c>
      <c r="D105" s="9">
        <f t="shared" si="10"/>
        <v>3.75</v>
      </c>
      <c r="E105" s="9">
        <v>3</v>
      </c>
      <c r="F105" s="9">
        <f t="shared" si="14"/>
        <v>1.97</v>
      </c>
      <c r="G105" s="9">
        <f t="shared" si="15"/>
        <v>1.88</v>
      </c>
      <c r="H105" s="9">
        <v>1.1200000000000001</v>
      </c>
      <c r="I105" s="9">
        <v>0.87</v>
      </c>
      <c r="J105" s="9">
        <v>1.4E-2</v>
      </c>
      <c r="K105" s="9">
        <f>Sheet1!K106</f>
        <v>2E-3</v>
      </c>
      <c r="L105" s="9" t="str">
        <f t="shared" si="16"/>
        <v>1/500</v>
      </c>
      <c r="M105" s="9">
        <v>1.7</v>
      </c>
      <c r="N105" s="9">
        <v>0</v>
      </c>
      <c r="O105" s="9">
        <f t="shared" si="17"/>
        <v>1.7</v>
      </c>
      <c r="P105" s="9">
        <v>1.6</v>
      </c>
      <c r="Q105" s="9">
        <f t="shared" si="18"/>
        <v>1.7</v>
      </c>
      <c r="R105" s="9">
        <f t="shared" si="19"/>
        <v>1.9</v>
      </c>
      <c r="S105" s="9">
        <f t="shared" si="11"/>
        <v>0.48</v>
      </c>
      <c r="T105" s="9">
        <v>1.6</v>
      </c>
      <c r="U105" s="9">
        <f t="shared" si="12"/>
        <v>1.7</v>
      </c>
      <c r="V105" s="9">
        <f>Sheet1!E107</f>
        <v>1694.8</v>
      </c>
      <c r="W105" s="9">
        <f>Sheet1!G107</f>
        <v>1693.08</v>
      </c>
      <c r="X105" s="14">
        <f t="shared" si="13"/>
        <v>1693.9499999999998</v>
      </c>
      <c r="Y105" s="9"/>
    </row>
    <row r="106" spans="2:25">
      <c r="B106" s="9"/>
      <c r="C106" s="10">
        <f>Sheet1!C108</f>
        <v>3250</v>
      </c>
      <c r="D106" s="9">
        <f t="shared" si="10"/>
        <v>3.75</v>
      </c>
      <c r="E106" s="9">
        <v>3</v>
      </c>
      <c r="F106" s="9">
        <f t="shared" si="14"/>
        <v>1.97</v>
      </c>
      <c r="G106" s="9">
        <f t="shared" si="15"/>
        <v>1.88</v>
      </c>
      <c r="H106" s="9">
        <v>1.1200000000000001</v>
      </c>
      <c r="I106" s="9">
        <v>0.87</v>
      </c>
      <c r="J106" s="9">
        <v>1.4E-2</v>
      </c>
      <c r="K106" s="9">
        <f>Sheet1!K107</f>
        <v>2E-3</v>
      </c>
      <c r="L106" s="9" t="str">
        <f t="shared" si="16"/>
        <v>1/500</v>
      </c>
      <c r="M106" s="9">
        <v>1.7</v>
      </c>
      <c r="N106" s="9">
        <v>0</v>
      </c>
      <c r="O106" s="9">
        <f t="shared" si="17"/>
        <v>1.7</v>
      </c>
      <c r="P106" s="9">
        <v>1.6</v>
      </c>
      <c r="Q106" s="9">
        <f t="shared" si="18"/>
        <v>1.7</v>
      </c>
      <c r="R106" s="9">
        <f t="shared" si="19"/>
        <v>1.9</v>
      </c>
      <c r="S106" s="9">
        <f t="shared" si="11"/>
        <v>0.48</v>
      </c>
      <c r="T106" s="9">
        <v>1.6</v>
      </c>
      <c r="U106" s="9">
        <f t="shared" si="12"/>
        <v>1.7</v>
      </c>
      <c r="V106" s="9">
        <f>Sheet1!E108</f>
        <v>1694.03</v>
      </c>
      <c r="W106" s="9">
        <f>Sheet1!G108</f>
        <v>1692.98</v>
      </c>
      <c r="X106" s="14">
        <f t="shared" si="13"/>
        <v>1693.85</v>
      </c>
      <c r="Y106" s="9"/>
    </row>
    <row r="107" spans="2:25">
      <c r="B107" s="9"/>
      <c r="C107" s="10">
        <f>Sheet1!C109</f>
        <v>3300</v>
      </c>
      <c r="D107" s="9">
        <f t="shared" si="10"/>
        <v>3.75</v>
      </c>
      <c r="E107" s="9">
        <v>3</v>
      </c>
      <c r="F107" s="9">
        <f t="shared" si="14"/>
        <v>1.97</v>
      </c>
      <c r="G107" s="9">
        <f t="shared" si="15"/>
        <v>1.88</v>
      </c>
      <c r="H107" s="9">
        <v>1.1200000000000001</v>
      </c>
      <c r="I107" s="9">
        <v>0.87</v>
      </c>
      <c r="J107" s="9">
        <v>1.4E-2</v>
      </c>
      <c r="K107" s="9">
        <f>Sheet1!K108</f>
        <v>2E-3</v>
      </c>
      <c r="L107" s="9" t="str">
        <f t="shared" si="16"/>
        <v>1/500</v>
      </c>
      <c r="M107" s="9">
        <v>1.7</v>
      </c>
      <c r="N107" s="9">
        <v>0</v>
      </c>
      <c r="O107" s="9">
        <f t="shared" si="17"/>
        <v>1.7</v>
      </c>
      <c r="P107" s="9">
        <v>1.6</v>
      </c>
      <c r="Q107" s="9">
        <f t="shared" si="18"/>
        <v>1.7</v>
      </c>
      <c r="R107" s="9">
        <f t="shared" si="19"/>
        <v>1.9</v>
      </c>
      <c r="S107" s="9">
        <f t="shared" si="11"/>
        <v>0.48</v>
      </c>
      <c r="T107" s="9">
        <v>1.6</v>
      </c>
      <c r="U107" s="9">
        <f t="shared" si="12"/>
        <v>1.7</v>
      </c>
      <c r="V107" s="9">
        <f>Sheet1!E109</f>
        <v>1693.46</v>
      </c>
      <c r="W107" s="9">
        <f>Sheet1!G109</f>
        <v>1692.88</v>
      </c>
      <c r="X107" s="14">
        <f t="shared" si="13"/>
        <v>1693.75</v>
      </c>
      <c r="Y107" s="9"/>
    </row>
    <row r="108" spans="2:25">
      <c r="B108" s="9"/>
      <c r="C108" s="10">
        <f>Sheet1!C110</f>
        <v>3350</v>
      </c>
      <c r="D108" s="9">
        <f t="shared" si="10"/>
        <v>3.75</v>
      </c>
      <c r="E108" s="9">
        <v>3</v>
      </c>
      <c r="F108" s="9">
        <f t="shared" si="14"/>
        <v>1.97</v>
      </c>
      <c r="G108" s="9">
        <f t="shared" si="15"/>
        <v>1.88</v>
      </c>
      <c r="H108" s="9">
        <v>1.1200000000000001</v>
      </c>
      <c r="I108" s="9">
        <v>0.87</v>
      </c>
      <c r="J108" s="9">
        <v>1.4E-2</v>
      </c>
      <c r="K108" s="9">
        <f>Sheet1!K109</f>
        <v>2E-3</v>
      </c>
      <c r="L108" s="9" t="str">
        <f t="shared" si="16"/>
        <v>1/500</v>
      </c>
      <c r="M108" s="9">
        <v>1.7</v>
      </c>
      <c r="N108" s="9">
        <v>0</v>
      </c>
      <c r="O108" s="9">
        <f t="shared" si="17"/>
        <v>1.7</v>
      </c>
      <c r="P108" s="9">
        <v>1.6</v>
      </c>
      <c r="Q108" s="9">
        <f t="shared" si="18"/>
        <v>1.7</v>
      </c>
      <c r="R108" s="9">
        <f t="shared" si="19"/>
        <v>1.9</v>
      </c>
      <c r="S108" s="9">
        <f t="shared" si="11"/>
        <v>0.48</v>
      </c>
      <c r="T108" s="9">
        <v>1.6</v>
      </c>
      <c r="U108" s="9">
        <f t="shared" si="12"/>
        <v>1.7</v>
      </c>
      <c r="V108" s="9">
        <f>Sheet1!E110</f>
        <v>1692.94</v>
      </c>
      <c r="W108" s="9">
        <f>Sheet1!G110</f>
        <v>1692.78</v>
      </c>
      <c r="X108" s="14">
        <f t="shared" si="13"/>
        <v>1693.6499999999999</v>
      </c>
      <c r="Y108" s="9"/>
    </row>
    <row r="109" spans="2:25">
      <c r="B109" s="9"/>
      <c r="C109" s="10">
        <f>Sheet1!C111</f>
        <v>3400</v>
      </c>
      <c r="D109" s="9">
        <f t="shared" si="10"/>
        <v>3.75</v>
      </c>
      <c r="E109" s="9">
        <v>3</v>
      </c>
      <c r="F109" s="9">
        <f t="shared" si="14"/>
        <v>1.97</v>
      </c>
      <c r="G109" s="9">
        <f t="shared" si="15"/>
        <v>1.88</v>
      </c>
      <c r="H109" s="9">
        <v>1.1200000000000001</v>
      </c>
      <c r="I109" s="9">
        <v>0.87</v>
      </c>
      <c r="J109" s="9">
        <v>1.4E-2</v>
      </c>
      <c r="K109" s="9">
        <f>Sheet1!K110</f>
        <v>2E-3</v>
      </c>
      <c r="L109" s="9" t="str">
        <f t="shared" si="16"/>
        <v>1/500</v>
      </c>
      <c r="M109" s="9">
        <v>1.7</v>
      </c>
      <c r="N109" s="9">
        <v>0</v>
      </c>
      <c r="O109" s="9">
        <f t="shared" si="17"/>
        <v>1.7</v>
      </c>
      <c r="P109" s="9">
        <v>1.6</v>
      </c>
      <c r="Q109" s="9">
        <f t="shared" si="18"/>
        <v>1.7</v>
      </c>
      <c r="R109" s="9">
        <f t="shared" si="19"/>
        <v>1.9</v>
      </c>
      <c r="S109" s="9">
        <f t="shared" si="11"/>
        <v>0.48</v>
      </c>
      <c r="T109" s="9">
        <v>1.6</v>
      </c>
      <c r="U109" s="9">
        <f t="shared" si="12"/>
        <v>1.7</v>
      </c>
      <c r="V109" s="9">
        <f>Sheet1!E111</f>
        <v>1692.58</v>
      </c>
      <c r="W109" s="9">
        <f>Sheet1!G111</f>
        <v>1692.68</v>
      </c>
      <c r="X109" s="14">
        <f t="shared" si="13"/>
        <v>1693.55</v>
      </c>
      <c r="Y109" s="9"/>
    </row>
    <row r="110" spans="2:25">
      <c r="B110" s="9" t="s">
        <v>387</v>
      </c>
      <c r="C110" s="10">
        <f>Sheet1!C112</f>
        <v>3430</v>
      </c>
      <c r="D110" s="9">
        <f t="shared" si="10"/>
        <v>3.75</v>
      </c>
      <c r="E110" s="9">
        <v>3</v>
      </c>
      <c r="F110" s="9">
        <f t="shared" si="14"/>
        <v>1.97</v>
      </c>
      <c r="G110" s="9">
        <f t="shared" si="15"/>
        <v>1.88</v>
      </c>
      <c r="H110" s="9">
        <v>1.1200000000000001</v>
      </c>
      <c r="I110" s="9">
        <v>0.87</v>
      </c>
      <c r="J110" s="9">
        <v>1.4E-2</v>
      </c>
      <c r="K110" s="9">
        <f>Sheet1!K111</f>
        <v>2E-3</v>
      </c>
      <c r="L110" s="9" t="str">
        <f t="shared" si="16"/>
        <v>1/500</v>
      </c>
      <c r="M110" s="9">
        <v>1.7</v>
      </c>
      <c r="N110" s="9">
        <v>0</v>
      </c>
      <c r="O110" s="9">
        <f t="shared" si="17"/>
        <v>1.7</v>
      </c>
      <c r="P110" s="9">
        <v>1.6</v>
      </c>
      <c r="Q110" s="9">
        <f t="shared" si="18"/>
        <v>1.7</v>
      </c>
      <c r="R110" s="9">
        <f t="shared" si="19"/>
        <v>1.9</v>
      </c>
      <c r="S110" s="9">
        <f t="shared" si="11"/>
        <v>0.48</v>
      </c>
      <c r="T110" s="9">
        <v>1.6</v>
      </c>
      <c r="U110" s="9">
        <f t="shared" si="12"/>
        <v>1.7</v>
      </c>
      <c r="V110" s="9">
        <f>Sheet1!E112</f>
        <v>1692.32</v>
      </c>
      <c r="W110" s="9">
        <f>Sheet1!G112</f>
        <v>1692.62</v>
      </c>
      <c r="X110" s="14">
        <f t="shared" si="13"/>
        <v>1693.4899999999998</v>
      </c>
      <c r="Y110" s="9" t="s">
        <v>387</v>
      </c>
    </row>
    <row r="111" spans="2:25">
      <c r="B111" s="9"/>
      <c r="C111" s="10">
        <f>Sheet1!C113</f>
        <v>3433</v>
      </c>
      <c r="D111" s="9">
        <f t="shared" si="10"/>
        <v>3.75</v>
      </c>
      <c r="E111" s="9">
        <v>3</v>
      </c>
      <c r="F111" s="9">
        <f t="shared" si="14"/>
        <v>1.97</v>
      </c>
      <c r="G111" s="9">
        <f t="shared" si="15"/>
        <v>1.88</v>
      </c>
      <c r="H111" s="9">
        <v>1.1200000000000001</v>
      </c>
      <c r="I111" s="9">
        <v>0.87</v>
      </c>
      <c r="J111" s="9">
        <v>1.4E-2</v>
      </c>
      <c r="K111" s="9">
        <f>Sheet1!K112</f>
        <v>2E-3</v>
      </c>
      <c r="L111" s="9" t="str">
        <f t="shared" si="16"/>
        <v>1/500</v>
      </c>
      <c r="M111" s="9">
        <v>1.7</v>
      </c>
      <c r="N111" s="9">
        <v>0</v>
      </c>
      <c r="O111" s="9">
        <f t="shared" si="17"/>
        <v>1.7</v>
      </c>
      <c r="P111" s="9">
        <v>1.6</v>
      </c>
      <c r="Q111" s="9">
        <f t="shared" si="18"/>
        <v>1.7</v>
      </c>
      <c r="R111" s="9">
        <f t="shared" si="19"/>
        <v>1.9</v>
      </c>
      <c r="S111" s="9">
        <f t="shared" si="11"/>
        <v>0.48</v>
      </c>
      <c r="T111" s="9">
        <v>1.6</v>
      </c>
      <c r="U111" s="9">
        <f t="shared" si="12"/>
        <v>1.7</v>
      </c>
      <c r="V111" s="9">
        <f>Sheet1!E113</f>
        <v>1692.32</v>
      </c>
      <c r="W111" s="9">
        <f>Sheet1!G113</f>
        <v>1690.4199999999998</v>
      </c>
      <c r="X111" s="14">
        <f t="shared" si="13"/>
        <v>1691.2899999999997</v>
      </c>
      <c r="Y111" s="9"/>
    </row>
    <row r="112" spans="2:25">
      <c r="B112" s="9"/>
      <c r="C112" s="10">
        <f>Sheet1!C114</f>
        <v>3440</v>
      </c>
      <c r="D112" s="9">
        <f t="shared" si="10"/>
        <v>3.75</v>
      </c>
      <c r="E112" s="9">
        <v>3</v>
      </c>
      <c r="F112" s="9">
        <f t="shared" si="14"/>
        <v>1.97</v>
      </c>
      <c r="G112" s="9">
        <f t="shared" si="15"/>
        <v>1.88</v>
      </c>
      <c r="H112" s="9">
        <v>1.1200000000000001</v>
      </c>
      <c r="I112" s="9">
        <v>0.87</v>
      </c>
      <c r="J112" s="9">
        <v>1.4E-2</v>
      </c>
      <c r="K112" s="9">
        <f>Sheet1!K113</f>
        <v>2E-3</v>
      </c>
      <c r="L112" s="9" t="str">
        <f t="shared" si="16"/>
        <v>1/500</v>
      </c>
      <c r="M112" s="9">
        <v>1.7</v>
      </c>
      <c r="N112" s="9">
        <v>0</v>
      </c>
      <c r="O112" s="9">
        <f t="shared" si="17"/>
        <v>1.7</v>
      </c>
      <c r="P112" s="9">
        <v>1.6</v>
      </c>
      <c r="Q112" s="9">
        <f t="shared" si="18"/>
        <v>1.7</v>
      </c>
      <c r="R112" s="9">
        <f t="shared" si="19"/>
        <v>1.9</v>
      </c>
      <c r="S112" s="9">
        <f t="shared" si="11"/>
        <v>0.48</v>
      </c>
      <c r="T112" s="9">
        <v>1.6</v>
      </c>
      <c r="U112" s="9">
        <f t="shared" si="12"/>
        <v>1.7</v>
      </c>
      <c r="V112" s="9">
        <f>Sheet1!E114</f>
        <v>1692.19</v>
      </c>
      <c r="W112" s="9">
        <f>Sheet1!G114</f>
        <v>1690.4</v>
      </c>
      <c r="X112" s="14">
        <f t="shared" si="13"/>
        <v>1691.27</v>
      </c>
      <c r="Y112" s="9"/>
    </row>
    <row r="113" spans="2:25">
      <c r="B113" s="9"/>
      <c r="C113" s="10">
        <f>Sheet1!C115</f>
        <v>3450</v>
      </c>
      <c r="D113" s="9">
        <f t="shared" si="10"/>
        <v>3.75</v>
      </c>
      <c r="E113" s="9">
        <v>3</v>
      </c>
      <c r="F113" s="9">
        <f t="shared" si="14"/>
        <v>1.97</v>
      </c>
      <c r="G113" s="9">
        <f t="shared" si="15"/>
        <v>1.88</v>
      </c>
      <c r="H113" s="9">
        <v>1.1200000000000001</v>
      </c>
      <c r="I113" s="9">
        <v>0.87</v>
      </c>
      <c r="J113" s="9">
        <v>1.4E-2</v>
      </c>
      <c r="K113" s="9">
        <f>Sheet1!K114</f>
        <v>2E-3</v>
      </c>
      <c r="L113" s="9" t="str">
        <f t="shared" si="16"/>
        <v>1/500</v>
      </c>
      <c r="M113" s="9">
        <v>1.7</v>
      </c>
      <c r="N113" s="9">
        <v>0</v>
      </c>
      <c r="O113" s="9">
        <f t="shared" si="17"/>
        <v>1.7</v>
      </c>
      <c r="P113" s="9">
        <v>1.6</v>
      </c>
      <c r="Q113" s="9">
        <f t="shared" si="18"/>
        <v>1.7</v>
      </c>
      <c r="R113" s="9">
        <f t="shared" si="19"/>
        <v>1.9</v>
      </c>
      <c r="S113" s="9">
        <f t="shared" si="11"/>
        <v>0.48</v>
      </c>
      <c r="T113" s="9">
        <v>1.6</v>
      </c>
      <c r="U113" s="9">
        <f t="shared" si="12"/>
        <v>1.7</v>
      </c>
      <c r="V113" s="9">
        <f>Sheet1!E115</f>
        <v>1692.12</v>
      </c>
      <c r="W113" s="9">
        <f>Sheet1!G115</f>
        <v>1690.38</v>
      </c>
      <c r="X113" s="14">
        <f t="shared" si="13"/>
        <v>1691.25</v>
      </c>
      <c r="Y113" s="9"/>
    </row>
    <row r="114" spans="2:25">
      <c r="B114" s="9"/>
      <c r="C114" s="10">
        <f>Sheet1!C116</f>
        <v>3500</v>
      </c>
      <c r="D114" s="9">
        <f t="shared" si="10"/>
        <v>3.75</v>
      </c>
      <c r="E114" s="9">
        <v>3</v>
      </c>
      <c r="F114" s="9">
        <f t="shared" si="14"/>
        <v>1.97</v>
      </c>
      <c r="G114" s="9">
        <f t="shared" si="15"/>
        <v>1.88</v>
      </c>
      <c r="H114" s="9">
        <v>1.1200000000000001</v>
      </c>
      <c r="I114" s="9">
        <v>0.87</v>
      </c>
      <c r="J114" s="9">
        <v>1.4E-2</v>
      </c>
      <c r="K114" s="9">
        <f>Sheet1!K115</f>
        <v>2E-3</v>
      </c>
      <c r="L114" s="9" t="str">
        <f t="shared" si="16"/>
        <v>1/500</v>
      </c>
      <c r="M114" s="9">
        <v>1.7</v>
      </c>
      <c r="N114" s="9">
        <v>0</v>
      </c>
      <c r="O114" s="9">
        <f t="shared" si="17"/>
        <v>1.7</v>
      </c>
      <c r="P114" s="9">
        <v>1.6</v>
      </c>
      <c r="Q114" s="9">
        <f t="shared" si="18"/>
        <v>1.7</v>
      </c>
      <c r="R114" s="9">
        <f t="shared" si="19"/>
        <v>1.9</v>
      </c>
      <c r="S114" s="9">
        <f t="shared" si="11"/>
        <v>0.48</v>
      </c>
      <c r="T114" s="9">
        <v>1.6</v>
      </c>
      <c r="U114" s="9">
        <f t="shared" si="12"/>
        <v>1.7</v>
      </c>
      <c r="V114" s="9">
        <f>Sheet1!E116</f>
        <v>1691.68</v>
      </c>
      <c r="W114" s="9">
        <f>Sheet1!G116</f>
        <v>1690.28</v>
      </c>
      <c r="X114" s="14">
        <f t="shared" si="13"/>
        <v>1691.1499999999999</v>
      </c>
      <c r="Y114" s="9"/>
    </row>
    <row r="115" spans="2:25">
      <c r="B115" s="9"/>
      <c r="C115" s="10">
        <f>Sheet1!C117</f>
        <v>3550</v>
      </c>
      <c r="D115" s="9">
        <f t="shared" si="10"/>
        <v>3.75</v>
      </c>
      <c r="E115" s="9">
        <v>3</v>
      </c>
      <c r="F115" s="9">
        <f t="shared" si="14"/>
        <v>1.97</v>
      </c>
      <c r="G115" s="9">
        <f t="shared" si="15"/>
        <v>1.88</v>
      </c>
      <c r="H115" s="9">
        <v>1.1200000000000001</v>
      </c>
      <c r="I115" s="9">
        <v>0.87</v>
      </c>
      <c r="J115" s="9">
        <v>1.4E-2</v>
      </c>
      <c r="K115" s="9">
        <f>Sheet1!K116</f>
        <v>2E-3</v>
      </c>
      <c r="L115" s="9" t="str">
        <f t="shared" si="16"/>
        <v>1/500</v>
      </c>
      <c r="M115" s="9">
        <v>1.7</v>
      </c>
      <c r="N115" s="9">
        <v>0</v>
      </c>
      <c r="O115" s="9">
        <f t="shared" si="17"/>
        <v>1.7</v>
      </c>
      <c r="P115" s="9">
        <v>1.6</v>
      </c>
      <c r="Q115" s="9">
        <f t="shared" si="18"/>
        <v>1.7</v>
      </c>
      <c r="R115" s="9">
        <f t="shared" si="19"/>
        <v>1.9</v>
      </c>
      <c r="S115" s="9">
        <f t="shared" si="11"/>
        <v>0.48</v>
      </c>
      <c r="T115" s="9">
        <v>1.6</v>
      </c>
      <c r="U115" s="9">
        <f t="shared" si="12"/>
        <v>1.7</v>
      </c>
      <c r="V115" s="9">
        <f>Sheet1!E117</f>
        <v>1691.26</v>
      </c>
      <c r="W115" s="9">
        <f>Sheet1!G117</f>
        <v>1690.18</v>
      </c>
      <c r="X115" s="14">
        <f t="shared" si="13"/>
        <v>1691.05</v>
      </c>
      <c r="Y115" s="9"/>
    </row>
    <row r="116" spans="2:25">
      <c r="B116" s="9"/>
      <c r="C116" s="10">
        <f>Sheet1!C118</f>
        <v>3600</v>
      </c>
      <c r="D116" s="9">
        <f t="shared" si="10"/>
        <v>3.75</v>
      </c>
      <c r="E116" s="9">
        <v>3</v>
      </c>
      <c r="F116" s="9">
        <f t="shared" si="14"/>
        <v>1.97</v>
      </c>
      <c r="G116" s="9">
        <f t="shared" si="15"/>
        <v>1.88</v>
      </c>
      <c r="H116" s="9">
        <v>1.1200000000000001</v>
      </c>
      <c r="I116" s="9">
        <v>0.87</v>
      </c>
      <c r="J116" s="9">
        <v>1.4E-2</v>
      </c>
      <c r="K116" s="9">
        <f>Sheet1!K117</f>
        <v>2E-3</v>
      </c>
      <c r="L116" s="9" t="str">
        <f t="shared" si="16"/>
        <v>1/500</v>
      </c>
      <c r="M116" s="9">
        <v>1.7</v>
      </c>
      <c r="N116" s="9">
        <v>0</v>
      </c>
      <c r="O116" s="9">
        <f t="shared" si="17"/>
        <v>1.7</v>
      </c>
      <c r="P116" s="9">
        <v>1.6</v>
      </c>
      <c r="Q116" s="9">
        <f t="shared" si="18"/>
        <v>1.7</v>
      </c>
      <c r="R116" s="9">
        <f t="shared" si="19"/>
        <v>1.9</v>
      </c>
      <c r="S116" s="9">
        <f t="shared" si="11"/>
        <v>0.48</v>
      </c>
      <c r="T116" s="9">
        <v>1.6</v>
      </c>
      <c r="U116" s="9">
        <f t="shared" si="12"/>
        <v>1.7</v>
      </c>
      <c r="V116" s="9">
        <f>Sheet1!E118</f>
        <v>1691.08</v>
      </c>
      <c r="W116" s="9">
        <f>Sheet1!G118</f>
        <v>1690.08</v>
      </c>
      <c r="X116" s="14">
        <f t="shared" si="13"/>
        <v>1690.9499999999998</v>
      </c>
      <c r="Y116" s="9"/>
    </row>
    <row r="117" spans="2:25">
      <c r="B117" s="9"/>
      <c r="C117" s="10">
        <f>Sheet1!C119</f>
        <v>3650</v>
      </c>
      <c r="D117" s="9">
        <f t="shared" si="10"/>
        <v>3.75</v>
      </c>
      <c r="E117" s="9">
        <v>3</v>
      </c>
      <c r="F117" s="9">
        <f t="shared" si="14"/>
        <v>1.97</v>
      </c>
      <c r="G117" s="9">
        <f t="shared" si="15"/>
        <v>1.88</v>
      </c>
      <c r="H117" s="9">
        <v>1.1200000000000001</v>
      </c>
      <c r="I117" s="9">
        <v>0.87</v>
      </c>
      <c r="J117" s="9">
        <v>1.4E-2</v>
      </c>
      <c r="K117" s="9">
        <f>Sheet1!K118</f>
        <v>2E-3</v>
      </c>
      <c r="L117" s="9" t="str">
        <f t="shared" si="16"/>
        <v>1/500</v>
      </c>
      <c r="M117" s="9">
        <v>1.7</v>
      </c>
      <c r="N117" s="9">
        <v>0</v>
      </c>
      <c r="O117" s="9">
        <f t="shared" si="17"/>
        <v>1.7</v>
      </c>
      <c r="P117" s="9">
        <v>1.6</v>
      </c>
      <c r="Q117" s="9">
        <f t="shared" si="18"/>
        <v>1.7</v>
      </c>
      <c r="R117" s="9">
        <f t="shared" si="19"/>
        <v>1.9</v>
      </c>
      <c r="S117" s="9">
        <f t="shared" si="11"/>
        <v>0.48</v>
      </c>
      <c r="T117" s="9">
        <v>1.6</v>
      </c>
      <c r="U117" s="9">
        <f t="shared" si="12"/>
        <v>1.7</v>
      </c>
      <c r="V117" s="9">
        <f>Sheet1!E119</f>
        <v>1690.28</v>
      </c>
      <c r="W117" s="9">
        <f>Sheet1!G119</f>
        <v>1689.98</v>
      </c>
      <c r="X117" s="14">
        <f t="shared" si="13"/>
        <v>1690.85</v>
      </c>
      <c r="Y117" s="9"/>
    </row>
    <row r="118" spans="2:25">
      <c r="B118" s="9"/>
      <c r="C118" s="10">
        <f>Sheet1!C120</f>
        <v>3700</v>
      </c>
      <c r="D118" s="9">
        <f t="shared" si="10"/>
        <v>3.75</v>
      </c>
      <c r="E118" s="9">
        <v>3</v>
      </c>
      <c r="F118" s="9">
        <f t="shared" si="14"/>
        <v>1.97</v>
      </c>
      <c r="G118" s="9">
        <f t="shared" si="15"/>
        <v>1.88</v>
      </c>
      <c r="H118" s="9">
        <v>1.1200000000000001</v>
      </c>
      <c r="I118" s="9">
        <v>0.87</v>
      </c>
      <c r="J118" s="9">
        <v>1.4E-2</v>
      </c>
      <c r="K118" s="9">
        <f>Sheet1!K119</f>
        <v>2E-3</v>
      </c>
      <c r="L118" s="9" t="str">
        <f t="shared" si="16"/>
        <v>1/500</v>
      </c>
      <c r="M118" s="9">
        <v>1.7</v>
      </c>
      <c r="N118" s="9">
        <v>0</v>
      </c>
      <c r="O118" s="9">
        <f t="shared" si="17"/>
        <v>1.7</v>
      </c>
      <c r="P118" s="9">
        <v>1.6</v>
      </c>
      <c r="Q118" s="9">
        <f t="shared" si="18"/>
        <v>1.7</v>
      </c>
      <c r="R118" s="9">
        <f t="shared" si="19"/>
        <v>1.9</v>
      </c>
      <c r="S118" s="9">
        <f t="shared" si="11"/>
        <v>0.48</v>
      </c>
      <c r="T118" s="9">
        <v>1.6</v>
      </c>
      <c r="U118" s="9">
        <f t="shared" si="12"/>
        <v>1.7</v>
      </c>
      <c r="V118" s="9">
        <f>Sheet1!E120</f>
        <v>1689.68</v>
      </c>
      <c r="W118" s="9">
        <f>Sheet1!G120</f>
        <v>1689.88</v>
      </c>
      <c r="X118" s="14">
        <f t="shared" si="13"/>
        <v>1690.75</v>
      </c>
      <c r="Y118" s="9"/>
    </row>
    <row r="119" spans="2:25">
      <c r="B119" s="9" t="s">
        <v>388</v>
      </c>
      <c r="C119" s="10">
        <f>Sheet1!C121</f>
        <v>3730</v>
      </c>
      <c r="D119" s="9">
        <f t="shared" si="10"/>
        <v>3.75</v>
      </c>
      <c r="E119" s="9">
        <v>3</v>
      </c>
      <c r="F119" s="9">
        <f t="shared" si="14"/>
        <v>1.97</v>
      </c>
      <c r="G119" s="9">
        <f t="shared" si="15"/>
        <v>1.88</v>
      </c>
      <c r="H119" s="9">
        <v>1.1200000000000001</v>
      </c>
      <c r="I119" s="9">
        <v>0.87</v>
      </c>
      <c r="J119" s="9">
        <v>1.4E-2</v>
      </c>
      <c r="K119" s="9">
        <f>Sheet1!K120</f>
        <v>2E-3</v>
      </c>
      <c r="L119" s="9" t="str">
        <f t="shared" si="16"/>
        <v>1/500</v>
      </c>
      <c r="M119" s="9">
        <v>1.7</v>
      </c>
      <c r="N119" s="9">
        <v>0</v>
      </c>
      <c r="O119" s="9">
        <f t="shared" si="17"/>
        <v>1.7</v>
      </c>
      <c r="P119" s="9">
        <v>1.6</v>
      </c>
      <c r="Q119" s="9">
        <f t="shared" si="18"/>
        <v>1.7</v>
      </c>
      <c r="R119" s="9">
        <f t="shared" si="19"/>
        <v>1.9</v>
      </c>
      <c r="S119" s="9">
        <f t="shared" si="11"/>
        <v>0.48</v>
      </c>
      <c r="T119" s="9">
        <v>1.6</v>
      </c>
      <c r="U119" s="9">
        <f t="shared" si="12"/>
        <v>1.7</v>
      </c>
      <c r="V119" s="9">
        <f>Sheet1!E121</f>
        <v>1689.54</v>
      </c>
      <c r="W119" s="9">
        <f>Sheet1!G121</f>
        <v>1689.82</v>
      </c>
      <c r="X119" s="14">
        <f t="shared" si="13"/>
        <v>1690.6899999999998</v>
      </c>
      <c r="Y119" s="9" t="s">
        <v>388</v>
      </c>
    </row>
    <row r="120" spans="2:25">
      <c r="B120" s="9"/>
      <c r="C120" s="10">
        <f>Sheet1!C122</f>
        <v>3733</v>
      </c>
      <c r="D120" s="9">
        <f t="shared" si="10"/>
        <v>3.75</v>
      </c>
      <c r="E120" s="9">
        <v>3</v>
      </c>
      <c r="F120" s="9">
        <f t="shared" si="14"/>
        <v>1.97</v>
      </c>
      <c r="G120" s="9">
        <f t="shared" si="15"/>
        <v>1.88</v>
      </c>
      <c r="H120" s="9">
        <v>1.1200000000000001</v>
      </c>
      <c r="I120" s="9">
        <v>0.87</v>
      </c>
      <c r="J120" s="9">
        <v>1.4E-2</v>
      </c>
      <c r="K120" s="9">
        <f>Sheet1!K121</f>
        <v>2E-3</v>
      </c>
      <c r="L120" s="9" t="str">
        <f t="shared" si="16"/>
        <v>1/500</v>
      </c>
      <c r="M120" s="9">
        <v>1.7</v>
      </c>
      <c r="N120" s="9">
        <v>0</v>
      </c>
      <c r="O120" s="9">
        <f t="shared" si="17"/>
        <v>1.7</v>
      </c>
      <c r="P120" s="9">
        <v>1.6</v>
      </c>
      <c r="Q120" s="9">
        <f t="shared" si="18"/>
        <v>1.7</v>
      </c>
      <c r="R120" s="9">
        <f t="shared" si="19"/>
        <v>1.9</v>
      </c>
      <c r="S120" s="9">
        <f t="shared" si="11"/>
        <v>0.48</v>
      </c>
      <c r="T120" s="9">
        <v>1.6</v>
      </c>
      <c r="U120" s="9">
        <f t="shared" si="12"/>
        <v>1.7</v>
      </c>
      <c r="V120" s="9">
        <f>Sheet1!E122</f>
        <v>1689.54</v>
      </c>
      <c r="W120" s="9">
        <f>Sheet1!G122</f>
        <v>1687.62</v>
      </c>
      <c r="X120" s="14">
        <f t="shared" si="13"/>
        <v>1688.4899999999998</v>
      </c>
      <c r="Y120" s="9"/>
    </row>
    <row r="121" spans="2:25">
      <c r="B121" s="9"/>
      <c r="C121" s="10">
        <f>Sheet1!C123</f>
        <v>3750</v>
      </c>
      <c r="D121" s="9">
        <f t="shared" si="10"/>
        <v>3.75</v>
      </c>
      <c r="E121" s="9">
        <v>3</v>
      </c>
      <c r="F121" s="9">
        <f t="shared" si="14"/>
        <v>1.97</v>
      </c>
      <c r="G121" s="9">
        <f t="shared" si="15"/>
        <v>1.88</v>
      </c>
      <c r="H121" s="9">
        <v>1.1200000000000001</v>
      </c>
      <c r="I121" s="9">
        <v>0.87</v>
      </c>
      <c r="J121" s="9">
        <v>1.4E-2</v>
      </c>
      <c r="K121" s="9">
        <f>Sheet1!K122</f>
        <v>2E-3</v>
      </c>
      <c r="L121" s="9" t="str">
        <f t="shared" si="16"/>
        <v>1/500</v>
      </c>
      <c r="M121" s="9">
        <v>1.7</v>
      </c>
      <c r="N121" s="9">
        <v>0</v>
      </c>
      <c r="O121" s="9">
        <f t="shared" si="17"/>
        <v>1.7</v>
      </c>
      <c r="P121" s="9">
        <v>1.6</v>
      </c>
      <c r="Q121" s="9">
        <f t="shared" si="18"/>
        <v>1.7</v>
      </c>
      <c r="R121" s="9">
        <f t="shared" si="19"/>
        <v>1.9</v>
      </c>
      <c r="S121" s="9">
        <f t="shared" si="11"/>
        <v>0.48</v>
      </c>
      <c r="T121" s="9">
        <v>1.6</v>
      </c>
      <c r="U121" s="9">
        <f t="shared" si="12"/>
        <v>1.7</v>
      </c>
      <c r="V121" s="9">
        <f>Sheet1!E123</f>
        <v>1689.4</v>
      </c>
      <c r="W121" s="9">
        <f>Sheet1!G123</f>
        <v>1687.58</v>
      </c>
      <c r="X121" s="14">
        <f t="shared" si="13"/>
        <v>1688.4499999999998</v>
      </c>
      <c r="Y121" s="9"/>
    </row>
    <row r="122" spans="2:25">
      <c r="B122" s="9"/>
      <c r="C122" s="10">
        <f>Sheet1!C124</f>
        <v>3800</v>
      </c>
      <c r="D122" s="9">
        <f t="shared" si="10"/>
        <v>3.75</v>
      </c>
      <c r="E122" s="9">
        <v>3</v>
      </c>
      <c r="F122" s="9">
        <f t="shared" si="14"/>
        <v>1.97</v>
      </c>
      <c r="G122" s="9">
        <f t="shared" si="15"/>
        <v>1.88</v>
      </c>
      <c r="H122" s="9">
        <v>1.1200000000000001</v>
      </c>
      <c r="I122" s="9">
        <v>0.87</v>
      </c>
      <c r="J122" s="9">
        <v>1.4E-2</v>
      </c>
      <c r="K122" s="9">
        <f>Sheet1!K123</f>
        <v>2E-3</v>
      </c>
      <c r="L122" s="9" t="str">
        <f t="shared" si="16"/>
        <v>1/500</v>
      </c>
      <c r="M122" s="9">
        <v>1.7</v>
      </c>
      <c r="N122" s="9">
        <v>0</v>
      </c>
      <c r="O122" s="9">
        <f t="shared" si="17"/>
        <v>1.7</v>
      </c>
      <c r="P122" s="9">
        <v>1.6</v>
      </c>
      <c r="Q122" s="9">
        <f t="shared" si="18"/>
        <v>1.7</v>
      </c>
      <c r="R122" s="9">
        <f t="shared" si="19"/>
        <v>1.9</v>
      </c>
      <c r="S122" s="9">
        <f t="shared" si="11"/>
        <v>0.48</v>
      </c>
      <c r="T122" s="9">
        <v>1.6</v>
      </c>
      <c r="U122" s="9">
        <f t="shared" si="12"/>
        <v>1.7</v>
      </c>
      <c r="V122" s="9">
        <f>Sheet1!E124</f>
        <v>1688.83</v>
      </c>
      <c r="W122" s="9">
        <f>Sheet1!G124</f>
        <v>1687.48</v>
      </c>
      <c r="X122" s="14">
        <f t="shared" si="13"/>
        <v>1688.35</v>
      </c>
      <c r="Y122" s="9"/>
    </row>
    <row r="123" spans="2:25">
      <c r="B123" s="9"/>
      <c r="C123" s="10">
        <f>Sheet1!C125</f>
        <v>3850</v>
      </c>
      <c r="D123" s="9">
        <f t="shared" si="10"/>
        <v>3.75</v>
      </c>
      <c r="E123" s="9">
        <v>3</v>
      </c>
      <c r="F123" s="9">
        <f t="shared" si="14"/>
        <v>1.97</v>
      </c>
      <c r="G123" s="9">
        <f t="shared" si="15"/>
        <v>1.88</v>
      </c>
      <c r="H123" s="9">
        <v>1.1200000000000001</v>
      </c>
      <c r="I123" s="9">
        <v>0.87</v>
      </c>
      <c r="J123" s="9">
        <v>1.4E-2</v>
      </c>
      <c r="K123" s="9">
        <f>Sheet1!K124</f>
        <v>2E-3</v>
      </c>
      <c r="L123" s="9" t="str">
        <f t="shared" si="16"/>
        <v>1/500</v>
      </c>
      <c r="M123" s="9">
        <v>1.7</v>
      </c>
      <c r="N123" s="9">
        <v>0</v>
      </c>
      <c r="O123" s="9">
        <f t="shared" si="17"/>
        <v>1.7</v>
      </c>
      <c r="P123" s="9">
        <v>1.6</v>
      </c>
      <c r="Q123" s="9">
        <f t="shared" si="18"/>
        <v>1.7</v>
      </c>
      <c r="R123" s="9">
        <f t="shared" si="19"/>
        <v>1.9</v>
      </c>
      <c r="S123" s="9">
        <f t="shared" si="11"/>
        <v>0.48</v>
      </c>
      <c r="T123" s="9">
        <v>1.6</v>
      </c>
      <c r="U123" s="9">
        <f t="shared" si="12"/>
        <v>1.7</v>
      </c>
      <c r="V123" s="9">
        <f>Sheet1!E125</f>
        <v>1688.38</v>
      </c>
      <c r="W123" s="9">
        <f>Sheet1!G125</f>
        <v>1687.38</v>
      </c>
      <c r="X123" s="14">
        <f t="shared" si="13"/>
        <v>1688.25</v>
      </c>
      <c r="Y123" s="9"/>
    </row>
    <row r="124" spans="2:25">
      <c r="B124" s="9"/>
      <c r="C124" s="10">
        <f>Sheet1!C126</f>
        <v>3900</v>
      </c>
      <c r="D124" s="9">
        <f t="shared" si="10"/>
        <v>3.75</v>
      </c>
      <c r="E124" s="9">
        <v>3</v>
      </c>
      <c r="F124" s="9">
        <f t="shared" si="14"/>
        <v>1.97</v>
      </c>
      <c r="G124" s="9">
        <f t="shared" si="15"/>
        <v>1.88</v>
      </c>
      <c r="H124" s="9">
        <v>1.1200000000000001</v>
      </c>
      <c r="I124" s="9">
        <v>0.87</v>
      </c>
      <c r="J124" s="9">
        <v>1.4E-2</v>
      </c>
      <c r="K124" s="9">
        <f>Sheet1!K125</f>
        <v>2E-3</v>
      </c>
      <c r="L124" s="9" t="str">
        <f t="shared" si="16"/>
        <v>1/500</v>
      </c>
      <c r="M124" s="9">
        <v>1.7</v>
      </c>
      <c r="N124" s="9">
        <v>0</v>
      </c>
      <c r="O124" s="9">
        <f t="shared" si="17"/>
        <v>1.7</v>
      </c>
      <c r="P124" s="9">
        <v>1.6</v>
      </c>
      <c r="Q124" s="9">
        <f t="shared" si="18"/>
        <v>1.7</v>
      </c>
      <c r="R124" s="9">
        <f t="shared" si="19"/>
        <v>1.9</v>
      </c>
      <c r="S124" s="9">
        <f t="shared" si="11"/>
        <v>0.48</v>
      </c>
      <c r="T124" s="9">
        <v>1.6</v>
      </c>
      <c r="U124" s="9">
        <f t="shared" si="12"/>
        <v>1.7</v>
      </c>
      <c r="V124" s="9">
        <f>Sheet1!E126</f>
        <v>1688.14</v>
      </c>
      <c r="W124" s="9">
        <f>Sheet1!G126</f>
        <v>1687.28</v>
      </c>
      <c r="X124" s="14">
        <f t="shared" si="13"/>
        <v>1688.1499999999999</v>
      </c>
      <c r="Y124" s="9"/>
    </row>
    <row r="125" spans="2:25">
      <c r="B125" s="9"/>
      <c r="C125" s="10">
        <f>Sheet1!C127</f>
        <v>3950</v>
      </c>
      <c r="D125" s="9">
        <f t="shared" si="10"/>
        <v>3.75</v>
      </c>
      <c r="E125" s="9">
        <v>3</v>
      </c>
      <c r="F125" s="9">
        <f t="shared" si="14"/>
        <v>1.97</v>
      </c>
      <c r="G125" s="9">
        <f t="shared" si="15"/>
        <v>1.88</v>
      </c>
      <c r="H125" s="9">
        <v>1.1200000000000001</v>
      </c>
      <c r="I125" s="9">
        <v>0.87</v>
      </c>
      <c r="J125" s="9">
        <v>1.4E-2</v>
      </c>
      <c r="K125" s="9">
        <f>Sheet1!K126</f>
        <v>2E-3</v>
      </c>
      <c r="L125" s="9" t="str">
        <f t="shared" si="16"/>
        <v>1/500</v>
      </c>
      <c r="M125" s="9">
        <v>1.7</v>
      </c>
      <c r="N125" s="9">
        <v>0</v>
      </c>
      <c r="O125" s="9">
        <f t="shared" si="17"/>
        <v>1.7</v>
      </c>
      <c r="P125" s="9">
        <v>1.6</v>
      </c>
      <c r="Q125" s="9">
        <f t="shared" si="18"/>
        <v>1.7</v>
      </c>
      <c r="R125" s="9">
        <f t="shared" si="19"/>
        <v>1.9</v>
      </c>
      <c r="S125" s="9">
        <f t="shared" si="11"/>
        <v>0.48</v>
      </c>
      <c r="T125" s="9">
        <v>1.6</v>
      </c>
      <c r="U125" s="9">
        <f t="shared" si="12"/>
        <v>1.7</v>
      </c>
      <c r="V125" s="9">
        <f>Sheet1!E127</f>
        <v>1687.94</v>
      </c>
      <c r="W125" s="9">
        <f>Sheet1!G127</f>
        <v>1687.18</v>
      </c>
      <c r="X125" s="14">
        <f t="shared" si="13"/>
        <v>1688.05</v>
      </c>
      <c r="Y125" s="9"/>
    </row>
    <row r="126" spans="2:25">
      <c r="B126" s="9"/>
      <c r="C126" s="10">
        <f>Sheet1!C128</f>
        <v>4000</v>
      </c>
      <c r="D126" s="9">
        <f t="shared" si="10"/>
        <v>3.75</v>
      </c>
      <c r="E126" s="9">
        <v>3</v>
      </c>
      <c r="F126" s="9">
        <f t="shared" si="14"/>
        <v>1.97</v>
      </c>
      <c r="G126" s="9">
        <f t="shared" si="15"/>
        <v>1.88</v>
      </c>
      <c r="H126" s="9">
        <v>1.1200000000000001</v>
      </c>
      <c r="I126" s="9">
        <v>0.87</v>
      </c>
      <c r="J126" s="9">
        <v>1.4E-2</v>
      </c>
      <c r="K126" s="9">
        <f>Sheet1!K127</f>
        <v>2E-3</v>
      </c>
      <c r="L126" s="9" t="str">
        <f t="shared" si="16"/>
        <v>1/500</v>
      </c>
      <c r="M126" s="9">
        <v>1.7</v>
      </c>
      <c r="N126" s="9">
        <v>0</v>
      </c>
      <c r="O126" s="9">
        <f t="shared" si="17"/>
        <v>1.7</v>
      </c>
      <c r="P126" s="9">
        <v>1.6</v>
      </c>
      <c r="Q126" s="9">
        <f t="shared" si="18"/>
        <v>1.7</v>
      </c>
      <c r="R126" s="9">
        <f t="shared" si="19"/>
        <v>1.9</v>
      </c>
      <c r="S126" s="9">
        <f t="shared" si="11"/>
        <v>0.48</v>
      </c>
      <c r="T126" s="9">
        <v>1.6</v>
      </c>
      <c r="U126" s="9">
        <f t="shared" si="12"/>
        <v>1.7</v>
      </c>
      <c r="V126" s="9">
        <f>Sheet1!E128</f>
        <v>1687.54</v>
      </c>
      <c r="W126" s="9">
        <f>Sheet1!G128</f>
        <v>1687.08</v>
      </c>
      <c r="X126" s="14">
        <f t="shared" si="13"/>
        <v>1687.9499999999998</v>
      </c>
      <c r="Y126" s="9"/>
    </row>
    <row r="127" spans="2:25">
      <c r="B127" s="9"/>
      <c r="C127" s="10">
        <f>Sheet1!C129</f>
        <v>4050</v>
      </c>
      <c r="D127" s="9">
        <f t="shared" si="10"/>
        <v>3.75</v>
      </c>
      <c r="E127" s="9">
        <v>3</v>
      </c>
      <c r="F127" s="9">
        <f t="shared" si="14"/>
        <v>1.97</v>
      </c>
      <c r="G127" s="9">
        <f t="shared" si="15"/>
        <v>1.88</v>
      </c>
      <c r="H127" s="9">
        <v>1.1200000000000001</v>
      </c>
      <c r="I127" s="9">
        <v>0.87</v>
      </c>
      <c r="J127" s="9">
        <v>1.4E-2</v>
      </c>
      <c r="K127" s="9">
        <f>Sheet1!K128</f>
        <v>2E-3</v>
      </c>
      <c r="L127" s="9" t="str">
        <f t="shared" si="16"/>
        <v>1/500</v>
      </c>
      <c r="M127" s="9">
        <v>1.7</v>
      </c>
      <c r="N127" s="9">
        <v>0</v>
      </c>
      <c r="O127" s="9">
        <f t="shared" si="17"/>
        <v>1.7</v>
      </c>
      <c r="P127" s="9">
        <v>1.6</v>
      </c>
      <c r="Q127" s="9">
        <f t="shared" si="18"/>
        <v>1.7</v>
      </c>
      <c r="R127" s="9">
        <f t="shared" si="19"/>
        <v>1.9</v>
      </c>
      <c r="S127" s="9">
        <f t="shared" si="11"/>
        <v>0.48</v>
      </c>
      <c r="T127" s="9">
        <v>1.6</v>
      </c>
      <c r="U127" s="9">
        <f t="shared" si="12"/>
        <v>1.7</v>
      </c>
      <c r="V127" s="9">
        <f>Sheet1!E129</f>
        <v>1686.9</v>
      </c>
      <c r="W127" s="9">
        <f>Sheet1!G129</f>
        <v>1686.98</v>
      </c>
      <c r="X127" s="14">
        <f t="shared" si="13"/>
        <v>1687.85</v>
      </c>
      <c r="Y127" s="9"/>
    </row>
    <row r="128" spans="2:25">
      <c r="B128" s="9" t="s">
        <v>389</v>
      </c>
      <c r="C128" s="10">
        <f>Sheet1!C130</f>
        <v>4080</v>
      </c>
      <c r="D128" s="9">
        <f t="shared" si="10"/>
        <v>3.75</v>
      </c>
      <c r="E128" s="9">
        <v>3</v>
      </c>
      <c r="F128" s="9">
        <f t="shared" si="14"/>
        <v>1.97</v>
      </c>
      <c r="G128" s="9">
        <f t="shared" si="15"/>
        <v>1.88</v>
      </c>
      <c r="H128" s="9">
        <v>1.1200000000000001</v>
      </c>
      <c r="I128" s="9">
        <v>0.87</v>
      </c>
      <c r="J128" s="9">
        <v>1.4E-2</v>
      </c>
      <c r="K128" s="9">
        <f>Sheet1!K129</f>
        <v>2E-3</v>
      </c>
      <c r="L128" s="9" t="str">
        <f t="shared" si="16"/>
        <v>1/500</v>
      </c>
      <c r="M128" s="9">
        <v>1.7</v>
      </c>
      <c r="N128" s="9">
        <v>0</v>
      </c>
      <c r="O128" s="9">
        <f t="shared" si="17"/>
        <v>1.7</v>
      </c>
      <c r="P128" s="9">
        <v>1.6</v>
      </c>
      <c r="Q128" s="9">
        <f t="shared" si="18"/>
        <v>1.7</v>
      </c>
      <c r="R128" s="9">
        <f t="shared" si="19"/>
        <v>1.9</v>
      </c>
      <c r="S128" s="9">
        <f t="shared" si="11"/>
        <v>0.48</v>
      </c>
      <c r="T128" s="9">
        <v>1.6</v>
      </c>
      <c r="U128" s="9">
        <f t="shared" si="12"/>
        <v>1.7</v>
      </c>
      <c r="V128" s="9">
        <f>Sheet1!E130</f>
        <v>1686.59</v>
      </c>
      <c r="W128" s="9">
        <f>Sheet1!G130</f>
        <v>1686.92</v>
      </c>
      <c r="X128" s="14">
        <f t="shared" si="13"/>
        <v>1687.79</v>
      </c>
      <c r="Y128" s="9" t="s">
        <v>389</v>
      </c>
    </row>
    <row r="129" spans="2:25">
      <c r="B129" s="9"/>
      <c r="C129" s="10">
        <f>Sheet1!C131</f>
        <v>4083</v>
      </c>
      <c r="D129" s="9">
        <f t="shared" si="10"/>
        <v>3.75</v>
      </c>
      <c r="E129" s="9">
        <v>3</v>
      </c>
      <c r="F129" s="9">
        <f t="shared" si="14"/>
        <v>1.97</v>
      </c>
      <c r="G129" s="9">
        <f t="shared" si="15"/>
        <v>1.88</v>
      </c>
      <c r="H129" s="9">
        <v>1.1200000000000001</v>
      </c>
      <c r="I129" s="9">
        <v>0.87</v>
      </c>
      <c r="J129" s="9">
        <v>1.4E-2</v>
      </c>
      <c r="K129" s="9">
        <f>Sheet1!K130</f>
        <v>2E-3</v>
      </c>
      <c r="L129" s="9" t="str">
        <f t="shared" si="16"/>
        <v>1/500</v>
      </c>
      <c r="M129" s="9">
        <v>1.7</v>
      </c>
      <c r="N129" s="9">
        <v>0</v>
      </c>
      <c r="O129" s="9">
        <f t="shared" si="17"/>
        <v>1.7</v>
      </c>
      <c r="P129" s="9">
        <v>1.6</v>
      </c>
      <c r="Q129" s="9">
        <f t="shared" si="18"/>
        <v>1.7</v>
      </c>
      <c r="R129" s="9">
        <f t="shared" si="19"/>
        <v>1.9</v>
      </c>
      <c r="S129" s="9">
        <f t="shared" si="11"/>
        <v>0.48</v>
      </c>
      <c r="T129" s="9">
        <v>1.6</v>
      </c>
      <c r="U129" s="9">
        <f t="shared" si="12"/>
        <v>1.7</v>
      </c>
      <c r="V129" s="9">
        <f>Sheet1!E131</f>
        <v>1686.59</v>
      </c>
      <c r="W129" s="9">
        <f>Sheet1!G131</f>
        <v>1684.72</v>
      </c>
      <c r="X129" s="14">
        <f t="shared" si="13"/>
        <v>1685.59</v>
      </c>
      <c r="Y129" s="9"/>
    </row>
    <row r="130" spans="2:25">
      <c r="B130" s="9"/>
      <c r="C130" s="10">
        <f>Sheet1!C132</f>
        <v>4100</v>
      </c>
      <c r="D130" s="9">
        <f t="shared" si="10"/>
        <v>3.75</v>
      </c>
      <c r="E130" s="9">
        <v>3</v>
      </c>
      <c r="F130" s="9">
        <f t="shared" si="14"/>
        <v>1.97</v>
      </c>
      <c r="G130" s="9">
        <f t="shared" si="15"/>
        <v>1.88</v>
      </c>
      <c r="H130" s="9">
        <v>1.1200000000000001</v>
      </c>
      <c r="I130" s="9">
        <v>0.87</v>
      </c>
      <c r="J130" s="9">
        <v>1.4E-2</v>
      </c>
      <c r="K130" s="9">
        <f>Sheet1!K131</f>
        <v>2E-3</v>
      </c>
      <c r="L130" s="9" t="str">
        <f t="shared" si="16"/>
        <v>1/500</v>
      </c>
      <c r="M130" s="9">
        <v>1.7</v>
      </c>
      <c r="N130" s="9">
        <v>0</v>
      </c>
      <c r="O130" s="9">
        <f t="shared" si="17"/>
        <v>1.7</v>
      </c>
      <c r="P130" s="9">
        <v>1.6</v>
      </c>
      <c r="Q130" s="9">
        <f t="shared" si="18"/>
        <v>1.7</v>
      </c>
      <c r="R130" s="9">
        <f t="shared" si="19"/>
        <v>1.9</v>
      </c>
      <c r="S130" s="9">
        <f t="shared" si="11"/>
        <v>0.48</v>
      </c>
      <c r="T130" s="9">
        <v>1.6</v>
      </c>
      <c r="U130" s="9">
        <f t="shared" si="12"/>
        <v>1.7</v>
      </c>
      <c r="V130" s="9">
        <f>Sheet1!E132</f>
        <v>1686.22</v>
      </c>
      <c r="W130" s="9">
        <f>Sheet1!G132</f>
        <v>1684.68</v>
      </c>
      <c r="X130" s="14">
        <f t="shared" si="13"/>
        <v>1685.55</v>
      </c>
      <c r="Y130" s="9"/>
    </row>
    <row r="131" spans="2:25">
      <c r="B131" s="9"/>
      <c r="C131" s="10">
        <f>Sheet1!C133</f>
        <v>4150</v>
      </c>
      <c r="D131" s="9">
        <f t="shared" si="10"/>
        <v>3.75</v>
      </c>
      <c r="E131" s="9">
        <v>3</v>
      </c>
      <c r="F131" s="9">
        <f t="shared" si="14"/>
        <v>1.97</v>
      </c>
      <c r="G131" s="9">
        <f t="shared" si="15"/>
        <v>1.88</v>
      </c>
      <c r="H131" s="9">
        <v>1.1200000000000001</v>
      </c>
      <c r="I131" s="9">
        <v>0.87</v>
      </c>
      <c r="J131" s="9">
        <v>1.4E-2</v>
      </c>
      <c r="K131" s="9">
        <f>Sheet1!K132</f>
        <v>2E-3</v>
      </c>
      <c r="L131" s="9" t="str">
        <f t="shared" si="16"/>
        <v>1/500</v>
      </c>
      <c r="M131" s="9">
        <v>1.7</v>
      </c>
      <c r="N131" s="9">
        <v>0</v>
      </c>
      <c r="O131" s="9">
        <f t="shared" si="17"/>
        <v>1.7</v>
      </c>
      <c r="P131" s="9">
        <v>1.6</v>
      </c>
      <c r="Q131" s="9">
        <f t="shared" si="18"/>
        <v>1.7</v>
      </c>
      <c r="R131" s="9">
        <f t="shared" si="19"/>
        <v>1.9</v>
      </c>
      <c r="S131" s="9">
        <f t="shared" si="11"/>
        <v>0.48</v>
      </c>
      <c r="T131" s="9">
        <v>1.6</v>
      </c>
      <c r="U131" s="9">
        <f t="shared" si="12"/>
        <v>1.7</v>
      </c>
      <c r="V131" s="9">
        <f>Sheet1!E133</f>
        <v>1685.62</v>
      </c>
      <c r="W131" s="9">
        <f>Sheet1!G133</f>
        <v>1684.58</v>
      </c>
      <c r="X131" s="14">
        <f t="shared" si="13"/>
        <v>1685.4499999999998</v>
      </c>
      <c r="Y131" s="9"/>
    </row>
    <row r="132" spans="2:25">
      <c r="B132" s="9"/>
      <c r="C132" s="10">
        <f>Sheet1!C134</f>
        <v>4200</v>
      </c>
      <c r="D132" s="9">
        <f t="shared" si="10"/>
        <v>3.75</v>
      </c>
      <c r="E132" s="9">
        <v>3</v>
      </c>
      <c r="F132" s="9">
        <f t="shared" si="14"/>
        <v>1.97</v>
      </c>
      <c r="G132" s="9">
        <f t="shared" si="15"/>
        <v>1.88</v>
      </c>
      <c r="H132" s="9">
        <v>1.1200000000000001</v>
      </c>
      <c r="I132" s="9">
        <v>0.87</v>
      </c>
      <c r="J132" s="9">
        <v>1.4E-2</v>
      </c>
      <c r="K132" s="9">
        <f>Sheet1!K133</f>
        <v>2E-3</v>
      </c>
      <c r="L132" s="9" t="str">
        <f t="shared" si="16"/>
        <v>1/500</v>
      </c>
      <c r="M132" s="9">
        <v>1.7</v>
      </c>
      <c r="N132" s="9">
        <v>0</v>
      </c>
      <c r="O132" s="9">
        <f t="shared" si="17"/>
        <v>1.7</v>
      </c>
      <c r="P132" s="9">
        <v>1.6</v>
      </c>
      <c r="Q132" s="9">
        <f t="shared" si="18"/>
        <v>1.7</v>
      </c>
      <c r="R132" s="9">
        <f t="shared" si="19"/>
        <v>1.9</v>
      </c>
      <c r="S132" s="9">
        <f t="shared" si="11"/>
        <v>0.48</v>
      </c>
      <c r="T132" s="9">
        <v>1.6</v>
      </c>
      <c r="U132" s="9">
        <f t="shared" si="12"/>
        <v>1.7</v>
      </c>
      <c r="V132" s="9">
        <f>Sheet1!E134</f>
        <v>1685.09</v>
      </c>
      <c r="W132" s="9">
        <f>Sheet1!G134</f>
        <v>1684.48</v>
      </c>
      <c r="X132" s="14">
        <f t="shared" si="13"/>
        <v>1685.35</v>
      </c>
      <c r="Y132" s="9"/>
    </row>
    <row r="133" spans="2:25">
      <c r="B133" s="9"/>
      <c r="C133" s="10">
        <f>Sheet1!C135</f>
        <v>4250</v>
      </c>
      <c r="D133" s="9">
        <f t="shared" ref="D133:D195" si="20">E133*1.25</f>
        <v>3.75</v>
      </c>
      <c r="E133" s="9">
        <v>3</v>
      </c>
      <c r="F133" s="9">
        <f t="shared" si="14"/>
        <v>1.97</v>
      </c>
      <c r="G133" s="9">
        <f t="shared" si="15"/>
        <v>1.88</v>
      </c>
      <c r="H133" s="9">
        <v>1.1200000000000001</v>
      </c>
      <c r="I133" s="9">
        <v>0.87</v>
      </c>
      <c r="J133" s="9">
        <v>1.4E-2</v>
      </c>
      <c r="K133" s="9">
        <f>Sheet1!K134</f>
        <v>2E-3</v>
      </c>
      <c r="L133" s="9" t="str">
        <f t="shared" si="16"/>
        <v>1/500</v>
      </c>
      <c r="M133" s="9">
        <v>1.7</v>
      </c>
      <c r="N133" s="9">
        <v>0</v>
      </c>
      <c r="O133" s="9">
        <f t="shared" si="17"/>
        <v>1.7</v>
      </c>
      <c r="P133" s="9">
        <v>1.6</v>
      </c>
      <c r="Q133" s="9">
        <f t="shared" si="18"/>
        <v>1.7</v>
      </c>
      <c r="R133" s="9">
        <f t="shared" si="19"/>
        <v>1.9</v>
      </c>
      <c r="S133" s="9">
        <f t="shared" ref="S133:S196" si="21">T133-H133</f>
        <v>0.48</v>
      </c>
      <c r="T133" s="9">
        <v>1.6</v>
      </c>
      <c r="U133" s="9">
        <f t="shared" ref="U133:U196" si="22">M133+T133*N133</f>
        <v>1.7</v>
      </c>
      <c r="V133" s="9">
        <f>Sheet1!E135</f>
        <v>1684.75</v>
      </c>
      <c r="W133" s="9">
        <f>Sheet1!G135</f>
        <v>1684.38</v>
      </c>
      <c r="X133" s="14">
        <f t="shared" ref="X133:X196" si="23">W133+I133</f>
        <v>1685.25</v>
      </c>
      <c r="Y133" s="9"/>
    </row>
    <row r="134" spans="2:25">
      <c r="B134" s="9"/>
      <c r="C134" s="10">
        <f>Sheet1!C136</f>
        <v>4300</v>
      </c>
      <c r="D134" s="9">
        <f t="shared" si="20"/>
        <v>3.75</v>
      </c>
      <c r="E134" s="9">
        <v>3</v>
      </c>
      <c r="F134" s="9">
        <f t="shared" ref="F134:F197" si="24">ROUND(D134/R134,2)</f>
        <v>1.97</v>
      </c>
      <c r="G134" s="9">
        <f t="shared" ref="G134:G197" si="25">ROUND(E134/P134,2)</f>
        <v>1.88</v>
      </c>
      <c r="H134" s="9">
        <v>1.1200000000000001</v>
      </c>
      <c r="I134" s="9">
        <v>0.87</v>
      </c>
      <c r="J134" s="9">
        <v>1.4E-2</v>
      </c>
      <c r="K134" s="9">
        <f>Sheet1!K135</f>
        <v>2E-3</v>
      </c>
      <c r="L134" s="9" t="str">
        <f t="shared" ref="L134:L197" si="26">"1/"&amp;ROUND(1/K134,0)</f>
        <v>1/500</v>
      </c>
      <c r="M134" s="9">
        <v>1.7</v>
      </c>
      <c r="N134" s="9">
        <v>0</v>
      </c>
      <c r="O134" s="9">
        <f t="shared" ref="O134:O197" si="27">ROUND(M134+2*N134*I134,2)</f>
        <v>1.7</v>
      </c>
      <c r="P134" s="9">
        <v>1.6</v>
      </c>
      <c r="Q134" s="9">
        <f t="shared" ref="Q134:Q197" si="28">ROUND(M134+N134*2*H134,2)</f>
        <v>1.7</v>
      </c>
      <c r="R134" s="9">
        <f t="shared" ref="R134:R197" si="29">ROUND((M134+Q134)*H134/2,2)</f>
        <v>1.9</v>
      </c>
      <c r="S134" s="9">
        <f t="shared" si="21"/>
        <v>0.48</v>
      </c>
      <c r="T134" s="9">
        <v>1.6</v>
      </c>
      <c r="U134" s="9">
        <f t="shared" si="22"/>
        <v>1.7</v>
      </c>
      <c r="V134" s="9">
        <f>Sheet1!E136</f>
        <v>1684.32</v>
      </c>
      <c r="W134" s="9">
        <f>Sheet1!G136</f>
        <v>1684.28</v>
      </c>
      <c r="X134" s="14">
        <f t="shared" si="23"/>
        <v>1685.1499999999999</v>
      </c>
      <c r="Y134" s="9"/>
    </row>
    <row r="135" spans="2:25">
      <c r="B135" s="9"/>
      <c r="C135" s="10">
        <f>Sheet1!C137</f>
        <v>4350</v>
      </c>
      <c r="D135" s="9">
        <f t="shared" si="20"/>
        <v>3.75</v>
      </c>
      <c r="E135" s="9">
        <v>3</v>
      </c>
      <c r="F135" s="9">
        <f t="shared" si="24"/>
        <v>1.97</v>
      </c>
      <c r="G135" s="9">
        <f t="shared" si="25"/>
        <v>1.88</v>
      </c>
      <c r="H135" s="9">
        <v>1.1200000000000001</v>
      </c>
      <c r="I135" s="9">
        <v>0.87</v>
      </c>
      <c r="J135" s="9">
        <v>1.4E-2</v>
      </c>
      <c r="K135" s="9">
        <f>Sheet1!K136</f>
        <v>2E-3</v>
      </c>
      <c r="L135" s="9" t="str">
        <f t="shared" si="26"/>
        <v>1/500</v>
      </c>
      <c r="M135" s="9">
        <v>1.7</v>
      </c>
      <c r="N135" s="9">
        <v>0</v>
      </c>
      <c r="O135" s="9">
        <f t="shared" si="27"/>
        <v>1.7</v>
      </c>
      <c r="P135" s="9">
        <v>1.6</v>
      </c>
      <c r="Q135" s="9">
        <f t="shared" si="28"/>
        <v>1.7</v>
      </c>
      <c r="R135" s="9">
        <f t="shared" si="29"/>
        <v>1.9</v>
      </c>
      <c r="S135" s="9">
        <f t="shared" si="21"/>
        <v>0.48</v>
      </c>
      <c r="T135" s="9">
        <v>1.6</v>
      </c>
      <c r="U135" s="9">
        <f t="shared" si="22"/>
        <v>1.7</v>
      </c>
      <c r="V135" s="9">
        <f>Sheet1!E137</f>
        <v>1683.93</v>
      </c>
      <c r="W135" s="9">
        <f>Sheet1!G137</f>
        <v>1684.18</v>
      </c>
      <c r="X135" s="14">
        <f t="shared" si="23"/>
        <v>1685.05</v>
      </c>
      <c r="Y135" s="9"/>
    </row>
    <row r="136" spans="2:25">
      <c r="B136" s="9" t="s">
        <v>390</v>
      </c>
      <c r="C136" s="10">
        <f>Sheet1!C138</f>
        <v>4360</v>
      </c>
      <c r="D136" s="9">
        <f t="shared" si="20"/>
        <v>3.75</v>
      </c>
      <c r="E136" s="9">
        <v>3</v>
      </c>
      <c r="F136" s="9">
        <f t="shared" si="24"/>
        <v>1.97</v>
      </c>
      <c r="G136" s="9">
        <f t="shared" si="25"/>
        <v>1.88</v>
      </c>
      <c r="H136" s="9">
        <v>1.1200000000000001</v>
      </c>
      <c r="I136" s="9">
        <v>0.87</v>
      </c>
      <c r="J136" s="9">
        <v>1.4E-2</v>
      </c>
      <c r="K136" s="9">
        <f>Sheet1!K137</f>
        <v>2E-3</v>
      </c>
      <c r="L136" s="9" t="str">
        <f t="shared" si="26"/>
        <v>1/500</v>
      </c>
      <c r="M136" s="9">
        <v>1.7</v>
      </c>
      <c r="N136" s="9">
        <v>0</v>
      </c>
      <c r="O136" s="9">
        <f t="shared" si="27"/>
        <v>1.7</v>
      </c>
      <c r="P136" s="9">
        <v>1.6</v>
      </c>
      <c r="Q136" s="9">
        <f t="shared" si="28"/>
        <v>1.7</v>
      </c>
      <c r="R136" s="9">
        <f t="shared" si="29"/>
        <v>1.9</v>
      </c>
      <c r="S136" s="9">
        <f t="shared" si="21"/>
        <v>0.48</v>
      </c>
      <c r="T136" s="9">
        <v>1.6</v>
      </c>
      <c r="U136" s="9">
        <f t="shared" si="22"/>
        <v>1.7</v>
      </c>
      <c r="V136" s="9">
        <f>Sheet1!E138</f>
        <v>1683.84</v>
      </c>
      <c r="W136" s="9">
        <f>Sheet1!G138</f>
        <v>1684.16</v>
      </c>
      <c r="X136" s="14">
        <f t="shared" si="23"/>
        <v>1685.03</v>
      </c>
      <c r="Y136" s="9" t="s">
        <v>390</v>
      </c>
    </row>
    <row r="137" spans="2:25">
      <c r="B137" s="9"/>
      <c r="C137" s="10">
        <f>Sheet1!C139</f>
        <v>4363</v>
      </c>
      <c r="D137" s="9">
        <f t="shared" si="20"/>
        <v>3.75</v>
      </c>
      <c r="E137" s="9">
        <v>3</v>
      </c>
      <c r="F137" s="9">
        <f t="shared" si="24"/>
        <v>1.97</v>
      </c>
      <c r="G137" s="9">
        <f t="shared" si="25"/>
        <v>1.88</v>
      </c>
      <c r="H137" s="9">
        <v>1.1200000000000001</v>
      </c>
      <c r="I137" s="9">
        <v>0.87</v>
      </c>
      <c r="J137" s="9">
        <v>1.4E-2</v>
      </c>
      <c r="K137" s="9">
        <f>Sheet1!K138</f>
        <v>2E-3</v>
      </c>
      <c r="L137" s="9" t="str">
        <f t="shared" si="26"/>
        <v>1/500</v>
      </c>
      <c r="M137" s="9">
        <v>1.7</v>
      </c>
      <c r="N137" s="9">
        <v>0</v>
      </c>
      <c r="O137" s="9">
        <f t="shared" si="27"/>
        <v>1.7</v>
      </c>
      <c r="P137" s="9">
        <v>1.6</v>
      </c>
      <c r="Q137" s="9">
        <f t="shared" si="28"/>
        <v>1.7</v>
      </c>
      <c r="R137" s="9">
        <f t="shared" si="29"/>
        <v>1.9</v>
      </c>
      <c r="S137" s="9">
        <f t="shared" si="21"/>
        <v>0.48</v>
      </c>
      <c r="T137" s="9">
        <v>1.6</v>
      </c>
      <c r="U137" s="9">
        <f t="shared" si="22"/>
        <v>1.7</v>
      </c>
      <c r="V137" s="9">
        <f>Sheet1!E139</f>
        <v>1683.84</v>
      </c>
      <c r="W137" s="9">
        <f>Sheet1!G139</f>
        <v>1681.96</v>
      </c>
      <c r="X137" s="14">
        <f t="shared" si="23"/>
        <v>1682.83</v>
      </c>
      <c r="Y137" s="9"/>
    </row>
    <row r="138" spans="2:25">
      <c r="B138" s="9"/>
      <c r="C138" s="10">
        <f>Sheet1!C140</f>
        <v>4400</v>
      </c>
      <c r="D138" s="9">
        <f t="shared" si="20"/>
        <v>3.75</v>
      </c>
      <c r="E138" s="9">
        <v>3</v>
      </c>
      <c r="F138" s="9">
        <f t="shared" si="24"/>
        <v>1.97</v>
      </c>
      <c r="G138" s="9">
        <f t="shared" si="25"/>
        <v>1.88</v>
      </c>
      <c r="H138" s="9">
        <v>1.1200000000000001</v>
      </c>
      <c r="I138" s="9">
        <v>0.87</v>
      </c>
      <c r="J138" s="9">
        <v>1.4E-2</v>
      </c>
      <c r="K138" s="9">
        <f>Sheet1!K139</f>
        <v>2E-3</v>
      </c>
      <c r="L138" s="9" t="str">
        <f t="shared" si="26"/>
        <v>1/500</v>
      </c>
      <c r="M138" s="9">
        <v>1.7</v>
      </c>
      <c r="N138" s="9">
        <v>0</v>
      </c>
      <c r="O138" s="9">
        <f t="shared" si="27"/>
        <v>1.7</v>
      </c>
      <c r="P138" s="9">
        <v>1.6</v>
      </c>
      <c r="Q138" s="9">
        <f t="shared" si="28"/>
        <v>1.7</v>
      </c>
      <c r="R138" s="9">
        <f t="shared" si="29"/>
        <v>1.9</v>
      </c>
      <c r="S138" s="9">
        <f t="shared" si="21"/>
        <v>0.48</v>
      </c>
      <c r="T138" s="9">
        <v>1.6</v>
      </c>
      <c r="U138" s="9">
        <f t="shared" si="22"/>
        <v>1.7</v>
      </c>
      <c r="V138" s="9">
        <f>Sheet1!E140</f>
        <v>1683.46</v>
      </c>
      <c r="W138" s="9">
        <f>Sheet1!G140</f>
        <v>1681.88</v>
      </c>
      <c r="X138" s="14">
        <f t="shared" si="23"/>
        <v>1682.75</v>
      </c>
      <c r="Y138" s="9"/>
    </row>
    <row r="139" spans="2:25">
      <c r="B139" s="9"/>
      <c r="C139" s="10">
        <f>Sheet1!C141</f>
        <v>4450</v>
      </c>
      <c r="D139" s="9">
        <f t="shared" si="20"/>
        <v>3.75</v>
      </c>
      <c r="E139" s="9">
        <v>3</v>
      </c>
      <c r="F139" s="9">
        <f t="shared" si="24"/>
        <v>1.97</v>
      </c>
      <c r="G139" s="9">
        <f t="shared" si="25"/>
        <v>1.88</v>
      </c>
      <c r="H139" s="9">
        <v>1.1200000000000001</v>
      </c>
      <c r="I139" s="9">
        <v>0.87</v>
      </c>
      <c r="J139" s="9">
        <v>1.4E-2</v>
      </c>
      <c r="K139" s="9">
        <f>Sheet1!K140</f>
        <v>2E-3</v>
      </c>
      <c r="L139" s="9" t="str">
        <f t="shared" si="26"/>
        <v>1/500</v>
      </c>
      <c r="M139" s="9">
        <v>1.7</v>
      </c>
      <c r="N139" s="9">
        <v>0</v>
      </c>
      <c r="O139" s="9">
        <f t="shared" si="27"/>
        <v>1.7</v>
      </c>
      <c r="P139" s="9">
        <v>1.6</v>
      </c>
      <c r="Q139" s="9">
        <f t="shared" si="28"/>
        <v>1.7</v>
      </c>
      <c r="R139" s="9">
        <f t="shared" si="29"/>
        <v>1.9</v>
      </c>
      <c r="S139" s="9">
        <f t="shared" si="21"/>
        <v>0.48</v>
      </c>
      <c r="T139" s="9">
        <v>1.6</v>
      </c>
      <c r="U139" s="9">
        <f t="shared" si="22"/>
        <v>1.7</v>
      </c>
      <c r="V139" s="9">
        <f>Sheet1!E141</f>
        <v>1682.83</v>
      </c>
      <c r="W139" s="9">
        <f>Sheet1!G141</f>
        <v>1681.78</v>
      </c>
      <c r="X139" s="14">
        <f t="shared" si="23"/>
        <v>1682.6499999999999</v>
      </c>
      <c r="Y139" s="9"/>
    </row>
    <row r="140" spans="2:25">
      <c r="B140" s="9"/>
      <c r="C140" s="10">
        <f>Sheet1!C142</f>
        <v>4500</v>
      </c>
      <c r="D140" s="9">
        <f t="shared" si="20"/>
        <v>3.75</v>
      </c>
      <c r="E140" s="9">
        <v>3</v>
      </c>
      <c r="F140" s="9">
        <f t="shared" si="24"/>
        <v>1.97</v>
      </c>
      <c r="G140" s="9">
        <f t="shared" si="25"/>
        <v>1.88</v>
      </c>
      <c r="H140" s="9">
        <v>1.1200000000000001</v>
      </c>
      <c r="I140" s="9">
        <v>0.87</v>
      </c>
      <c r="J140" s="9">
        <v>1.4E-2</v>
      </c>
      <c r="K140" s="9">
        <f>Sheet1!K141</f>
        <v>2E-3</v>
      </c>
      <c r="L140" s="9" t="str">
        <f t="shared" si="26"/>
        <v>1/500</v>
      </c>
      <c r="M140" s="9">
        <v>1.7</v>
      </c>
      <c r="N140" s="9">
        <v>0</v>
      </c>
      <c r="O140" s="9">
        <f t="shared" si="27"/>
        <v>1.7</v>
      </c>
      <c r="P140" s="9">
        <v>1.6</v>
      </c>
      <c r="Q140" s="9">
        <f t="shared" si="28"/>
        <v>1.7</v>
      </c>
      <c r="R140" s="9">
        <f t="shared" si="29"/>
        <v>1.9</v>
      </c>
      <c r="S140" s="9">
        <f t="shared" si="21"/>
        <v>0.48</v>
      </c>
      <c r="T140" s="9">
        <v>1.6</v>
      </c>
      <c r="U140" s="9">
        <f t="shared" si="22"/>
        <v>1.7</v>
      </c>
      <c r="V140" s="9">
        <f>Sheet1!E142</f>
        <v>1682.36</v>
      </c>
      <c r="W140" s="9">
        <f>Sheet1!G142</f>
        <v>1681.68</v>
      </c>
      <c r="X140" s="14">
        <f t="shared" si="23"/>
        <v>1682.55</v>
      </c>
      <c r="Y140" s="9"/>
    </row>
    <row r="141" spans="2:25">
      <c r="B141" s="9"/>
      <c r="C141" s="10">
        <f>Sheet1!C143</f>
        <v>4550</v>
      </c>
      <c r="D141" s="9">
        <f t="shared" si="20"/>
        <v>3.75</v>
      </c>
      <c r="E141" s="9">
        <v>3</v>
      </c>
      <c r="F141" s="9">
        <f t="shared" si="24"/>
        <v>1.97</v>
      </c>
      <c r="G141" s="9">
        <f t="shared" si="25"/>
        <v>1.88</v>
      </c>
      <c r="H141" s="9">
        <v>1.1200000000000001</v>
      </c>
      <c r="I141" s="9">
        <v>0.87</v>
      </c>
      <c r="J141" s="9">
        <v>1.4E-2</v>
      </c>
      <c r="K141" s="9">
        <f>Sheet1!K142</f>
        <v>2E-3</v>
      </c>
      <c r="L141" s="9" t="str">
        <f t="shared" si="26"/>
        <v>1/500</v>
      </c>
      <c r="M141" s="9">
        <v>1.7</v>
      </c>
      <c r="N141" s="9">
        <v>0</v>
      </c>
      <c r="O141" s="9">
        <f t="shared" si="27"/>
        <v>1.7</v>
      </c>
      <c r="P141" s="9">
        <v>1.6</v>
      </c>
      <c r="Q141" s="9">
        <f t="shared" si="28"/>
        <v>1.7</v>
      </c>
      <c r="R141" s="9">
        <f t="shared" si="29"/>
        <v>1.9</v>
      </c>
      <c r="S141" s="9">
        <f t="shared" si="21"/>
        <v>0.48</v>
      </c>
      <c r="T141" s="9">
        <v>1.6</v>
      </c>
      <c r="U141" s="9">
        <f t="shared" si="22"/>
        <v>1.7</v>
      </c>
      <c r="V141" s="9">
        <f>Sheet1!E143</f>
        <v>1682.2</v>
      </c>
      <c r="W141" s="9">
        <f>Sheet1!G143</f>
        <v>1681.58</v>
      </c>
      <c r="X141" s="14">
        <f t="shared" si="23"/>
        <v>1682.4499999999998</v>
      </c>
      <c r="Y141" s="9"/>
    </row>
    <row r="142" spans="2:25">
      <c r="B142" s="9"/>
      <c r="C142" s="10">
        <f>Sheet1!C144</f>
        <v>4600</v>
      </c>
      <c r="D142" s="9">
        <f t="shared" si="20"/>
        <v>3.75</v>
      </c>
      <c r="E142" s="9">
        <v>3</v>
      </c>
      <c r="F142" s="9">
        <f t="shared" si="24"/>
        <v>1.97</v>
      </c>
      <c r="G142" s="9">
        <f t="shared" si="25"/>
        <v>1.88</v>
      </c>
      <c r="H142" s="9">
        <v>1.1200000000000001</v>
      </c>
      <c r="I142" s="9">
        <v>0.87</v>
      </c>
      <c r="J142" s="9">
        <v>1.4E-2</v>
      </c>
      <c r="K142" s="9">
        <f>Sheet1!K143</f>
        <v>2E-3</v>
      </c>
      <c r="L142" s="9" t="str">
        <f t="shared" si="26"/>
        <v>1/500</v>
      </c>
      <c r="M142" s="9">
        <v>1.7</v>
      </c>
      <c r="N142" s="9">
        <v>0</v>
      </c>
      <c r="O142" s="9">
        <f t="shared" si="27"/>
        <v>1.7</v>
      </c>
      <c r="P142" s="9">
        <v>1.6</v>
      </c>
      <c r="Q142" s="9">
        <f t="shared" si="28"/>
        <v>1.7</v>
      </c>
      <c r="R142" s="9">
        <f t="shared" si="29"/>
        <v>1.9</v>
      </c>
      <c r="S142" s="9">
        <f t="shared" si="21"/>
        <v>0.48</v>
      </c>
      <c r="T142" s="9">
        <v>1.6</v>
      </c>
      <c r="U142" s="9">
        <f t="shared" si="22"/>
        <v>1.7</v>
      </c>
      <c r="V142" s="9">
        <f>Sheet1!E144</f>
        <v>1681.84</v>
      </c>
      <c r="W142" s="9">
        <f>Sheet1!G144</f>
        <v>1681.48</v>
      </c>
      <c r="X142" s="14">
        <f t="shared" si="23"/>
        <v>1682.35</v>
      </c>
      <c r="Y142" s="9"/>
    </row>
    <row r="143" spans="2:25">
      <c r="B143" s="9" t="s">
        <v>391</v>
      </c>
      <c r="C143" s="10">
        <f>Sheet1!C145</f>
        <v>4650</v>
      </c>
      <c r="D143" s="9">
        <f t="shared" si="20"/>
        <v>3.75</v>
      </c>
      <c r="E143" s="9">
        <v>3</v>
      </c>
      <c r="F143" s="9">
        <f t="shared" si="24"/>
        <v>1.97</v>
      </c>
      <c r="G143" s="9">
        <f t="shared" si="25"/>
        <v>1.88</v>
      </c>
      <c r="H143" s="9">
        <v>1.1200000000000001</v>
      </c>
      <c r="I143" s="9">
        <v>0.87</v>
      </c>
      <c r="J143" s="9">
        <v>1.4E-2</v>
      </c>
      <c r="K143" s="9">
        <f>Sheet1!K144</f>
        <v>2E-3</v>
      </c>
      <c r="L143" s="9" t="str">
        <f t="shared" si="26"/>
        <v>1/500</v>
      </c>
      <c r="M143" s="9">
        <v>1.7</v>
      </c>
      <c r="N143" s="9">
        <v>0</v>
      </c>
      <c r="O143" s="9">
        <f t="shared" si="27"/>
        <v>1.7</v>
      </c>
      <c r="P143" s="9">
        <v>1.6</v>
      </c>
      <c r="Q143" s="9">
        <f t="shared" si="28"/>
        <v>1.7</v>
      </c>
      <c r="R143" s="9">
        <f t="shared" si="29"/>
        <v>1.9</v>
      </c>
      <c r="S143" s="9">
        <f t="shared" si="21"/>
        <v>0.48</v>
      </c>
      <c r="T143" s="9">
        <v>1.6</v>
      </c>
      <c r="U143" s="9">
        <f t="shared" si="22"/>
        <v>1.7</v>
      </c>
      <c r="V143" s="9">
        <f>Sheet1!E145</f>
        <v>1681.08</v>
      </c>
      <c r="W143" s="9">
        <f>Sheet1!G145</f>
        <v>1681.38</v>
      </c>
      <c r="X143" s="14">
        <f t="shared" si="23"/>
        <v>1682.25</v>
      </c>
      <c r="Y143" s="9" t="s">
        <v>391</v>
      </c>
    </row>
    <row r="144" spans="2:25">
      <c r="B144" s="9"/>
      <c r="C144" s="10">
        <f>Sheet1!C146</f>
        <v>4653</v>
      </c>
      <c r="D144" s="9">
        <f t="shared" si="20"/>
        <v>3.75</v>
      </c>
      <c r="E144" s="9">
        <v>3</v>
      </c>
      <c r="F144" s="9">
        <f t="shared" si="24"/>
        <v>1.97</v>
      </c>
      <c r="G144" s="9">
        <f t="shared" si="25"/>
        <v>1.88</v>
      </c>
      <c r="H144" s="9">
        <v>1.1200000000000001</v>
      </c>
      <c r="I144" s="9">
        <v>0.87</v>
      </c>
      <c r="J144" s="9">
        <v>1.4E-2</v>
      </c>
      <c r="K144" s="9">
        <f>Sheet1!K145</f>
        <v>2E-3</v>
      </c>
      <c r="L144" s="9" t="str">
        <f t="shared" si="26"/>
        <v>1/500</v>
      </c>
      <c r="M144" s="9">
        <v>1.7</v>
      </c>
      <c r="N144" s="9">
        <v>0</v>
      </c>
      <c r="O144" s="9">
        <f t="shared" si="27"/>
        <v>1.7</v>
      </c>
      <c r="P144" s="9">
        <v>1.6</v>
      </c>
      <c r="Q144" s="9">
        <f t="shared" si="28"/>
        <v>1.7</v>
      </c>
      <c r="R144" s="9">
        <f t="shared" si="29"/>
        <v>1.9</v>
      </c>
      <c r="S144" s="9">
        <f t="shared" si="21"/>
        <v>0.48</v>
      </c>
      <c r="T144" s="9">
        <v>1.6</v>
      </c>
      <c r="U144" s="9">
        <f t="shared" si="22"/>
        <v>1.7</v>
      </c>
      <c r="V144" s="9">
        <f>Sheet1!E146</f>
        <v>1681.08</v>
      </c>
      <c r="W144" s="9">
        <f>Sheet1!G146</f>
        <v>1679.18</v>
      </c>
      <c r="X144" s="14">
        <f t="shared" si="23"/>
        <v>1680.05</v>
      </c>
      <c r="Y144" s="9"/>
    </row>
    <row r="145" spans="2:25">
      <c r="B145" s="9"/>
      <c r="C145" s="10">
        <f>Sheet1!C147</f>
        <v>4700</v>
      </c>
      <c r="D145" s="9">
        <f t="shared" si="20"/>
        <v>3.75</v>
      </c>
      <c r="E145" s="9">
        <v>3</v>
      </c>
      <c r="F145" s="9">
        <f t="shared" si="24"/>
        <v>1.97</v>
      </c>
      <c r="G145" s="9">
        <f t="shared" si="25"/>
        <v>1.88</v>
      </c>
      <c r="H145" s="9">
        <v>1.1200000000000001</v>
      </c>
      <c r="I145" s="9">
        <v>0.87</v>
      </c>
      <c r="J145" s="9">
        <v>1.4E-2</v>
      </c>
      <c r="K145" s="9">
        <f>Sheet1!K146</f>
        <v>2E-3</v>
      </c>
      <c r="L145" s="9" t="str">
        <f t="shared" si="26"/>
        <v>1/500</v>
      </c>
      <c r="M145" s="9">
        <v>1.7</v>
      </c>
      <c r="N145" s="9">
        <v>0</v>
      </c>
      <c r="O145" s="9">
        <f t="shared" si="27"/>
        <v>1.7</v>
      </c>
      <c r="P145" s="9">
        <v>1.6</v>
      </c>
      <c r="Q145" s="9">
        <f t="shared" si="28"/>
        <v>1.7</v>
      </c>
      <c r="R145" s="9">
        <f t="shared" si="29"/>
        <v>1.9</v>
      </c>
      <c r="S145" s="9">
        <f t="shared" si="21"/>
        <v>0.48</v>
      </c>
      <c r="T145" s="9">
        <v>1.6</v>
      </c>
      <c r="U145" s="9">
        <f t="shared" si="22"/>
        <v>1.7</v>
      </c>
      <c r="V145" s="9">
        <f>Sheet1!E147</f>
        <v>1680.88</v>
      </c>
      <c r="W145" s="9">
        <f>Sheet1!G147</f>
        <v>1679.08</v>
      </c>
      <c r="X145" s="14">
        <f t="shared" si="23"/>
        <v>1679.9499999999998</v>
      </c>
      <c r="Y145" s="9"/>
    </row>
    <row r="146" spans="2:25">
      <c r="B146" s="9"/>
      <c r="C146" s="10">
        <f>Sheet1!C148</f>
        <v>4750</v>
      </c>
      <c r="D146" s="9">
        <f t="shared" si="20"/>
        <v>3.75</v>
      </c>
      <c r="E146" s="9">
        <v>3</v>
      </c>
      <c r="F146" s="9">
        <f t="shared" si="24"/>
        <v>1.97</v>
      </c>
      <c r="G146" s="9">
        <f t="shared" si="25"/>
        <v>1.88</v>
      </c>
      <c r="H146" s="9">
        <v>1.1200000000000001</v>
      </c>
      <c r="I146" s="9">
        <v>0.87</v>
      </c>
      <c r="J146" s="9">
        <v>1.4E-2</v>
      </c>
      <c r="K146" s="9">
        <f>Sheet1!K147</f>
        <v>2E-3</v>
      </c>
      <c r="L146" s="9" t="str">
        <f t="shared" si="26"/>
        <v>1/500</v>
      </c>
      <c r="M146" s="9">
        <v>1.7</v>
      </c>
      <c r="N146" s="9">
        <v>0</v>
      </c>
      <c r="O146" s="9">
        <f t="shared" si="27"/>
        <v>1.7</v>
      </c>
      <c r="P146" s="9">
        <v>1.6</v>
      </c>
      <c r="Q146" s="9">
        <f t="shared" si="28"/>
        <v>1.7</v>
      </c>
      <c r="R146" s="9">
        <f t="shared" si="29"/>
        <v>1.9</v>
      </c>
      <c r="S146" s="9">
        <f t="shared" si="21"/>
        <v>0.48</v>
      </c>
      <c r="T146" s="9">
        <v>1.6</v>
      </c>
      <c r="U146" s="9">
        <f t="shared" si="22"/>
        <v>1.7</v>
      </c>
      <c r="V146" s="9">
        <f>Sheet1!E148</f>
        <v>1680.36</v>
      </c>
      <c r="W146" s="9">
        <f>Sheet1!G148</f>
        <v>1678.98</v>
      </c>
      <c r="X146" s="14">
        <f t="shared" si="23"/>
        <v>1679.85</v>
      </c>
      <c r="Y146" s="9"/>
    </row>
    <row r="147" spans="2:25">
      <c r="B147" s="9"/>
      <c r="C147" s="10">
        <f>Sheet1!C149</f>
        <v>4800</v>
      </c>
      <c r="D147" s="9">
        <f t="shared" si="20"/>
        <v>3.75</v>
      </c>
      <c r="E147" s="9">
        <v>3</v>
      </c>
      <c r="F147" s="9">
        <f t="shared" si="24"/>
        <v>1.97</v>
      </c>
      <c r="G147" s="9">
        <f t="shared" si="25"/>
        <v>1.88</v>
      </c>
      <c r="H147" s="9">
        <v>1.1200000000000001</v>
      </c>
      <c r="I147" s="9">
        <v>0.87</v>
      </c>
      <c r="J147" s="9">
        <v>1.4E-2</v>
      </c>
      <c r="K147" s="9">
        <f>Sheet1!K148</f>
        <v>2E-3</v>
      </c>
      <c r="L147" s="9" t="str">
        <f t="shared" si="26"/>
        <v>1/500</v>
      </c>
      <c r="M147" s="9">
        <v>1.7</v>
      </c>
      <c r="N147" s="9">
        <v>0</v>
      </c>
      <c r="O147" s="9">
        <f t="shared" si="27"/>
        <v>1.7</v>
      </c>
      <c r="P147" s="9">
        <v>1.6</v>
      </c>
      <c r="Q147" s="9">
        <f t="shared" si="28"/>
        <v>1.7</v>
      </c>
      <c r="R147" s="9">
        <f t="shared" si="29"/>
        <v>1.9</v>
      </c>
      <c r="S147" s="9">
        <f t="shared" si="21"/>
        <v>0.48</v>
      </c>
      <c r="T147" s="9">
        <v>1.6</v>
      </c>
      <c r="U147" s="9">
        <f t="shared" si="22"/>
        <v>1.7</v>
      </c>
      <c r="V147" s="9">
        <f>Sheet1!E149</f>
        <v>1679.95</v>
      </c>
      <c r="W147" s="9">
        <f>Sheet1!G149</f>
        <v>1678.88</v>
      </c>
      <c r="X147" s="14">
        <f t="shared" si="23"/>
        <v>1679.75</v>
      </c>
      <c r="Y147" s="9"/>
    </row>
    <row r="148" spans="2:25">
      <c r="B148" s="9"/>
      <c r="C148" s="10">
        <f>Sheet1!C150</f>
        <v>4850</v>
      </c>
      <c r="D148" s="9">
        <f t="shared" si="20"/>
        <v>3.75</v>
      </c>
      <c r="E148" s="9">
        <v>3</v>
      </c>
      <c r="F148" s="9">
        <f t="shared" si="24"/>
        <v>1.97</v>
      </c>
      <c r="G148" s="9">
        <f t="shared" si="25"/>
        <v>1.88</v>
      </c>
      <c r="H148" s="9">
        <v>1.1200000000000001</v>
      </c>
      <c r="I148" s="9">
        <v>0.87</v>
      </c>
      <c r="J148" s="9">
        <v>1.4E-2</v>
      </c>
      <c r="K148" s="9">
        <f>Sheet1!K149</f>
        <v>2E-3</v>
      </c>
      <c r="L148" s="9" t="str">
        <f t="shared" si="26"/>
        <v>1/500</v>
      </c>
      <c r="M148" s="9">
        <v>1.7</v>
      </c>
      <c r="N148" s="9">
        <v>0</v>
      </c>
      <c r="O148" s="9">
        <f t="shared" si="27"/>
        <v>1.7</v>
      </c>
      <c r="P148" s="9">
        <v>1.6</v>
      </c>
      <c r="Q148" s="9">
        <f t="shared" si="28"/>
        <v>1.7</v>
      </c>
      <c r="R148" s="9">
        <f t="shared" si="29"/>
        <v>1.9</v>
      </c>
      <c r="S148" s="9">
        <f t="shared" si="21"/>
        <v>0.48</v>
      </c>
      <c r="T148" s="9">
        <v>1.6</v>
      </c>
      <c r="U148" s="9">
        <f t="shared" si="22"/>
        <v>1.7</v>
      </c>
      <c r="V148" s="9">
        <f>Sheet1!E150</f>
        <v>1679.51</v>
      </c>
      <c r="W148" s="9">
        <f>Sheet1!G150</f>
        <v>1678.78</v>
      </c>
      <c r="X148" s="14">
        <f t="shared" si="23"/>
        <v>1679.6499999999999</v>
      </c>
      <c r="Y148" s="9"/>
    </row>
    <row r="149" spans="2:25">
      <c r="B149" s="9"/>
      <c r="C149" s="10">
        <f>Sheet1!C151</f>
        <v>4900</v>
      </c>
      <c r="D149" s="9">
        <f t="shared" si="20"/>
        <v>3.75</v>
      </c>
      <c r="E149" s="9">
        <v>3</v>
      </c>
      <c r="F149" s="9">
        <f t="shared" si="24"/>
        <v>1.97</v>
      </c>
      <c r="G149" s="9">
        <f t="shared" si="25"/>
        <v>1.88</v>
      </c>
      <c r="H149" s="9">
        <v>1.1200000000000001</v>
      </c>
      <c r="I149" s="9">
        <v>0.87</v>
      </c>
      <c r="J149" s="9">
        <v>1.4E-2</v>
      </c>
      <c r="K149" s="9">
        <f>Sheet1!K150</f>
        <v>2E-3</v>
      </c>
      <c r="L149" s="9" t="str">
        <f t="shared" si="26"/>
        <v>1/500</v>
      </c>
      <c r="M149" s="9">
        <v>1.7</v>
      </c>
      <c r="N149" s="9">
        <v>0</v>
      </c>
      <c r="O149" s="9">
        <f t="shared" si="27"/>
        <v>1.7</v>
      </c>
      <c r="P149" s="9">
        <v>1.6</v>
      </c>
      <c r="Q149" s="9">
        <f t="shared" si="28"/>
        <v>1.7</v>
      </c>
      <c r="R149" s="9">
        <f t="shared" si="29"/>
        <v>1.9</v>
      </c>
      <c r="S149" s="9">
        <f t="shared" si="21"/>
        <v>0.48</v>
      </c>
      <c r="T149" s="9">
        <v>1.6</v>
      </c>
      <c r="U149" s="9">
        <f t="shared" si="22"/>
        <v>1.7</v>
      </c>
      <c r="V149" s="9">
        <f>Sheet1!E151</f>
        <v>1679.23</v>
      </c>
      <c r="W149" s="9">
        <f>Sheet1!G151</f>
        <v>1678.68</v>
      </c>
      <c r="X149" s="14">
        <f t="shared" si="23"/>
        <v>1679.55</v>
      </c>
      <c r="Y149" s="9"/>
    </row>
    <row r="150" spans="2:25">
      <c r="B150" s="9"/>
      <c r="C150" s="10">
        <f>Sheet1!C152</f>
        <v>4950</v>
      </c>
      <c r="D150" s="9">
        <f t="shared" si="20"/>
        <v>3.75</v>
      </c>
      <c r="E150" s="9">
        <v>3</v>
      </c>
      <c r="F150" s="9">
        <f t="shared" si="24"/>
        <v>1.97</v>
      </c>
      <c r="G150" s="9">
        <f t="shared" si="25"/>
        <v>1.88</v>
      </c>
      <c r="H150" s="9">
        <v>1.1200000000000001</v>
      </c>
      <c r="I150" s="9">
        <v>0.87</v>
      </c>
      <c r="J150" s="9">
        <v>1.4E-2</v>
      </c>
      <c r="K150" s="9">
        <f>Sheet1!K151</f>
        <v>2E-3</v>
      </c>
      <c r="L150" s="9" t="str">
        <f t="shared" si="26"/>
        <v>1/500</v>
      </c>
      <c r="M150" s="9">
        <v>1.7</v>
      </c>
      <c r="N150" s="9">
        <v>0</v>
      </c>
      <c r="O150" s="9">
        <f t="shared" si="27"/>
        <v>1.7</v>
      </c>
      <c r="P150" s="9">
        <v>1.6</v>
      </c>
      <c r="Q150" s="9">
        <f t="shared" si="28"/>
        <v>1.7</v>
      </c>
      <c r="R150" s="9">
        <f t="shared" si="29"/>
        <v>1.9</v>
      </c>
      <c r="S150" s="9">
        <f t="shared" si="21"/>
        <v>0.48</v>
      </c>
      <c r="T150" s="9">
        <v>1.6</v>
      </c>
      <c r="U150" s="9">
        <f t="shared" si="22"/>
        <v>1.7</v>
      </c>
      <c r="V150" s="9">
        <f>Sheet1!E152</f>
        <v>1679.23</v>
      </c>
      <c r="W150" s="9">
        <f>Sheet1!G152</f>
        <v>1678.58</v>
      </c>
      <c r="X150" s="14">
        <f t="shared" si="23"/>
        <v>1679.4499999999998</v>
      </c>
      <c r="Y150" s="9"/>
    </row>
    <row r="151" spans="2:25">
      <c r="B151" s="9"/>
      <c r="C151" s="10">
        <f>Sheet1!C153</f>
        <v>5000</v>
      </c>
      <c r="D151" s="9">
        <f t="shared" si="20"/>
        <v>3.75</v>
      </c>
      <c r="E151" s="9">
        <v>3</v>
      </c>
      <c r="F151" s="9">
        <f t="shared" si="24"/>
        <v>1.97</v>
      </c>
      <c r="G151" s="9">
        <f t="shared" si="25"/>
        <v>1.88</v>
      </c>
      <c r="H151" s="9">
        <v>1.1200000000000001</v>
      </c>
      <c r="I151" s="9">
        <v>0.87</v>
      </c>
      <c r="J151" s="9">
        <v>1.4E-2</v>
      </c>
      <c r="K151" s="9">
        <f>Sheet1!K152</f>
        <v>2E-3</v>
      </c>
      <c r="L151" s="9" t="str">
        <f t="shared" si="26"/>
        <v>1/500</v>
      </c>
      <c r="M151" s="9">
        <v>1.7</v>
      </c>
      <c r="N151" s="9">
        <v>0</v>
      </c>
      <c r="O151" s="9">
        <f t="shared" si="27"/>
        <v>1.7</v>
      </c>
      <c r="P151" s="9">
        <v>1.6</v>
      </c>
      <c r="Q151" s="9">
        <f t="shared" si="28"/>
        <v>1.7</v>
      </c>
      <c r="R151" s="9">
        <f t="shared" si="29"/>
        <v>1.9</v>
      </c>
      <c r="S151" s="9">
        <f t="shared" si="21"/>
        <v>0.48</v>
      </c>
      <c r="T151" s="9">
        <v>1.6</v>
      </c>
      <c r="U151" s="9">
        <f t="shared" si="22"/>
        <v>1.7</v>
      </c>
      <c r="V151" s="9">
        <f>Sheet1!E153</f>
        <v>1678.89</v>
      </c>
      <c r="W151" s="9">
        <f>Sheet1!G153</f>
        <v>1678.48</v>
      </c>
      <c r="X151" s="14">
        <f t="shared" si="23"/>
        <v>1679.35</v>
      </c>
      <c r="Y151" s="9"/>
    </row>
    <row r="152" spans="2:25">
      <c r="B152" s="9"/>
      <c r="C152" s="10">
        <f>Sheet1!C154</f>
        <v>5050</v>
      </c>
      <c r="D152" s="9">
        <f t="shared" si="20"/>
        <v>3.75</v>
      </c>
      <c r="E152" s="9">
        <v>3</v>
      </c>
      <c r="F152" s="9">
        <f t="shared" si="24"/>
        <v>1.97</v>
      </c>
      <c r="G152" s="9">
        <f t="shared" si="25"/>
        <v>1.88</v>
      </c>
      <c r="H152" s="9">
        <v>1.1200000000000001</v>
      </c>
      <c r="I152" s="9">
        <v>0.87</v>
      </c>
      <c r="J152" s="9">
        <v>1.4E-2</v>
      </c>
      <c r="K152" s="9">
        <f>Sheet1!K153</f>
        <v>2E-3</v>
      </c>
      <c r="L152" s="9" t="str">
        <f t="shared" si="26"/>
        <v>1/500</v>
      </c>
      <c r="M152" s="9">
        <v>1.7</v>
      </c>
      <c r="N152" s="9">
        <v>0</v>
      </c>
      <c r="O152" s="9">
        <f t="shared" si="27"/>
        <v>1.7</v>
      </c>
      <c r="P152" s="9">
        <v>1.6</v>
      </c>
      <c r="Q152" s="9">
        <f t="shared" si="28"/>
        <v>1.7</v>
      </c>
      <c r="R152" s="9">
        <f t="shared" si="29"/>
        <v>1.9</v>
      </c>
      <c r="S152" s="9">
        <f t="shared" si="21"/>
        <v>0.48</v>
      </c>
      <c r="T152" s="9">
        <v>1.6</v>
      </c>
      <c r="U152" s="9">
        <f t="shared" si="22"/>
        <v>1.7</v>
      </c>
      <c r="V152" s="9">
        <f>Sheet1!E154</f>
        <v>1678.31</v>
      </c>
      <c r="W152" s="9">
        <f>Sheet1!G154</f>
        <v>1678.38</v>
      </c>
      <c r="X152" s="14">
        <f t="shared" si="23"/>
        <v>1679.25</v>
      </c>
      <c r="Y152" s="9"/>
    </row>
    <row r="153" spans="2:25">
      <c r="B153" s="9" t="s">
        <v>392</v>
      </c>
      <c r="C153" s="10">
        <f>Sheet1!C155</f>
        <v>5060</v>
      </c>
      <c r="D153" s="9">
        <f t="shared" si="20"/>
        <v>3.75</v>
      </c>
      <c r="E153" s="9">
        <v>3</v>
      </c>
      <c r="F153" s="9">
        <f t="shared" si="24"/>
        <v>1.97</v>
      </c>
      <c r="G153" s="9">
        <f t="shared" si="25"/>
        <v>1.88</v>
      </c>
      <c r="H153" s="9">
        <v>1.1200000000000001</v>
      </c>
      <c r="I153" s="9">
        <v>0.87</v>
      </c>
      <c r="J153" s="9">
        <v>1.4E-2</v>
      </c>
      <c r="K153" s="9">
        <f>Sheet1!K154</f>
        <v>2E-3</v>
      </c>
      <c r="L153" s="9" t="str">
        <f t="shared" si="26"/>
        <v>1/500</v>
      </c>
      <c r="M153" s="9">
        <v>1.7</v>
      </c>
      <c r="N153" s="9">
        <v>0</v>
      </c>
      <c r="O153" s="9">
        <f t="shared" si="27"/>
        <v>1.7</v>
      </c>
      <c r="P153" s="9">
        <v>1.6</v>
      </c>
      <c r="Q153" s="9">
        <f t="shared" si="28"/>
        <v>1.7</v>
      </c>
      <c r="R153" s="9">
        <f t="shared" si="29"/>
        <v>1.9</v>
      </c>
      <c r="S153" s="9">
        <f t="shared" si="21"/>
        <v>0.48</v>
      </c>
      <c r="T153" s="9">
        <v>1.6</v>
      </c>
      <c r="U153" s="9">
        <f t="shared" si="22"/>
        <v>1.7</v>
      </c>
      <c r="V153" s="9">
        <f>Sheet1!E155</f>
        <v>1677.93</v>
      </c>
      <c r="W153" s="9">
        <f>Sheet1!G155</f>
        <v>1678.36</v>
      </c>
      <c r="X153" s="14">
        <f t="shared" si="23"/>
        <v>1679.2299999999998</v>
      </c>
      <c r="Y153" s="9" t="s">
        <v>392</v>
      </c>
    </row>
    <row r="154" spans="2:25">
      <c r="B154" s="9"/>
      <c r="C154" s="10">
        <f>Sheet1!C156</f>
        <v>5063</v>
      </c>
      <c r="D154" s="9">
        <f t="shared" si="20"/>
        <v>3.75</v>
      </c>
      <c r="E154" s="9">
        <v>3</v>
      </c>
      <c r="F154" s="9">
        <f t="shared" si="24"/>
        <v>1.97</v>
      </c>
      <c r="G154" s="9">
        <f t="shared" si="25"/>
        <v>1.88</v>
      </c>
      <c r="H154" s="9">
        <v>1.1200000000000001</v>
      </c>
      <c r="I154" s="9">
        <v>0.87</v>
      </c>
      <c r="J154" s="9">
        <v>1.4E-2</v>
      </c>
      <c r="K154" s="9">
        <f>Sheet1!K155</f>
        <v>2E-3</v>
      </c>
      <c r="L154" s="9" t="str">
        <f t="shared" si="26"/>
        <v>1/500</v>
      </c>
      <c r="M154" s="9">
        <v>1.7</v>
      </c>
      <c r="N154" s="9">
        <v>0</v>
      </c>
      <c r="O154" s="9">
        <f t="shared" si="27"/>
        <v>1.7</v>
      </c>
      <c r="P154" s="9">
        <v>1.6</v>
      </c>
      <c r="Q154" s="9">
        <f t="shared" si="28"/>
        <v>1.7</v>
      </c>
      <c r="R154" s="9">
        <f t="shared" si="29"/>
        <v>1.9</v>
      </c>
      <c r="S154" s="9">
        <f t="shared" si="21"/>
        <v>0.48</v>
      </c>
      <c r="T154" s="9">
        <v>1.6</v>
      </c>
      <c r="U154" s="9">
        <f t="shared" si="22"/>
        <v>1.7</v>
      </c>
      <c r="V154" s="9">
        <f>Sheet1!E156</f>
        <v>1677.93</v>
      </c>
      <c r="W154" s="9">
        <f>Sheet1!G156</f>
        <v>1676.1599999999999</v>
      </c>
      <c r="X154" s="14">
        <f t="shared" si="23"/>
        <v>1677.0299999999997</v>
      </c>
      <c r="Y154" s="9"/>
    </row>
    <row r="155" spans="2:25">
      <c r="B155" s="9"/>
      <c r="C155" s="10">
        <f>Sheet1!C157</f>
        <v>5100</v>
      </c>
      <c r="D155" s="9">
        <f t="shared" si="20"/>
        <v>3.75</v>
      </c>
      <c r="E155" s="9">
        <v>3</v>
      </c>
      <c r="F155" s="9">
        <f t="shared" si="24"/>
        <v>1.97</v>
      </c>
      <c r="G155" s="9">
        <f t="shared" si="25"/>
        <v>1.88</v>
      </c>
      <c r="H155" s="9">
        <v>1.1200000000000001</v>
      </c>
      <c r="I155" s="9">
        <v>0.87</v>
      </c>
      <c r="J155" s="9">
        <v>1.4E-2</v>
      </c>
      <c r="K155" s="9">
        <f>Sheet1!K156</f>
        <v>2E-3</v>
      </c>
      <c r="L155" s="9" t="str">
        <f t="shared" si="26"/>
        <v>1/500</v>
      </c>
      <c r="M155" s="9">
        <v>1.7</v>
      </c>
      <c r="N155" s="9">
        <v>0</v>
      </c>
      <c r="O155" s="9">
        <f t="shared" si="27"/>
        <v>1.7</v>
      </c>
      <c r="P155" s="9">
        <v>1.6</v>
      </c>
      <c r="Q155" s="9">
        <f t="shared" si="28"/>
        <v>1.7</v>
      </c>
      <c r="R155" s="9">
        <f t="shared" si="29"/>
        <v>1.9</v>
      </c>
      <c r="S155" s="9">
        <f t="shared" si="21"/>
        <v>0.48</v>
      </c>
      <c r="T155" s="9">
        <v>1.6</v>
      </c>
      <c r="U155" s="9">
        <f t="shared" si="22"/>
        <v>1.7</v>
      </c>
      <c r="V155" s="9">
        <f>Sheet1!E157</f>
        <v>1677.55</v>
      </c>
      <c r="W155" s="9">
        <f>Sheet1!G157</f>
        <v>1676.08</v>
      </c>
      <c r="X155" s="14">
        <f t="shared" si="23"/>
        <v>1676.9499999999998</v>
      </c>
      <c r="Y155" s="9"/>
    </row>
    <row r="156" spans="2:25">
      <c r="B156" s="9"/>
      <c r="C156" s="10">
        <f>Sheet1!C158</f>
        <v>5150</v>
      </c>
      <c r="D156" s="9">
        <f t="shared" si="20"/>
        <v>3.75</v>
      </c>
      <c r="E156" s="9">
        <v>3</v>
      </c>
      <c r="F156" s="9">
        <f t="shared" si="24"/>
        <v>1.97</v>
      </c>
      <c r="G156" s="9">
        <f t="shared" si="25"/>
        <v>1.88</v>
      </c>
      <c r="H156" s="9">
        <v>1.1200000000000001</v>
      </c>
      <c r="I156" s="9">
        <v>0.87</v>
      </c>
      <c r="J156" s="9">
        <v>1.4E-2</v>
      </c>
      <c r="K156" s="9">
        <f>Sheet1!K157</f>
        <v>2E-3</v>
      </c>
      <c r="L156" s="9" t="str">
        <f t="shared" si="26"/>
        <v>1/500</v>
      </c>
      <c r="M156" s="9">
        <v>1.7</v>
      </c>
      <c r="N156" s="9">
        <v>0</v>
      </c>
      <c r="O156" s="9">
        <f t="shared" si="27"/>
        <v>1.7</v>
      </c>
      <c r="P156" s="9">
        <v>1.6</v>
      </c>
      <c r="Q156" s="9">
        <f t="shared" si="28"/>
        <v>1.7</v>
      </c>
      <c r="R156" s="9">
        <f t="shared" si="29"/>
        <v>1.9</v>
      </c>
      <c r="S156" s="9">
        <f t="shared" si="21"/>
        <v>0.48</v>
      </c>
      <c r="T156" s="9">
        <v>1.6</v>
      </c>
      <c r="U156" s="9">
        <f t="shared" si="22"/>
        <v>1.7</v>
      </c>
      <c r="V156" s="9">
        <f>Sheet1!E158</f>
        <v>1677.39</v>
      </c>
      <c r="W156" s="9">
        <f>Sheet1!G158</f>
        <v>1675.98</v>
      </c>
      <c r="X156" s="14">
        <f t="shared" si="23"/>
        <v>1676.85</v>
      </c>
      <c r="Y156" s="9"/>
    </row>
    <row r="157" spans="2:25">
      <c r="B157" s="9"/>
      <c r="C157" s="10">
        <f>Sheet1!C159</f>
        <v>5200</v>
      </c>
      <c r="D157" s="9">
        <f t="shared" si="20"/>
        <v>3.75</v>
      </c>
      <c r="E157" s="9">
        <v>3</v>
      </c>
      <c r="F157" s="9">
        <f t="shared" si="24"/>
        <v>1.97</v>
      </c>
      <c r="G157" s="9">
        <f t="shared" si="25"/>
        <v>1.88</v>
      </c>
      <c r="H157" s="9">
        <v>1.1200000000000001</v>
      </c>
      <c r="I157" s="9">
        <v>0.87</v>
      </c>
      <c r="J157" s="9">
        <v>1.4E-2</v>
      </c>
      <c r="K157" s="9">
        <f>Sheet1!K158</f>
        <v>2E-3</v>
      </c>
      <c r="L157" s="9" t="str">
        <f t="shared" si="26"/>
        <v>1/500</v>
      </c>
      <c r="M157" s="9">
        <v>1.7</v>
      </c>
      <c r="N157" s="9">
        <v>0</v>
      </c>
      <c r="O157" s="9">
        <f t="shared" si="27"/>
        <v>1.7</v>
      </c>
      <c r="P157" s="9">
        <v>1.6</v>
      </c>
      <c r="Q157" s="9">
        <f t="shared" si="28"/>
        <v>1.7</v>
      </c>
      <c r="R157" s="9">
        <f t="shared" si="29"/>
        <v>1.9</v>
      </c>
      <c r="S157" s="9">
        <f t="shared" si="21"/>
        <v>0.48</v>
      </c>
      <c r="T157" s="9">
        <v>1.6</v>
      </c>
      <c r="U157" s="9">
        <f t="shared" si="22"/>
        <v>1.7</v>
      </c>
      <c r="V157" s="9">
        <f>Sheet1!E159</f>
        <v>1676.82</v>
      </c>
      <c r="W157" s="9">
        <f>Sheet1!G159</f>
        <v>1675.88</v>
      </c>
      <c r="X157" s="14">
        <f t="shared" si="23"/>
        <v>1676.75</v>
      </c>
      <c r="Y157" s="9"/>
    </row>
    <row r="158" spans="2:25">
      <c r="B158" s="9"/>
      <c r="C158" s="10">
        <f>Sheet1!C160</f>
        <v>5250</v>
      </c>
      <c r="D158" s="9">
        <f t="shared" si="20"/>
        <v>3.75</v>
      </c>
      <c r="E158" s="9">
        <v>3</v>
      </c>
      <c r="F158" s="9">
        <f t="shared" si="24"/>
        <v>1.97</v>
      </c>
      <c r="G158" s="9">
        <f t="shared" si="25"/>
        <v>1.88</v>
      </c>
      <c r="H158" s="9">
        <v>1.1200000000000001</v>
      </c>
      <c r="I158" s="9">
        <v>0.87</v>
      </c>
      <c r="J158" s="9">
        <v>1.4E-2</v>
      </c>
      <c r="K158" s="9">
        <f>Sheet1!K159</f>
        <v>2E-3</v>
      </c>
      <c r="L158" s="9" t="str">
        <f t="shared" si="26"/>
        <v>1/500</v>
      </c>
      <c r="M158" s="9">
        <v>1.7</v>
      </c>
      <c r="N158" s="9">
        <v>0</v>
      </c>
      <c r="O158" s="9">
        <f t="shared" si="27"/>
        <v>1.7</v>
      </c>
      <c r="P158" s="9">
        <v>1.6</v>
      </c>
      <c r="Q158" s="9">
        <f t="shared" si="28"/>
        <v>1.7</v>
      </c>
      <c r="R158" s="9">
        <f t="shared" si="29"/>
        <v>1.9</v>
      </c>
      <c r="S158" s="9">
        <f t="shared" si="21"/>
        <v>0.48</v>
      </c>
      <c r="T158" s="9">
        <v>1.6</v>
      </c>
      <c r="U158" s="9">
        <f t="shared" si="22"/>
        <v>1.7</v>
      </c>
      <c r="V158" s="9">
        <f>Sheet1!E160</f>
        <v>1676.88</v>
      </c>
      <c r="W158" s="9">
        <f>Sheet1!G160</f>
        <v>1675.78</v>
      </c>
      <c r="X158" s="14">
        <f t="shared" si="23"/>
        <v>1676.6499999999999</v>
      </c>
      <c r="Y158" s="9"/>
    </row>
    <row r="159" spans="2:25">
      <c r="B159" s="9" t="s">
        <v>394</v>
      </c>
      <c r="C159" s="10">
        <f>Sheet1!C161</f>
        <v>5290</v>
      </c>
      <c r="D159" s="9">
        <f t="shared" si="20"/>
        <v>3.75</v>
      </c>
      <c r="E159" s="9">
        <v>3</v>
      </c>
      <c r="F159" s="9">
        <f t="shared" si="24"/>
        <v>1.97</v>
      </c>
      <c r="G159" s="9">
        <f t="shared" si="25"/>
        <v>1.88</v>
      </c>
      <c r="H159" s="9">
        <v>1.1200000000000001</v>
      </c>
      <c r="I159" s="9">
        <v>0.87</v>
      </c>
      <c r="J159" s="9">
        <v>1.4E-2</v>
      </c>
      <c r="K159" s="9">
        <f>Sheet1!K160</f>
        <v>2E-3</v>
      </c>
      <c r="L159" s="9" t="str">
        <f t="shared" si="26"/>
        <v>1/500</v>
      </c>
      <c r="M159" s="9">
        <v>1.7</v>
      </c>
      <c r="N159" s="9">
        <v>0</v>
      </c>
      <c r="O159" s="9">
        <f t="shared" si="27"/>
        <v>1.7</v>
      </c>
      <c r="P159" s="9">
        <v>1.6</v>
      </c>
      <c r="Q159" s="9">
        <f t="shared" si="28"/>
        <v>1.7</v>
      </c>
      <c r="R159" s="9">
        <f t="shared" si="29"/>
        <v>1.9</v>
      </c>
      <c r="S159" s="9">
        <f t="shared" si="21"/>
        <v>0.48</v>
      </c>
      <c r="T159" s="9">
        <v>1.6</v>
      </c>
      <c r="U159" s="9">
        <f t="shared" si="22"/>
        <v>1.7</v>
      </c>
      <c r="V159" s="9">
        <f>Sheet1!E161</f>
        <v>1677.06</v>
      </c>
      <c r="W159" s="9">
        <f>Sheet1!G161</f>
        <v>1675.7</v>
      </c>
      <c r="X159" s="14">
        <f t="shared" si="23"/>
        <v>1676.57</v>
      </c>
      <c r="Y159" s="9" t="s">
        <v>394</v>
      </c>
    </row>
    <row r="160" spans="2:25">
      <c r="B160" s="9"/>
      <c r="C160" s="10">
        <f>Sheet1!C162</f>
        <v>5293</v>
      </c>
      <c r="D160" s="9">
        <f t="shared" si="20"/>
        <v>3.75</v>
      </c>
      <c r="E160" s="9">
        <v>3</v>
      </c>
      <c r="F160" s="9">
        <f t="shared" si="24"/>
        <v>1.97</v>
      </c>
      <c r="G160" s="9">
        <f t="shared" si="25"/>
        <v>1.88</v>
      </c>
      <c r="H160" s="9">
        <v>1.1200000000000001</v>
      </c>
      <c r="I160" s="9">
        <v>0.87</v>
      </c>
      <c r="J160" s="9">
        <v>1.4E-2</v>
      </c>
      <c r="K160" s="9">
        <f>Sheet1!K161</f>
        <v>2E-3</v>
      </c>
      <c r="L160" s="9" t="str">
        <f t="shared" si="26"/>
        <v>1/500</v>
      </c>
      <c r="M160" s="9">
        <v>1.7</v>
      </c>
      <c r="N160" s="9">
        <v>0</v>
      </c>
      <c r="O160" s="9">
        <f t="shared" si="27"/>
        <v>1.7</v>
      </c>
      <c r="P160" s="9">
        <v>1.6</v>
      </c>
      <c r="Q160" s="9">
        <f t="shared" si="28"/>
        <v>1.7</v>
      </c>
      <c r="R160" s="9">
        <f t="shared" si="29"/>
        <v>1.9</v>
      </c>
      <c r="S160" s="9">
        <f t="shared" si="21"/>
        <v>0.48</v>
      </c>
      <c r="T160" s="9">
        <v>1.6</v>
      </c>
      <c r="U160" s="9">
        <f t="shared" si="22"/>
        <v>1.7</v>
      </c>
      <c r="V160" s="9">
        <f>Sheet1!E162</f>
        <v>1677.06</v>
      </c>
      <c r="W160" s="9">
        <f>Sheet1!G162</f>
        <v>1675.2</v>
      </c>
      <c r="X160" s="14">
        <f t="shared" si="23"/>
        <v>1676.07</v>
      </c>
      <c r="Y160" s="9"/>
    </row>
    <row r="161" spans="1:26">
      <c r="A161" t="s">
        <v>362</v>
      </c>
      <c r="B161" s="40" t="s">
        <v>363</v>
      </c>
      <c r="C161" s="10">
        <f>Sheet1!C163</f>
        <v>5295</v>
      </c>
      <c r="D161" s="9">
        <f t="shared" si="20"/>
        <v>3.75</v>
      </c>
      <c r="E161" s="9">
        <v>3</v>
      </c>
      <c r="F161" s="9">
        <f t="shared" si="24"/>
        <v>1.97</v>
      </c>
      <c r="G161" s="9">
        <f t="shared" si="25"/>
        <v>1.88</v>
      </c>
      <c r="H161" s="9">
        <v>1.1200000000000001</v>
      </c>
      <c r="I161" s="9">
        <v>0.87</v>
      </c>
      <c r="J161" s="9">
        <v>1.4E-2</v>
      </c>
      <c r="K161" s="9">
        <f>Sheet1!K162</f>
        <v>2E-3</v>
      </c>
      <c r="L161" s="9" t="str">
        <f t="shared" si="26"/>
        <v>1/500</v>
      </c>
      <c r="M161" s="9">
        <v>1.7</v>
      </c>
      <c r="N161" s="9">
        <v>0</v>
      </c>
      <c r="O161" s="9">
        <f t="shared" si="27"/>
        <v>1.7</v>
      </c>
      <c r="P161" s="9">
        <v>1.6</v>
      </c>
      <c r="Q161" s="9">
        <f t="shared" si="28"/>
        <v>1.7</v>
      </c>
      <c r="R161" s="9">
        <f t="shared" si="29"/>
        <v>1.9</v>
      </c>
      <c r="S161" s="9">
        <f t="shared" si="21"/>
        <v>0.48</v>
      </c>
      <c r="T161" s="9">
        <v>1.6</v>
      </c>
      <c r="U161" s="9">
        <f t="shared" si="22"/>
        <v>1.7</v>
      </c>
      <c r="V161" s="9">
        <f>Sheet1!E163</f>
        <v>1677.4</v>
      </c>
      <c r="W161" s="9">
        <f>Sheet1!G163</f>
        <v>1675.2</v>
      </c>
      <c r="X161" s="14">
        <f t="shared" si="23"/>
        <v>1676.07</v>
      </c>
      <c r="Y161" s="40" t="s">
        <v>363</v>
      </c>
    </row>
    <row r="162" spans="1:26">
      <c r="B162" s="41"/>
      <c r="C162" s="10">
        <f>Sheet1!C165</f>
        <v>5305</v>
      </c>
      <c r="D162" s="9">
        <f t="shared" si="20"/>
        <v>3.75</v>
      </c>
      <c r="E162" s="9">
        <v>3</v>
      </c>
      <c r="F162" s="9">
        <f t="shared" si="24"/>
        <v>1.97</v>
      </c>
      <c r="G162" s="9">
        <f t="shared" si="25"/>
        <v>1.88</v>
      </c>
      <c r="H162" s="9">
        <v>1.1200000000000001</v>
      </c>
      <c r="I162" s="9">
        <v>0.87</v>
      </c>
      <c r="J162" s="9">
        <v>1.4E-2</v>
      </c>
      <c r="K162" s="9">
        <f>Sheet1!K164</f>
        <v>2E-3</v>
      </c>
      <c r="L162" s="9" t="str">
        <f t="shared" si="26"/>
        <v>1/500</v>
      </c>
      <c r="M162" s="9">
        <v>1.7</v>
      </c>
      <c r="N162" s="9">
        <v>0</v>
      </c>
      <c r="O162" s="9">
        <f t="shared" si="27"/>
        <v>1.7</v>
      </c>
      <c r="P162" s="9">
        <v>1.6</v>
      </c>
      <c r="Q162" s="9">
        <f t="shared" si="28"/>
        <v>1.7</v>
      </c>
      <c r="R162" s="9">
        <f t="shared" si="29"/>
        <v>1.9</v>
      </c>
      <c r="S162" s="9">
        <f t="shared" si="21"/>
        <v>0.48</v>
      </c>
      <c r="T162" s="9">
        <v>1.6</v>
      </c>
      <c r="U162" s="9">
        <f t="shared" si="22"/>
        <v>1.7</v>
      </c>
      <c r="V162" s="9">
        <f>Sheet1!E165</f>
        <v>1677.4</v>
      </c>
      <c r="W162" s="9">
        <f>Sheet1!G165</f>
        <v>1675.18</v>
      </c>
      <c r="X162" s="14">
        <f t="shared" si="23"/>
        <v>1676.05</v>
      </c>
      <c r="Y162" s="41"/>
      <c r="Z162">
        <f>V162-W162</f>
        <v>2.2200000000000273</v>
      </c>
    </row>
    <row r="163" spans="1:26">
      <c r="B163" s="9"/>
      <c r="C163" s="10">
        <f>Sheet1!C166</f>
        <v>5350</v>
      </c>
      <c r="D163" s="9">
        <f t="shared" si="20"/>
        <v>3.75</v>
      </c>
      <c r="E163" s="9">
        <v>3</v>
      </c>
      <c r="F163" s="9">
        <f t="shared" si="24"/>
        <v>1.97</v>
      </c>
      <c r="G163" s="9">
        <f t="shared" si="25"/>
        <v>1.88</v>
      </c>
      <c r="H163" s="9">
        <v>1.1200000000000001</v>
      </c>
      <c r="I163" s="9">
        <v>0.87</v>
      </c>
      <c r="J163" s="9">
        <v>1.4E-2</v>
      </c>
      <c r="K163" s="9">
        <f>Sheet1!K165</f>
        <v>2E-3</v>
      </c>
      <c r="L163" s="9" t="str">
        <f t="shared" si="26"/>
        <v>1/500</v>
      </c>
      <c r="M163" s="9">
        <v>1.7</v>
      </c>
      <c r="N163" s="9">
        <v>0</v>
      </c>
      <c r="O163" s="9">
        <f t="shared" si="27"/>
        <v>1.7</v>
      </c>
      <c r="P163" s="9">
        <v>1.6</v>
      </c>
      <c r="Q163" s="9">
        <f t="shared" si="28"/>
        <v>1.7</v>
      </c>
      <c r="R163" s="9">
        <f t="shared" si="29"/>
        <v>1.9</v>
      </c>
      <c r="S163" s="9">
        <f t="shared" si="21"/>
        <v>0.48</v>
      </c>
      <c r="T163" s="9">
        <v>1.6</v>
      </c>
      <c r="U163" s="9">
        <f t="shared" si="22"/>
        <v>1.7</v>
      </c>
      <c r="V163" s="9">
        <f>Sheet1!E166</f>
        <v>1676.53</v>
      </c>
      <c r="W163" s="9">
        <f>Sheet1!G166</f>
        <v>1675.09</v>
      </c>
      <c r="X163" s="14">
        <f t="shared" si="23"/>
        <v>1675.9599999999998</v>
      </c>
      <c r="Y163" s="9"/>
    </row>
    <row r="164" spans="1:26">
      <c r="B164" s="9"/>
      <c r="C164" s="10">
        <f>Sheet1!C167</f>
        <v>5400</v>
      </c>
      <c r="D164" s="9">
        <f t="shared" si="20"/>
        <v>3.75</v>
      </c>
      <c r="E164" s="9">
        <v>3</v>
      </c>
      <c r="F164" s="9">
        <f t="shared" si="24"/>
        <v>1.97</v>
      </c>
      <c r="G164" s="9">
        <f t="shared" si="25"/>
        <v>1.88</v>
      </c>
      <c r="H164" s="9">
        <v>1.1200000000000001</v>
      </c>
      <c r="I164" s="9">
        <v>0.87</v>
      </c>
      <c r="J164" s="9">
        <v>1.4E-2</v>
      </c>
      <c r="K164" s="9">
        <f>Sheet1!K166</f>
        <v>2E-3</v>
      </c>
      <c r="L164" s="9" t="str">
        <f t="shared" si="26"/>
        <v>1/500</v>
      </c>
      <c r="M164" s="9">
        <v>1.7</v>
      </c>
      <c r="N164" s="9">
        <v>0</v>
      </c>
      <c r="O164" s="9">
        <f t="shared" si="27"/>
        <v>1.7</v>
      </c>
      <c r="P164" s="9">
        <v>1.6</v>
      </c>
      <c r="Q164" s="9">
        <f t="shared" si="28"/>
        <v>1.7</v>
      </c>
      <c r="R164" s="9">
        <f t="shared" si="29"/>
        <v>1.9</v>
      </c>
      <c r="S164" s="9">
        <f t="shared" si="21"/>
        <v>0.48</v>
      </c>
      <c r="T164" s="9">
        <v>1.6</v>
      </c>
      <c r="U164" s="9">
        <f t="shared" si="22"/>
        <v>1.7</v>
      </c>
      <c r="V164" s="9">
        <f>Sheet1!E167</f>
        <v>1676.16</v>
      </c>
      <c r="W164" s="9">
        <f>Sheet1!G167</f>
        <v>1674.99</v>
      </c>
      <c r="X164" s="14">
        <f t="shared" si="23"/>
        <v>1675.86</v>
      </c>
      <c r="Y164" s="9"/>
    </row>
    <row r="165" spans="1:26">
      <c r="B165" s="9"/>
      <c r="C165" s="10">
        <f>Sheet1!C168</f>
        <v>5450</v>
      </c>
      <c r="D165" s="9">
        <f t="shared" si="20"/>
        <v>3.75</v>
      </c>
      <c r="E165" s="9">
        <v>3</v>
      </c>
      <c r="F165" s="9">
        <f t="shared" si="24"/>
        <v>1.97</v>
      </c>
      <c r="G165" s="9">
        <f t="shared" si="25"/>
        <v>1.88</v>
      </c>
      <c r="H165" s="9">
        <v>1.1200000000000001</v>
      </c>
      <c r="I165" s="9">
        <v>0.87</v>
      </c>
      <c r="J165" s="9">
        <v>1.4E-2</v>
      </c>
      <c r="K165" s="9">
        <f>Sheet1!K167</f>
        <v>2E-3</v>
      </c>
      <c r="L165" s="9" t="str">
        <f t="shared" si="26"/>
        <v>1/500</v>
      </c>
      <c r="M165" s="9">
        <v>1.7</v>
      </c>
      <c r="N165" s="9">
        <v>0</v>
      </c>
      <c r="O165" s="9">
        <f t="shared" si="27"/>
        <v>1.7</v>
      </c>
      <c r="P165" s="9">
        <v>1.6</v>
      </c>
      <c r="Q165" s="9">
        <f t="shared" si="28"/>
        <v>1.7</v>
      </c>
      <c r="R165" s="9">
        <f t="shared" si="29"/>
        <v>1.9</v>
      </c>
      <c r="S165" s="9">
        <f t="shared" si="21"/>
        <v>0.48</v>
      </c>
      <c r="T165" s="9">
        <v>1.6</v>
      </c>
      <c r="U165" s="9">
        <f t="shared" si="22"/>
        <v>1.7</v>
      </c>
      <c r="V165" s="9">
        <f>Sheet1!E168</f>
        <v>1676.38</v>
      </c>
      <c r="W165" s="9">
        <f>Sheet1!G168</f>
        <v>1674.89</v>
      </c>
      <c r="X165" s="14">
        <f t="shared" si="23"/>
        <v>1675.76</v>
      </c>
      <c r="Y165" s="9"/>
    </row>
    <row r="166" spans="1:26">
      <c r="B166" s="9"/>
      <c r="C166" s="10">
        <f>Sheet1!C169</f>
        <v>5500</v>
      </c>
      <c r="D166" s="9">
        <f t="shared" si="20"/>
        <v>3.75</v>
      </c>
      <c r="E166" s="9">
        <v>3</v>
      </c>
      <c r="F166" s="9">
        <f t="shared" si="24"/>
        <v>1.97</v>
      </c>
      <c r="G166" s="9">
        <f t="shared" si="25"/>
        <v>1.88</v>
      </c>
      <c r="H166" s="9">
        <v>1.1200000000000001</v>
      </c>
      <c r="I166" s="9">
        <v>0.87</v>
      </c>
      <c r="J166" s="9">
        <v>1.4E-2</v>
      </c>
      <c r="K166" s="9">
        <f>Sheet1!K168</f>
        <v>2E-3</v>
      </c>
      <c r="L166" s="9" t="str">
        <f t="shared" si="26"/>
        <v>1/500</v>
      </c>
      <c r="M166" s="9">
        <v>1.7</v>
      </c>
      <c r="N166" s="9">
        <v>0</v>
      </c>
      <c r="O166" s="9">
        <f t="shared" si="27"/>
        <v>1.7</v>
      </c>
      <c r="P166" s="9">
        <v>1.6</v>
      </c>
      <c r="Q166" s="9">
        <f t="shared" si="28"/>
        <v>1.7</v>
      </c>
      <c r="R166" s="9">
        <f t="shared" si="29"/>
        <v>1.9</v>
      </c>
      <c r="S166" s="9">
        <f t="shared" si="21"/>
        <v>0.48</v>
      </c>
      <c r="T166" s="9">
        <v>1.6</v>
      </c>
      <c r="U166" s="9">
        <f t="shared" si="22"/>
        <v>1.7</v>
      </c>
      <c r="V166" s="9">
        <f>Sheet1!E169</f>
        <v>1676.04</v>
      </c>
      <c r="W166" s="9">
        <f>Sheet1!G169</f>
        <v>1674.79</v>
      </c>
      <c r="X166" s="14">
        <f t="shared" si="23"/>
        <v>1675.6599999999999</v>
      </c>
      <c r="Y166" s="9"/>
    </row>
    <row r="167" spans="1:26">
      <c r="B167" s="9"/>
      <c r="C167" s="10">
        <f>Sheet1!C170</f>
        <v>5550</v>
      </c>
      <c r="D167" s="9">
        <f t="shared" si="20"/>
        <v>3.75</v>
      </c>
      <c r="E167" s="9">
        <v>3</v>
      </c>
      <c r="F167" s="9">
        <f t="shared" si="24"/>
        <v>1.97</v>
      </c>
      <c r="G167" s="9">
        <f t="shared" si="25"/>
        <v>1.88</v>
      </c>
      <c r="H167" s="9">
        <v>1.1200000000000001</v>
      </c>
      <c r="I167" s="9">
        <v>0.87</v>
      </c>
      <c r="J167" s="9">
        <v>1.4E-2</v>
      </c>
      <c r="K167" s="9">
        <f>Sheet1!K169</f>
        <v>2E-3</v>
      </c>
      <c r="L167" s="9" t="str">
        <f t="shared" si="26"/>
        <v>1/500</v>
      </c>
      <c r="M167" s="9">
        <v>1.7</v>
      </c>
      <c r="N167" s="9">
        <v>0</v>
      </c>
      <c r="O167" s="9">
        <f t="shared" si="27"/>
        <v>1.7</v>
      </c>
      <c r="P167" s="9">
        <v>1.6</v>
      </c>
      <c r="Q167" s="9">
        <f t="shared" si="28"/>
        <v>1.7</v>
      </c>
      <c r="R167" s="9">
        <f t="shared" si="29"/>
        <v>1.9</v>
      </c>
      <c r="S167" s="9">
        <f t="shared" si="21"/>
        <v>0.48</v>
      </c>
      <c r="T167" s="9">
        <v>1.6</v>
      </c>
      <c r="U167" s="9">
        <f t="shared" si="22"/>
        <v>1.7</v>
      </c>
      <c r="V167" s="9">
        <f>Sheet1!E170</f>
        <v>1676.01</v>
      </c>
      <c r="W167" s="9">
        <f>Sheet1!G170</f>
        <v>1674.69</v>
      </c>
      <c r="X167" s="14">
        <f t="shared" si="23"/>
        <v>1675.56</v>
      </c>
      <c r="Y167" s="9"/>
    </row>
    <row r="168" spans="1:26">
      <c r="B168" s="9"/>
      <c r="C168" s="10">
        <f>Sheet1!C171</f>
        <v>5600</v>
      </c>
      <c r="D168" s="9">
        <f t="shared" si="20"/>
        <v>3.75</v>
      </c>
      <c r="E168" s="9">
        <v>3</v>
      </c>
      <c r="F168" s="9">
        <f t="shared" si="24"/>
        <v>1.97</v>
      </c>
      <c r="G168" s="9">
        <f t="shared" si="25"/>
        <v>1.88</v>
      </c>
      <c r="H168" s="9">
        <v>1.1200000000000001</v>
      </c>
      <c r="I168" s="9">
        <v>0.87</v>
      </c>
      <c r="J168" s="9">
        <v>1.4E-2</v>
      </c>
      <c r="K168" s="9">
        <f>Sheet1!K170</f>
        <v>2E-3</v>
      </c>
      <c r="L168" s="9" t="str">
        <f t="shared" si="26"/>
        <v>1/500</v>
      </c>
      <c r="M168" s="9">
        <v>1.7</v>
      </c>
      <c r="N168" s="9">
        <v>0</v>
      </c>
      <c r="O168" s="9">
        <f t="shared" si="27"/>
        <v>1.7</v>
      </c>
      <c r="P168" s="9">
        <v>1.6</v>
      </c>
      <c r="Q168" s="9">
        <f t="shared" si="28"/>
        <v>1.7</v>
      </c>
      <c r="R168" s="9">
        <f t="shared" si="29"/>
        <v>1.9</v>
      </c>
      <c r="S168" s="9">
        <f t="shared" si="21"/>
        <v>0.48</v>
      </c>
      <c r="T168" s="9">
        <v>1.6</v>
      </c>
      <c r="U168" s="9">
        <f t="shared" si="22"/>
        <v>1.7</v>
      </c>
      <c r="V168" s="9">
        <f>Sheet1!E171</f>
        <v>1675.84</v>
      </c>
      <c r="W168" s="9">
        <f>Sheet1!G171</f>
        <v>1674.59</v>
      </c>
      <c r="X168" s="14">
        <f t="shared" si="23"/>
        <v>1675.4599999999998</v>
      </c>
      <c r="Y168" s="9"/>
    </row>
    <row r="169" spans="1:26">
      <c r="B169" s="9"/>
      <c r="C169" s="10">
        <f>Sheet1!C172</f>
        <v>5650</v>
      </c>
      <c r="D169" s="9">
        <f t="shared" si="20"/>
        <v>3.75</v>
      </c>
      <c r="E169" s="9">
        <v>3</v>
      </c>
      <c r="F169" s="9">
        <f t="shared" si="24"/>
        <v>1.97</v>
      </c>
      <c r="G169" s="9">
        <f t="shared" si="25"/>
        <v>1.88</v>
      </c>
      <c r="H169" s="9">
        <v>1.1200000000000001</v>
      </c>
      <c r="I169" s="9">
        <v>0.87</v>
      </c>
      <c r="J169" s="9">
        <v>1.4E-2</v>
      </c>
      <c r="K169" s="9">
        <f>Sheet1!K171</f>
        <v>2E-3</v>
      </c>
      <c r="L169" s="9" t="str">
        <f t="shared" si="26"/>
        <v>1/500</v>
      </c>
      <c r="M169" s="9">
        <v>1.7</v>
      </c>
      <c r="N169" s="9">
        <v>0</v>
      </c>
      <c r="O169" s="9">
        <f t="shared" si="27"/>
        <v>1.7</v>
      </c>
      <c r="P169" s="9">
        <v>1.6</v>
      </c>
      <c r="Q169" s="9">
        <f t="shared" si="28"/>
        <v>1.7</v>
      </c>
      <c r="R169" s="9">
        <f t="shared" si="29"/>
        <v>1.9</v>
      </c>
      <c r="S169" s="9">
        <f t="shared" si="21"/>
        <v>0.48</v>
      </c>
      <c r="T169" s="9">
        <v>1.6</v>
      </c>
      <c r="U169" s="9">
        <f t="shared" si="22"/>
        <v>1.7</v>
      </c>
      <c r="V169" s="9">
        <f>Sheet1!E172</f>
        <v>1675.96</v>
      </c>
      <c r="W169" s="9">
        <f>Sheet1!G172</f>
        <v>1674.49</v>
      </c>
      <c r="X169" s="14">
        <f t="shared" si="23"/>
        <v>1675.36</v>
      </c>
      <c r="Y169" s="9"/>
    </row>
    <row r="170" spans="1:26">
      <c r="B170" s="9"/>
      <c r="C170" s="10">
        <f>Sheet1!C173</f>
        <v>5700</v>
      </c>
      <c r="D170" s="9">
        <f t="shared" si="20"/>
        <v>3.75</v>
      </c>
      <c r="E170" s="9">
        <v>3</v>
      </c>
      <c r="F170" s="9">
        <f t="shared" si="24"/>
        <v>1.97</v>
      </c>
      <c r="G170" s="9">
        <f t="shared" si="25"/>
        <v>1.88</v>
      </c>
      <c r="H170" s="9">
        <v>1.1200000000000001</v>
      </c>
      <c r="I170" s="9">
        <v>0.87</v>
      </c>
      <c r="J170" s="9">
        <v>1.4E-2</v>
      </c>
      <c r="K170" s="9">
        <f>Sheet1!K172</f>
        <v>2E-3</v>
      </c>
      <c r="L170" s="9" t="str">
        <f t="shared" si="26"/>
        <v>1/500</v>
      </c>
      <c r="M170" s="9">
        <v>1.7</v>
      </c>
      <c r="N170" s="9">
        <v>0</v>
      </c>
      <c r="O170" s="9">
        <f t="shared" si="27"/>
        <v>1.7</v>
      </c>
      <c r="P170" s="9">
        <v>1.6</v>
      </c>
      <c r="Q170" s="9">
        <f t="shared" si="28"/>
        <v>1.7</v>
      </c>
      <c r="R170" s="9">
        <f t="shared" si="29"/>
        <v>1.9</v>
      </c>
      <c r="S170" s="9">
        <f t="shared" si="21"/>
        <v>0.48</v>
      </c>
      <c r="T170" s="9">
        <v>1.6</v>
      </c>
      <c r="U170" s="9">
        <f t="shared" si="22"/>
        <v>1.7</v>
      </c>
      <c r="V170" s="9">
        <f>Sheet1!E173</f>
        <v>1676.06</v>
      </c>
      <c r="W170" s="9">
        <f>Sheet1!G173</f>
        <v>1674.39</v>
      </c>
      <c r="X170" s="14">
        <f t="shared" si="23"/>
        <v>1675.26</v>
      </c>
      <c r="Y170" s="9"/>
    </row>
    <row r="171" spans="1:26">
      <c r="B171" s="9"/>
      <c r="C171" s="10">
        <f>Sheet1!C174</f>
        <v>5750</v>
      </c>
      <c r="D171" s="9">
        <f t="shared" si="20"/>
        <v>3.75</v>
      </c>
      <c r="E171" s="9">
        <v>3</v>
      </c>
      <c r="F171" s="9">
        <f t="shared" si="24"/>
        <v>1.97</v>
      </c>
      <c r="G171" s="9">
        <f t="shared" si="25"/>
        <v>1.88</v>
      </c>
      <c r="H171" s="9">
        <v>1.1200000000000001</v>
      </c>
      <c r="I171" s="9">
        <v>0.87</v>
      </c>
      <c r="J171" s="9">
        <v>1.4E-2</v>
      </c>
      <c r="K171" s="9">
        <f>Sheet1!K173</f>
        <v>2E-3</v>
      </c>
      <c r="L171" s="9" t="str">
        <f t="shared" si="26"/>
        <v>1/500</v>
      </c>
      <c r="M171" s="9">
        <v>1.7</v>
      </c>
      <c r="N171" s="9">
        <v>0</v>
      </c>
      <c r="O171" s="9">
        <f t="shared" si="27"/>
        <v>1.7</v>
      </c>
      <c r="P171" s="9">
        <v>1.6</v>
      </c>
      <c r="Q171" s="9">
        <f t="shared" si="28"/>
        <v>1.7</v>
      </c>
      <c r="R171" s="9">
        <f t="shared" si="29"/>
        <v>1.9</v>
      </c>
      <c r="S171" s="9">
        <f t="shared" si="21"/>
        <v>0.48</v>
      </c>
      <c r="T171" s="9">
        <v>1.6</v>
      </c>
      <c r="U171" s="9">
        <f t="shared" si="22"/>
        <v>1.7</v>
      </c>
      <c r="V171" s="9">
        <f>Sheet1!E174</f>
        <v>1676.05</v>
      </c>
      <c r="W171" s="9">
        <f>Sheet1!G174</f>
        <v>1674.29</v>
      </c>
      <c r="X171" s="14">
        <f t="shared" si="23"/>
        <v>1675.1599999999999</v>
      </c>
      <c r="Y171" s="9"/>
    </row>
    <row r="172" spans="1:26">
      <c r="B172" s="9"/>
      <c r="C172" s="10">
        <f>Sheet1!C175</f>
        <v>5800</v>
      </c>
      <c r="D172" s="9">
        <f t="shared" si="20"/>
        <v>3.75</v>
      </c>
      <c r="E172" s="9">
        <v>3</v>
      </c>
      <c r="F172" s="9">
        <f t="shared" si="24"/>
        <v>1.97</v>
      </c>
      <c r="G172" s="9">
        <f t="shared" si="25"/>
        <v>1.88</v>
      </c>
      <c r="H172" s="9">
        <v>1.1200000000000001</v>
      </c>
      <c r="I172" s="9">
        <v>0.87</v>
      </c>
      <c r="J172" s="9">
        <v>1.4E-2</v>
      </c>
      <c r="K172" s="9">
        <f>Sheet1!K174</f>
        <v>2E-3</v>
      </c>
      <c r="L172" s="9" t="str">
        <f t="shared" si="26"/>
        <v>1/500</v>
      </c>
      <c r="M172" s="9">
        <v>1.7</v>
      </c>
      <c r="N172" s="9">
        <v>0</v>
      </c>
      <c r="O172" s="9">
        <f t="shared" si="27"/>
        <v>1.7</v>
      </c>
      <c r="P172" s="9">
        <v>1.6</v>
      </c>
      <c r="Q172" s="9">
        <f t="shared" si="28"/>
        <v>1.7</v>
      </c>
      <c r="R172" s="9">
        <f t="shared" si="29"/>
        <v>1.9</v>
      </c>
      <c r="S172" s="9">
        <f t="shared" si="21"/>
        <v>0.48</v>
      </c>
      <c r="T172" s="9">
        <v>1.6</v>
      </c>
      <c r="U172" s="9">
        <f t="shared" si="22"/>
        <v>1.7</v>
      </c>
      <c r="V172" s="9">
        <f>Sheet1!E175</f>
        <v>1675.78</v>
      </c>
      <c r="W172" s="9">
        <f>Sheet1!G175</f>
        <v>1674.19</v>
      </c>
      <c r="X172" s="14">
        <f t="shared" si="23"/>
        <v>1675.06</v>
      </c>
      <c r="Y172" s="9"/>
    </row>
    <row r="173" spans="1:26">
      <c r="B173" s="9"/>
      <c r="C173" s="10">
        <f>Sheet1!C176</f>
        <v>5850</v>
      </c>
      <c r="D173" s="9">
        <f t="shared" si="20"/>
        <v>3.75</v>
      </c>
      <c r="E173" s="9">
        <v>3</v>
      </c>
      <c r="F173" s="9">
        <f t="shared" si="24"/>
        <v>1.97</v>
      </c>
      <c r="G173" s="9">
        <f t="shared" si="25"/>
        <v>1.88</v>
      </c>
      <c r="H173" s="9">
        <v>1.1200000000000001</v>
      </c>
      <c r="I173" s="9">
        <v>0.87</v>
      </c>
      <c r="J173" s="9">
        <v>1.4E-2</v>
      </c>
      <c r="K173" s="9">
        <f>Sheet1!K175</f>
        <v>2E-3</v>
      </c>
      <c r="L173" s="9" t="str">
        <f t="shared" si="26"/>
        <v>1/500</v>
      </c>
      <c r="M173" s="9">
        <v>1.7</v>
      </c>
      <c r="N173" s="9">
        <v>0</v>
      </c>
      <c r="O173" s="9">
        <f t="shared" si="27"/>
        <v>1.7</v>
      </c>
      <c r="P173" s="9">
        <v>1.6</v>
      </c>
      <c r="Q173" s="9">
        <f t="shared" si="28"/>
        <v>1.7</v>
      </c>
      <c r="R173" s="9">
        <f t="shared" si="29"/>
        <v>1.9</v>
      </c>
      <c r="S173" s="9">
        <f t="shared" si="21"/>
        <v>0.48</v>
      </c>
      <c r="T173" s="9">
        <v>1.6</v>
      </c>
      <c r="U173" s="9">
        <f t="shared" si="22"/>
        <v>1.7</v>
      </c>
      <c r="V173" s="9">
        <f>Sheet1!E176</f>
        <v>1675.08</v>
      </c>
      <c r="W173" s="9">
        <f>Sheet1!G176</f>
        <v>1674.09</v>
      </c>
      <c r="X173" s="14">
        <f t="shared" si="23"/>
        <v>1674.9599999999998</v>
      </c>
      <c r="Y173" s="9"/>
    </row>
    <row r="174" spans="1:26">
      <c r="B174" s="9"/>
      <c r="C174" s="10">
        <f>Sheet1!C177</f>
        <v>5900</v>
      </c>
      <c r="D174" s="9">
        <f t="shared" si="20"/>
        <v>3.75</v>
      </c>
      <c r="E174" s="9">
        <v>3</v>
      </c>
      <c r="F174" s="9">
        <f t="shared" si="24"/>
        <v>1.97</v>
      </c>
      <c r="G174" s="9">
        <f t="shared" si="25"/>
        <v>1.88</v>
      </c>
      <c r="H174" s="9">
        <v>1.1200000000000001</v>
      </c>
      <c r="I174" s="9">
        <v>0.87</v>
      </c>
      <c r="J174" s="9">
        <v>1.4E-2</v>
      </c>
      <c r="K174" s="9">
        <f>Sheet1!K176</f>
        <v>2E-3</v>
      </c>
      <c r="L174" s="9" t="str">
        <f t="shared" si="26"/>
        <v>1/500</v>
      </c>
      <c r="M174" s="9">
        <v>1.7</v>
      </c>
      <c r="N174" s="9">
        <v>0</v>
      </c>
      <c r="O174" s="9">
        <f t="shared" si="27"/>
        <v>1.7</v>
      </c>
      <c r="P174" s="9">
        <v>1.6</v>
      </c>
      <c r="Q174" s="9">
        <f t="shared" si="28"/>
        <v>1.7</v>
      </c>
      <c r="R174" s="9">
        <f t="shared" si="29"/>
        <v>1.9</v>
      </c>
      <c r="S174" s="9">
        <f t="shared" si="21"/>
        <v>0.48</v>
      </c>
      <c r="T174" s="9">
        <v>1.6</v>
      </c>
      <c r="U174" s="9">
        <f t="shared" si="22"/>
        <v>1.7</v>
      </c>
      <c r="V174" s="9">
        <f>Sheet1!E177</f>
        <v>1674.53</v>
      </c>
      <c r="W174" s="9">
        <f>Sheet1!G177</f>
        <v>1673.99</v>
      </c>
      <c r="X174" s="14">
        <f t="shared" si="23"/>
        <v>1674.86</v>
      </c>
      <c r="Y174" s="9"/>
    </row>
    <row r="175" spans="1:26">
      <c r="B175" s="9"/>
      <c r="C175" s="10">
        <f>Sheet1!C178</f>
        <v>5950</v>
      </c>
      <c r="D175" s="9">
        <f t="shared" si="20"/>
        <v>3.75</v>
      </c>
      <c r="E175" s="9">
        <v>3</v>
      </c>
      <c r="F175" s="9">
        <f t="shared" si="24"/>
        <v>1.97</v>
      </c>
      <c r="G175" s="9">
        <f t="shared" si="25"/>
        <v>1.88</v>
      </c>
      <c r="H175" s="9">
        <v>1.1200000000000001</v>
      </c>
      <c r="I175" s="9">
        <v>0.87</v>
      </c>
      <c r="J175" s="9">
        <v>1.4E-2</v>
      </c>
      <c r="K175" s="9">
        <f>Sheet1!K177</f>
        <v>2E-3</v>
      </c>
      <c r="L175" s="9" t="str">
        <f t="shared" si="26"/>
        <v>1/500</v>
      </c>
      <c r="M175" s="9">
        <v>1.7</v>
      </c>
      <c r="N175" s="9">
        <v>0</v>
      </c>
      <c r="O175" s="9">
        <f t="shared" si="27"/>
        <v>1.7</v>
      </c>
      <c r="P175" s="9">
        <v>1.6</v>
      </c>
      <c r="Q175" s="9">
        <f t="shared" si="28"/>
        <v>1.7</v>
      </c>
      <c r="R175" s="9">
        <f t="shared" si="29"/>
        <v>1.9</v>
      </c>
      <c r="S175" s="9">
        <f t="shared" si="21"/>
        <v>0.48</v>
      </c>
      <c r="T175" s="9">
        <v>1.6</v>
      </c>
      <c r="U175" s="9">
        <f t="shared" si="22"/>
        <v>1.7</v>
      </c>
      <c r="V175" s="9">
        <f>Sheet1!E178</f>
        <v>1674.12</v>
      </c>
      <c r="W175" s="9">
        <f>Sheet1!G178</f>
        <v>1673.89</v>
      </c>
      <c r="X175" s="14">
        <f t="shared" si="23"/>
        <v>1674.76</v>
      </c>
      <c r="Y175" s="9"/>
    </row>
    <row r="176" spans="1:26">
      <c r="B176" s="9"/>
      <c r="C176" s="10">
        <f>Sheet1!C179</f>
        <v>6000</v>
      </c>
      <c r="D176" s="9">
        <f t="shared" si="20"/>
        <v>3.75</v>
      </c>
      <c r="E176" s="9">
        <v>3</v>
      </c>
      <c r="F176" s="9">
        <f t="shared" si="24"/>
        <v>1.97</v>
      </c>
      <c r="G176" s="9">
        <f t="shared" si="25"/>
        <v>1.88</v>
      </c>
      <c r="H176" s="9">
        <v>1.1200000000000001</v>
      </c>
      <c r="I176" s="9">
        <v>0.87</v>
      </c>
      <c r="J176" s="9">
        <v>1.4E-2</v>
      </c>
      <c r="K176" s="9">
        <f>Sheet1!K178</f>
        <v>2E-3</v>
      </c>
      <c r="L176" s="9" t="str">
        <f t="shared" si="26"/>
        <v>1/500</v>
      </c>
      <c r="M176" s="9">
        <v>1.7</v>
      </c>
      <c r="N176" s="9">
        <v>0</v>
      </c>
      <c r="O176" s="9">
        <f t="shared" si="27"/>
        <v>1.7</v>
      </c>
      <c r="P176" s="9">
        <v>1.6</v>
      </c>
      <c r="Q176" s="9">
        <f t="shared" si="28"/>
        <v>1.7</v>
      </c>
      <c r="R176" s="9">
        <f t="shared" si="29"/>
        <v>1.9</v>
      </c>
      <c r="S176" s="9">
        <f t="shared" si="21"/>
        <v>0.48</v>
      </c>
      <c r="T176" s="9">
        <v>1.6</v>
      </c>
      <c r="U176" s="9">
        <f t="shared" si="22"/>
        <v>1.7</v>
      </c>
      <c r="V176" s="9">
        <f>Sheet1!E179</f>
        <v>1673.76</v>
      </c>
      <c r="W176" s="9">
        <f>Sheet1!G179</f>
        <v>1673.79</v>
      </c>
      <c r="X176" s="14">
        <f t="shared" si="23"/>
        <v>1674.6599999999999</v>
      </c>
      <c r="Y176" s="9"/>
    </row>
    <row r="177" spans="2:25">
      <c r="B177" s="9"/>
      <c r="C177" s="10">
        <f>Sheet1!C180</f>
        <v>6050</v>
      </c>
      <c r="D177" s="9">
        <f t="shared" si="20"/>
        <v>3.75</v>
      </c>
      <c r="E177" s="9">
        <v>3</v>
      </c>
      <c r="F177" s="9">
        <f t="shared" si="24"/>
        <v>1.97</v>
      </c>
      <c r="G177" s="9">
        <f t="shared" si="25"/>
        <v>1.88</v>
      </c>
      <c r="H177" s="9">
        <v>1.1200000000000001</v>
      </c>
      <c r="I177" s="9">
        <v>0.87</v>
      </c>
      <c r="J177" s="9">
        <v>1.4E-2</v>
      </c>
      <c r="K177" s="9">
        <f>Sheet1!K179</f>
        <v>2E-3</v>
      </c>
      <c r="L177" s="9" t="str">
        <f t="shared" si="26"/>
        <v>1/500</v>
      </c>
      <c r="M177" s="9">
        <v>1.7</v>
      </c>
      <c r="N177" s="9">
        <v>0</v>
      </c>
      <c r="O177" s="9">
        <f t="shared" si="27"/>
        <v>1.7</v>
      </c>
      <c r="P177" s="9">
        <v>1.6</v>
      </c>
      <c r="Q177" s="9">
        <f t="shared" si="28"/>
        <v>1.7</v>
      </c>
      <c r="R177" s="9">
        <f t="shared" si="29"/>
        <v>1.9</v>
      </c>
      <c r="S177" s="9">
        <f t="shared" si="21"/>
        <v>0.48</v>
      </c>
      <c r="T177" s="9">
        <v>1.6</v>
      </c>
      <c r="U177" s="9">
        <f t="shared" si="22"/>
        <v>1.7</v>
      </c>
      <c r="V177" s="9">
        <f>Sheet1!E180</f>
        <v>1673.41</v>
      </c>
      <c r="W177" s="9">
        <f>Sheet1!G180</f>
        <v>1673.69</v>
      </c>
      <c r="X177" s="14">
        <f t="shared" si="23"/>
        <v>1674.56</v>
      </c>
      <c r="Y177" s="9"/>
    </row>
    <row r="178" spans="2:25">
      <c r="B178" s="9"/>
      <c r="C178" s="10">
        <f>Sheet1!C181</f>
        <v>6053</v>
      </c>
      <c r="D178" s="9">
        <f t="shared" si="20"/>
        <v>3.75</v>
      </c>
      <c r="E178" s="9">
        <v>3</v>
      </c>
      <c r="F178" s="9">
        <f t="shared" si="24"/>
        <v>1.97</v>
      </c>
      <c r="G178" s="9">
        <f t="shared" si="25"/>
        <v>1.88</v>
      </c>
      <c r="H178" s="9">
        <v>1.1200000000000001</v>
      </c>
      <c r="I178" s="9">
        <v>0.87</v>
      </c>
      <c r="J178" s="9">
        <v>1.4E-2</v>
      </c>
      <c r="K178" s="9">
        <f>Sheet1!K180</f>
        <v>2E-3</v>
      </c>
      <c r="L178" s="9" t="str">
        <f t="shared" si="26"/>
        <v>1/500</v>
      </c>
      <c r="M178" s="9">
        <v>1.7</v>
      </c>
      <c r="N178" s="9">
        <v>0</v>
      </c>
      <c r="O178" s="9">
        <f t="shared" si="27"/>
        <v>1.7</v>
      </c>
      <c r="P178" s="9">
        <v>1.6</v>
      </c>
      <c r="Q178" s="9">
        <f t="shared" si="28"/>
        <v>1.7</v>
      </c>
      <c r="R178" s="9">
        <f t="shared" si="29"/>
        <v>1.9</v>
      </c>
      <c r="S178" s="9">
        <f t="shared" si="21"/>
        <v>0.48</v>
      </c>
      <c r="T178" s="9">
        <v>1.6</v>
      </c>
      <c r="U178" s="9">
        <f t="shared" si="22"/>
        <v>1.7</v>
      </c>
      <c r="V178" s="9">
        <f>Sheet1!E181</f>
        <v>1673.41</v>
      </c>
      <c r="W178" s="9">
        <f>Sheet1!G181</f>
        <v>1671.69</v>
      </c>
      <c r="X178" s="14">
        <f t="shared" si="23"/>
        <v>1672.56</v>
      </c>
      <c r="Y178" s="9"/>
    </row>
    <row r="179" spans="2:25">
      <c r="B179" s="9"/>
      <c r="C179" s="10">
        <f>Sheet1!C182</f>
        <v>6100</v>
      </c>
      <c r="D179" s="9">
        <f t="shared" si="20"/>
        <v>3.75</v>
      </c>
      <c r="E179" s="9">
        <v>3</v>
      </c>
      <c r="F179" s="9">
        <f t="shared" si="24"/>
        <v>1.97</v>
      </c>
      <c r="G179" s="9">
        <f t="shared" si="25"/>
        <v>1.88</v>
      </c>
      <c r="H179" s="9">
        <v>1.1200000000000001</v>
      </c>
      <c r="I179" s="9">
        <v>0.87</v>
      </c>
      <c r="J179" s="9">
        <v>1.4E-2</v>
      </c>
      <c r="K179" s="9">
        <f>Sheet1!K181</f>
        <v>2E-3</v>
      </c>
      <c r="L179" s="9" t="str">
        <f t="shared" si="26"/>
        <v>1/500</v>
      </c>
      <c r="M179" s="9">
        <v>1.7</v>
      </c>
      <c r="N179" s="9">
        <v>0</v>
      </c>
      <c r="O179" s="9">
        <f t="shared" si="27"/>
        <v>1.7</v>
      </c>
      <c r="P179" s="9">
        <v>1.6</v>
      </c>
      <c r="Q179" s="9">
        <f t="shared" si="28"/>
        <v>1.7</v>
      </c>
      <c r="R179" s="9">
        <f t="shared" si="29"/>
        <v>1.9</v>
      </c>
      <c r="S179" s="9">
        <f t="shared" si="21"/>
        <v>0.48</v>
      </c>
      <c r="T179" s="9">
        <v>1.6</v>
      </c>
      <c r="U179" s="9">
        <f t="shared" si="22"/>
        <v>1.7</v>
      </c>
      <c r="V179" s="9">
        <f>Sheet1!E182</f>
        <v>1673.09</v>
      </c>
      <c r="W179" s="9">
        <f>Sheet1!G182</f>
        <v>1671.59</v>
      </c>
      <c r="X179" s="14">
        <f t="shared" si="23"/>
        <v>1672.4599999999998</v>
      </c>
      <c r="Y179" s="9"/>
    </row>
    <row r="180" spans="2:25">
      <c r="B180" s="9"/>
      <c r="C180" s="10">
        <f>Sheet1!C183</f>
        <v>6150</v>
      </c>
      <c r="D180" s="9">
        <f t="shared" si="20"/>
        <v>3.75</v>
      </c>
      <c r="E180" s="9">
        <v>3</v>
      </c>
      <c r="F180" s="9">
        <f t="shared" si="24"/>
        <v>1.97</v>
      </c>
      <c r="G180" s="9">
        <f t="shared" si="25"/>
        <v>1.88</v>
      </c>
      <c r="H180" s="9">
        <v>1.1200000000000001</v>
      </c>
      <c r="I180" s="9">
        <v>0.87</v>
      </c>
      <c r="J180" s="9">
        <v>1.4E-2</v>
      </c>
      <c r="K180" s="9">
        <f>Sheet1!K182</f>
        <v>2E-3</v>
      </c>
      <c r="L180" s="9" t="str">
        <f t="shared" si="26"/>
        <v>1/500</v>
      </c>
      <c r="M180" s="9">
        <v>1.7</v>
      </c>
      <c r="N180" s="9">
        <v>0</v>
      </c>
      <c r="O180" s="9">
        <f t="shared" si="27"/>
        <v>1.7</v>
      </c>
      <c r="P180" s="9">
        <v>1.6</v>
      </c>
      <c r="Q180" s="9">
        <f t="shared" si="28"/>
        <v>1.7</v>
      </c>
      <c r="R180" s="9">
        <f t="shared" si="29"/>
        <v>1.9</v>
      </c>
      <c r="S180" s="9">
        <f t="shared" si="21"/>
        <v>0.48</v>
      </c>
      <c r="T180" s="9">
        <v>1.6</v>
      </c>
      <c r="U180" s="9">
        <f t="shared" si="22"/>
        <v>1.7</v>
      </c>
      <c r="V180" s="9">
        <f>Sheet1!E183</f>
        <v>1672.69</v>
      </c>
      <c r="W180" s="9">
        <f>Sheet1!G183</f>
        <v>1671.49</v>
      </c>
      <c r="X180" s="14">
        <f t="shared" si="23"/>
        <v>1672.36</v>
      </c>
      <c r="Y180" s="9"/>
    </row>
    <row r="181" spans="2:25">
      <c r="B181" s="9"/>
      <c r="C181" s="10">
        <f>Sheet1!C184</f>
        <v>6200</v>
      </c>
      <c r="D181" s="9">
        <f t="shared" si="20"/>
        <v>3.75</v>
      </c>
      <c r="E181" s="9">
        <v>3</v>
      </c>
      <c r="F181" s="9">
        <f t="shared" si="24"/>
        <v>1.97</v>
      </c>
      <c r="G181" s="9">
        <f t="shared" si="25"/>
        <v>1.88</v>
      </c>
      <c r="H181" s="9">
        <v>1.1200000000000001</v>
      </c>
      <c r="I181" s="9">
        <v>0.87</v>
      </c>
      <c r="J181" s="9">
        <v>1.4E-2</v>
      </c>
      <c r="K181" s="9">
        <f>Sheet1!K183</f>
        <v>2E-3</v>
      </c>
      <c r="L181" s="9" t="str">
        <f t="shared" si="26"/>
        <v>1/500</v>
      </c>
      <c r="M181" s="9">
        <v>1.7</v>
      </c>
      <c r="N181" s="9">
        <v>0</v>
      </c>
      <c r="O181" s="9">
        <f t="shared" si="27"/>
        <v>1.7</v>
      </c>
      <c r="P181" s="9">
        <v>1.6</v>
      </c>
      <c r="Q181" s="9">
        <f t="shared" si="28"/>
        <v>1.7</v>
      </c>
      <c r="R181" s="9">
        <f t="shared" si="29"/>
        <v>1.9</v>
      </c>
      <c r="S181" s="9">
        <f t="shared" si="21"/>
        <v>0.48</v>
      </c>
      <c r="T181" s="9">
        <v>1.6</v>
      </c>
      <c r="U181" s="9">
        <f t="shared" si="22"/>
        <v>1.7</v>
      </c>
      <c r="V181" s="9">
        <f>Sheet1!E184</f>
        <v>1672.35</v>
      </c>
      <c r="W181" s="9">
        <f>Sheet1!G184</f>
        <v>1671.39</v>
      </c>
      <c r="X181" s="14">
        <f t="shared" si="23"/>
        <v>1672.26</v>
      </c>
      <c r="Y181" s="9"/>
    </row>
    <row r="182" spans="2:25">
      <c r="B182" s="9"/>
      <c r="C182" s="10">
        <f>Sheet1!C185</f>
        <v>6250</v>
      </c>
      <c r="D182" s="9">
        <f t="shared" si="20"/>
        <v>3.75</v>
      </c>
      <c r="E182" s="9">
        <v>3</v>
      </c>
      <c r="F182" s="9">
        <f t="shared" si="24"/>
        <v>1.97</v>
      </c>
      <c r="G182" s="9">
        <f t="shared" si="25"/>
        <v>1.88</v>
      </c>
      <c r="H182" s="9">
        <v>1.1200000000000001</v>
      </c>
      <c r="I182" s="9">
        <v>0.87</v>
      </c>
      <c r="J182" s="9">
        <v>1.4E-2</v>
      </c>
      <c r="K182" s="9">
        <f>Sheet1!K184</f>
        <v>2E-3</v>
      </c>
      <c r="L182" s="9" t="str">
        <f t="shared" si="26"/>
        <v>1/500</v>
      </c>
      <c r="M182" s="9">
        <v>1.7</v>
      </c>
      <c r="N182" s="9">
        <v>0</v>
      </c>
      <c r="O182" s="9">
        <f t="shared" si="27"/>
        <v>1.7</v>
      </c>
      <c r="P182" s="9">
        <v>1.6</v>
      </c>
      <c r="Q182" s="9">
        <f t="shared" si="28"/>
        <v>1.7</v>
      </c>
      <c r="R182" s="9">
        <f t="shared" si="29"/>
        <v>1.9</v>
      </c>
      <c r="S182" s="9">
        <f t="shared" si="21"/>
        <v>0.48</v>
      </c>
      <c r="T182" s="9">
        <v>1.6</v>
      </c>
      <c r="U182" s="9">
        <f t="shared" si="22"/>
        <v>1.7</v>
      </c>
      <c r="V182" s="9">
        <f>Sheet1!E185</f>
        <v>1671.99</v>
      </c>
      <c r="W182" s="9">
        <f>Sheet1!G185</f>
        <v>1671.29</v>
      </c>
      <c r="X182" s="14">
        <f t="shared" si="23"/>
        <v>1672.1599999999999</v>
      </c>
      <c r="Y182" s="9"/>
    </row>
    <row r="183" spans="2:25">
      <c r="B183" s="9"/>
      <c r="C183" s="10">
        <f>Sheet1!C186</f>
        <v>6300</v>
      </c>
      <c r="D183" s="9">
        <f t="shared" si="20"/>
        <v>3.75</v>
      </c>
      <c r="E183" s="9">
        <v>3</v>
      </c>
      <c r="F183" s="9">
        <f t="shared" si="24"/>
        <v>1.97</v>
      </c>
      <c r="G183" s="9">
        <f t="shared" si="25"/>
        <v>1.88</v>
      </c>
      <c r="H183" s="9">
        <v>1.1200000000000001</v>
      </c>
      <c r="I183" s="9">
        <v>0.87</v>
      </c>
      <c r="J183" s="9">
        <v>1.4E-2</v>
      </c>
      <c r="K183" s="9">
        <f>Sheet1!K185</f>
        <v>2E-3</v>
      </c>
      <c r="L183" s="9" t="str">
        <f t="shared" si="26"/>
        <v>1/500</v>
      </c>
      <c r="M183" s="9">
        <v>1.7</v>
      </c>
      <c r="N183" s="9">
        <v>0</v>
      </c>
      <c r="O183" s="9">
        <f t="shared" si="27"/>
        <v>1.7</v>
      </c>
      <c r="P183" s="9">
        <v>1.6</v>
      </c>
      <c r="Q183" s="9">
        <f t="shared" si="28"/>
        <v>1.7</v>
      </c>
      <c r="R183" s="9">
        <f t="shared" si="29"/>
        <v>1.9</v>
      </c>
      <c r="S183" s="9">
        <f t="shared" si="21"/>
        <v>0.48</v>
      </c>
      <c r="T183" s="9">
        <v>1.6</v>
      </c>
      <c r="U183" s="9">
        <f t="shared" si="22"/>
        <v>1.7</v>
      </c>
      <c r="V183" s="9">
        <f>Sheet1!E186</f>
        <v>1671.6</v>
      </c>
      <c r="W183" s="9">
        <f>Sheet1!G186</f>
        <v>1671.19</v>
      </c>
      <c r="X183" s="14">
        <f t="shared" si="23"/>
        <v>1672.06</v>
      </c>
      <c r="Y183" s="9"/>
    </row>
    <row r="184" spans="2:25">
      <c r="B184" s="9"/>
      <c r="C184" s="10">
        <f>Sheet1!C187</f>
        <v>6350</v>
      </c>
      <c r="D184" s="9">
        <f t="shared" si="20"/>
        <v>3.75</v>
      </c>
      <c r="E184" s="9">
        <v>3</v>
      </c>
      <c r="F184" s="9">
        <f t="shared" si="24"/>
        <v>1.97</v>
      </c>
      <c r="G184" s="9">
        <f t="shared" si="25"/>
        <v>1.88</v>
      </c>
      <c r="H184" s="9">
        <v>1.1200000000000001</v>
      </c>
      <c r="I184" s="9">
        <v>0.87</v>
      </c>
      <c r="J184" s="9">
        <v>1.4E-2</v>
      </c>
      <c r="K184" s="9">
        <f>Sheet1!K186</f>
        <v>2E-3</v>
      </c>
      <c r="L184" s="9" t="str">
        <f t="shared" si="26"/>
        <v>1/500</v>
      </c>
      <c r="M184" s="9">
        <v>1.7</v>
      </c>
      <c r="N184" s="9">
        <v>0</v>
      </c>
      <c r="O184" s="9">
        <f t="shared" si="27"/>
        <v>1.7</v>
      </c>
      <c r="P184" s="9">
        <v>1.6</v>
      </c>
      <c r="Q184" s="9">
        <f t="shared" si="28"/>
        <v>1.7</v>
      </c>
      <c r="R184" s="9">
        <f t="shared" si="29"/>
        <v>1.9</v>
      </c>
      <c r="S184" s="9">
        <f t="shared" si="21"/>
        <v>0.48</v>
      </c>
      <c r="T184" s="9">
        <v>1.6</v>
      </c>
      <c r="U184" s="9">
        <f t="shared" si="22"/>
        <v>1.7</v>
      </c>
      <c r="V184" s="9">
        <f>Sheet1!E187</f>
        <v>1671.48</v>
      </c>
      <c r="W184" s="9">
        <f>Sheet1!G187</f>
        <v>1671.09</v>
      </c>
      <c r="X184" s="14">
        <f t="shared" si="23"/>
        <v>1671.9599999999998</v>
      </c>
      <c r="Y184" s="9"/>
    </row>
    <row r="185" spans="2:25">
      <c r="B185" s="9"/>
      <c r="C185" s="10">
        <f>Sheet1!C188</f>
        <v>6400</v>
      </c>
      <c r="D185" s="9">
        <f t="shared" si="20"/>
        <v>3.75</v>
      </c>
      <c r="E185" s="9">
        <v>3</v>
      </c>
      <c r="F185" s="9">
        <f t="shared" si="24"/>
        <v>1.97</v>
      </c>
      <c r="G185" s="9">
        <f t="shared" si="25"/>
        <v>1.88</v>
      </c>
      <c r="H185" s="9">
        <v>1.1200000000000001</v>
      </c>
      <c r="I185" s="9">
        <v>0.87</v>
      </c>
      <c r="J185" s="9">
        <v>1.4E-2</v>
      </c>
      <c r="K185" s="9">
        <f>Sheet1!K187</f>
        <v>2E-3</v>
      </c>
      <c r="L185" s="9" t="str">
        <f t="shared" si="26"/>
        <v>1/500</v>
      </c>
      <c r="M185" s="9">
        <v>1.7</v>
      </c>
      <c r="N185" s="9">
        <v>0</v>
      </c>
      <c r="O185" s="9">
        <f t="shared" si="27"/>
        <v>1.7</v>
      </c>
      <c r="P185" s="9">
        <v>1.6</v>
      </c>
      <c r="Q185" s="9">
        <f t="shared" si="28"/>
        <v>1.7</v>
      </c>
      <c r="R185" s="9">
        <f t="shared" si="29"/>
        <v>1.9</v>
      </c>
      <c r="S185" s="9">
        <f t="shared" si="21"/>
        <v>0.48</v>
      </c>
      <c r="T185" s="9">
        <v>1.6</v>
      </c>
      <c r="U185" s="9">
        <f t="shared" si="22"/>
        <v>1.7</v>
      </c>
      <c r="V185" s="9">
        <f>Sheet1!E188</f>
        <v>1670.84</v>
      </c>
      <c r="W185" s="9">
        <f>Sheet1!G188</f>
        <v>1670.99</v>
      </c>
      <c r="X185" s="14">
        <f t="shared" si="23"/>
        <v>1671.86</v>
      </c>
      <c r="Y185" s="9"/>
    </row>
    <row r="186" spans="2:25">
      <c r="B186" s="9"/>
      <c r="C186" s="10">
        <f>Sheet1!C189</f>
        <v>6420</v>
      </c>
      <c r="D186" s="9">
        <f t="shared" si="20"/>
        <v>3.75</v>
      </c>
      <c r="E186" s="9">
        <v>3</v>
      </c>
      <c r="F186" s="9">
        <f t="shared" si="24"/>
        <v>1.97</v>
      </c>
      <c r="G186" s="9">
        <f t="shared" si="25"/>
        <v>1.88</v>
      </c>
      <c r="H186" s="9">
        <v>1.1200000000000001</v>
      </c>
      <c r="I186" s="9">
        <v>0.87</v>
      </c>
      <c r="J186" s="9">
        <v>1.4E-2</v>
      </c>
      <c r="K186" s="9">
        <f>Sheet1!K188</f>
        <v>2E-3</v>
      </c>
      <c r="L186" s="9" t="str">
        <f t="shared" si="26"/>
        <v>1/500</v>
      </c>
      <c r="M186" s="9">
        <v>1.7</v>
      </c>
      <c r="N186" s="9">
        <v>0</v>
      </c>
      <c r="O186" s="9">
        <f t="shared" si="27"/>
        <v>1.7</v>
      </c>
      <c r="P186" s="9">
        <v>1.6</v>
      </c>
      <c r="Q186" s="9">
        <f t="shared" si="28"/>
        <v>1.7</v>
      </c>
      <c r="R186" s="9">
        <f t="shared" si="29"/>
        <v>1.9</v>
      </c>
      <c r="S186" s="9">
        <f t="shared" si="21"/>
        <v>0.48</v>
      </c>
      <c r="T186" s="9">
        <v>1.6</v>
      </c>
      <c r="U186" s="9">
        <f t="shared" si="22"/>
        <v>1.7</v>
      </c>
      <c r="V186" s="9">
        <f>Sheet1!E189</f>
        <v>1670.62</v>
      </c>
      <c r="W186" s="9">
        <f>Sheet1!G189</f>
        <v>1670.95</v>
      </c>
      <c r="X186" s="14">
        <f t="shared" si="23"/>
        <v>1671.82</v>
      </c>
      <c r="Y186" s="9"/>
    </row>
    <row r="187" spans="2:25">
      <c r="B187" s="9"/>
      <c r="C187" s="10">
        <f>Sheet1!C190</f>
        <v>6423</v>
      </c>
      <c r="D187" s="9">
        <f t="shared" si="20"/>
        <v>3.75</v>
      </c>
      <c r="E187" s="9">
        <v>3</v>
      </c>
      <c r="F187" s="9">
        <f t="shared" si="24"/>
        <v>1.97</v>
      </c>
      <c r="G187" s="9">
        <f t="shared" si="25"/>
        <v>1.88</v>
      </c>
      <c r="H187" s="9">
        <v>1.1200000000000001</v>
      </c>
      <c r="I187" s="9">
        <v>0.87</v>
      </c>
      <c r="J187" s="9">
        <v>1.4E-2</v>
      </c>
      <c r="K187" s="9">
        <f>Sheet1!K189</f>
        <v>2E-3</v>
      </c>
      <c r="L187" s="9" t="str">
        <f t="shared" si="26"/>
        <v>1/500</v>
      </c>
      <c r="M187" s="9">
        <v>1.7</v>
      </c>
      <c r="N187" s="9">
        <v>0</v>
      </c>
      <c r="O187" s="9">
        <f t="shared" si="27"/>
        <v>1.7</v>
      </c>
      <c r="P187" s="9">
        <v>1.6</v>
      </c>
      <c r="Q187" s="9">
        <f t="shared" si="28"/>
        <v>1.7</v>
      </c>
      <c r="R187" s="9">
        <f t="shared" si="29"/>
        <v>1.9</v>
      </c>
      <c r="S187" s="9">
        <f t="shared" si="21"/>
        <v>0.48</v>
      </c>
      <c r="T187" s="9">
        <v>1.6</v>
      </c>
      <c r="U187" s="9">
        <f t="shared" si="22"/>
        <v>1.7</v>
      </c>
      <c r="V187" s="9">
        <f>Sheet1!E190</f>
        <v>1670.62</v>
      </c>
      <c r="W187" s="9">
        <f>Sheet1!G190</f>
        <v>1669.95</v>
      </c>
      <c r="X187" s="14">
        <f t="shared" si="23"/>
        <v>1670.82</v>
      </c>
      <c r="Y187" s="9"/>
    </row>
    <row r="188" spans="2:25">
      <c r="B188" s="9"/>
      <c r="C188" s="10">
        <f>Sheet1!C191</f>
        <v>6450</v>
      </c>
      <c r="D188" s="9">
        <f t="shared" si="20"/>
        <v>3.75</v>
      </c>
      <c r="E188" s="9">
        <v>3</v>
      </c>
      <c r="F188" s="9">
        <f t="shared" si="24"/>
        <v>1.97</v>
      </c>
      <c r="G188" s="9">
        <f t="shared" si="25"/>
        <v>1.88</v>
      </c>
      <c r="H188" s="9">
        <v>1.1200000000000001</v>
      </c>
      <c r="I188" s="9">
        <v>0.87</v>
      </c>
      <c r="J188" s="9">
        <v>1.4E-2</v>
      </c>
      <c r="K188" s="9">
        <f>Sheet1!K190</f>
        <v>2E-3</v>
      </c>
      <c r="L188" s="9" t="str">
        <f t="shared" si="26"/>
        <v>1/500</v>
      </c>
      <c r="M188" s="9">
        <v>1.7</v>
      </c>
      <c r="N188" s="9">
        <v>0</v>
      </c>
      <c r="O188" s="9">
        <f t="shared" si="27"/>
        <v>1.7</v>
      </c>
      <c r="P188" s="9">
        <v>1.6</v>
      </c>
      <c r="Q188" s="9">
        <f t="shared" si="28"/>
        <v>1.7</v>
      </c>
      <c r="R188" s="9">
        <f t="shared" si="29"/>
        <v>1.9</v>
      </c>
      <c r="S188" s="9">
        <f t="shared" si="21"/>
        <v>0.48</v>
      </c>
      <c r="T188" s="9">
        <v>1.6</v>
      </c>
      <c r="U188" s="9">
        <f t="shared" si="22"/>
        <v>1.7</v>
      </c>
      <c r="V188" s="9">
        <f>Sheet1!E191</f>
        <v>1670.47</v>
      </c>
      <c r="W188" s="9">
        <f>Sheet1!G191</f>
        <v>1669.89</v>
      </c>
      <c r="X188" s="14">
        <f t="shared" si="23"/>
        <v>1670.76</v>
      </c>
      <c r="Y188" s="9"/>
    </row>
    <row r="189" spans="2:25">
      <c r="B189" s="9"/>
      <c r="C189" s="10">
        <f>Sheet1!C192</f>
        <v>6500</v>
      </c>
      <c r="D189" s="9">
        <f t="shared" si="20"/>
        <v>3.75</v>
      </c>
      <c r="E189" s="9">
        <v>3</v>
      </c>
      <c r="F189" s="9">
        <f t="shared" si="24"/>
        <v>1.97</v>
      </c>
      <c r="G189" s="9">
        <f t="shared" si="25"/>
        <v>1.88</v>
      </c>
      <c r="H189" s="9">
        <v>1.1200000000000001</v>
      </c>
      <c r="I189" s="9">
        <v>0.87</v>
      </c>
      <c r="J189" s="9">
        <v>1.4E-2</v>
      </c>
      <c r="K189" s="9">
        <f>Sheet1!K191</f>
        <v>2E-3</v>
      </c>
      <c r="L189" s="9" t="str">
        <f t="shared" si="26"/>
        <v>1/500</v>
      </c>
      <c r="M189" s="9">
        <v>1.7</v>
      </c>
      <c r="N189" s="9">
        <v>0</v>
      </c>
      <c r="O189" s="9">
        <f t="shared" si="27"/>
        <v>1.7</v>
      </c>
      <c r="P189" s="9">
        <v>1.6</v>
      </c>
      <c r="Q189" s="9">
        <f t="shared" si="28"/>
        <v>1.7</v>
      </c>
      <c r="R189" s="9">
        <f t="shared" si="29"/>
        <v>1.9</v>
      </c>
      <c r="S189" s="9">
        <f t="shared" si="21"/>
        <v>0.48</v>
      </c>
      <c r="T189" s="9">
        <v>1.6</v>
      </c>
      <c r="U189" s="9">
        <f t="shared" si="22"/>
        <v>1.7</v>
      </c>
      <c r="V189" s="9">
        <f>Sheet1!E192</f>
        <v>1670.26</v>
      </c>
      <c r="W189" s="9">
        <f>Sheet1!G192</f>
        <v>1669.79</v>
      </c>
      <c r="X189" s="14">
        <f t="shared" si="23"/>
        <v>1670.6599999999999</v>
      </c>
      <c r="Y189" s="9"/>
    </row>
    <row r="190" spans="2:25">
      <c r="B190" s="9"/>
      <c r="C190" s="10">
        <f>Sheet1!C193</f>
        <v>6550</v>
      </c>
      <c r="D190" s="9">
        <f t="shared" si="20"/>
        <v>3.75</v>
      </c>
      <c r="E190" s="9">
        <v>3</v>
      </c>
      <c r="F190" s="9">
        <f t="shared" si="24"/>
        <v>1.97</v>
      </c>
      <c r="G190" s="9">
        <f t="shared" si="25"/>
        <v>1.88</v>
      </c>
      <c r="H190" s="9">
        <v>1.1200000000000001</v>
      </c>
      <c r="I190" s="9">
        <v>0.87</v>
      </c>
      <c r="J190" s="9">
        <v>1.4E-2</v>
      </c>
      <c r="K190" s="9">
        <f>Sheet1!K192</f>
        <v>2E-3</v>
      </c>
      <c r="L190" s="9" t="str">
        <f t="shared" si="26"/>
        <v>1/500</v>
      </c>
      <c r="M190" s="9">
        <v>1.7</v>
      </c>
      <c r="N190" s="9">
        <v>0</v>
      </c>
      <c r="O190" s="9">
        <f t="shared" si="27"/>
        <v>1.7</v>
      </c>
      <c r="P190" s="9">
        <v>1.6</v>
      </c>
      <c r="Q190" s="9">
        <f t="shared" si="28"/>
        <v>1.7</v>
      </c>
      <c r="R190" s="9">
        <f t="shared" si="29"/>
        <v>1.9</v>
      </c>
      <c r="S190" s="9">
        <f t="shared" si="21"/>
        <v>0.48</v>
      </c>
      <c r="T190" s="9">
        <v>1.6</v>
      </c>
      <c r="U190" s="9">
        <f t="shared" si="22"/>
        <v>1.7</v>
      </c>
      <c r="V190" s="9">
        <f>Sheet1!E193</f>
        <v>1669.93</v>
      </c>
      <c r="W190" s="9">
        <f>Sheet1!G193</f>
        <v>1669.69</v>
      </c>
      <c r="X190" s="14">
        <f t="shared" si="23"/>
        <v>1670.56</v>
      </c>
      <c r="Y190" s="9"/>
    </row>
    <row r="191" spans="2:25">
      <c r="B191" s="9" t="s">
        <v>369</v>
      </c>
      <c r="C191" s="10">
        <f>Sheet1!C194</f>
        <v>6600</v>
      </c>
      <c r="D191" s="9">
        <f t="shared" si="20"/>
        <v>3.75</v>
      </c>
      <c r="E191" s="9">
        <v>3</v>
      </c>
      <c r="F191" s="9">
        <f t="shared" si="24"/>
        <v>1.97</v>
      </c>
      <c r="G191" s="9">
        <f t="shared" si="25"/>
        <v>1.88</v>
      </c>
      <c r="H191" s="9">
        <v>1.1200000000000001</v>
      </c>
      <c r="I191" s="9">
        <v>0.87</v>
      </c>
      <c r="J191" s="9">
        <v>1.4E-2</v>
      </c>
      <c r="K191" s="9">
        <f>Sheet1!K193</f>
        <v>2E-3</v>
      </c>
      <c r="L191" s="9" t="str">
        <f t="shared" si="26"/>
        <v>1/500</v>
      </c>
      <c r="M191" s="9">
        <v>1.7</v>
      </c>
      <c r="N191" s="9">
        <v>0</v>
      </c>
      <c r="O191" s="9">
        <f t="shared" si="27"/>
        <v>1.7</v>
      </c>
      <c r="P191" s="9">
        <v>1.6</v>
      </c>
      <c r="Q191" s="9">
        <f t="shared" si="28"/>
        <v>1.7</v>
      </c>
      <c r="R191" s="9">
        <f t="shared" si="29"/>
        <v>1.9</v>
      </c>
      <c r="S191" s="9">
        <f t="shared" si="21"/>
        <v>0.48</v>
      </c>
      <c r="T191" s="9">
        <v>1.6</v>
      </c>
      <c r="U191" s="9">
        <f t="shared" si="22"/>
        <v>1.7</v>
      </c>
      <c r="V191" s="9">
        <f>Sheet1!E194</f>
        <v>1669.81</v>
      </c>
      <c r="W191" s="9">
        <f>Sheet1!G194</f>
        <v>1669.59</v>
      </c>
      <c r="X191" s="14">
        <f t="shared" si="23"/>
        <v>1670.4599999999998</v>
      </c>
      <c r="Y191" s="9" t="s">
        <v>369</v>
      </c>
    </row>
    <row r="192" spans="2:25">
      <c r="B192" s="9"/>
      <c r="C192" s="10">
        <f>Sheet1!C195</f>
        <v>6650</v>
      </c>
      <c r="D192" s="9">
        <f t="shared" si="20"/>
        <v>3.75</v>
      </c>
      <c r="E192" s="9">
        <v>3</v>
      </c>
      <c r="F192" s="9">
        <f t="shared" si="24"/>
        <v>1.97</v>
      </c>
      <c r="G192" s="9">
        <f t="shared" si="25"/>
        <v>1.88</v>
      </c>
      <c r="H192" s="9">
        <v>1.1200000000000001</v>
      </c>
      <c r="I192" s="9">
        <v>0.87</v>
      </c>
      <c r="J192" s="9">
        <v>1.4E-2</v>
      </c>
      <c r="K192" s="9">
        <f>Sheet1!K194</f>
        <v>2E-3</v>
      </c>
      <c r="L192" s="9" t="str">
        <f t="shared" si="26"/>
        <v>1/500</v>
      </c>
      <c r="M192" s="9">
        <v>1.7</v>
      </c>
      <c r="N192" s="9">
        <v>0</v>
      </c>
      <c r="O192" s="9">
        <f t="shared" si="27"/>
        <v>1.7</v>
      </c>
      <c r="P192" s="9">
        <v>1.6</v>
      </c>
      <c r="Q192" s="9">
        <f t="shared" si="28"/>
        <v>1.7</v>
      </c>
      <c r="R192" s="9">
        <f t="shared" si="29"/>
        <v>1.9</v>
      </c>
      <c r="S192" s="9">
        <f t="shared" si="21"/>
        <v>0.48</v>
      </c>
      <c r="T192" s="9">
        <v>1.6</v>
      </c>
      <c r="U192" s="9">
        <f t="shared" si="22"/>
        <v>1.7</v>
      </c>
      <c r="V192" s="9">
        <f>Sheet1!E195</f>
        <v>1669.83</v>
      </c>
      <c r="W192" s="9">
        <f>Sheet1!G195</f>
        <v>1669.49</v>
      </c>
      <c r="X192" s="14">
        <f t="shared" si="23"/>
        <v>1670.36</v>
      </c>
      <c r="Y192" s="9"/>
    </row>
    <row r="193" spans="1:26">
      <c r="B193" s="9"/>
      <c r="C193" s="10">
        <f>Sheet1!C196</f>
        <v>6700</v>
      </c>
      <c r="D193" s="9">
        <f t="shared" si="20"/>
        <v>3.75</v>
      </c>
      <c r="E193" s="9">
        <v>3</v>
      </c>
      <c r="F193" s="9">
        <f t="shared" si="24"/>
        <v>1.97</v>
      </c>
      <c r="G193" s="9">
        <f t="shared" si="25"/>
        <v>1.88</v>
      </c>
      <c r="H193" s="9">
        <v>1.1200000000000001</v>
      </c>
      <c r="I193" s="9">
        <v>0.87</v>
      </c>
      <c r="J193" s="9">
        <v>1.4E-2</v>
      </c>
      <c r="K193" s="9">
        <f>Sheet1!K195</f>
        <v>2E-3</v>
      </c>
      <c r="L193" s="9" t="str">
        <f t="shared" si="26"/>
        <v>1/500</v>
      </c>
      <c r="M193" s="9">
        <v>1.7</v>
      </c>
      <c r="N193" s="9">
        <v>0</v>
      </c>
      <c r="O193" s="9">
        <f t="shared" si="27"/>
        <v>1.7</v>
      </c>
      <c r="P193" s="9">
        <v>1.6</v>
      </c>
      <c r="Q193" s="9">
        <f t="shared" si="28"/>
        <v>1.7</v>
      </c>
      <c r="R193" s="9">
        <f t="shared" si="29"/>
        <v>1.9</v>
      </c>
      <c r="S193" s="9">
        <f t="shared" si="21"/>
        <v>0.48</v>
      </c>
      <c r="T193" s="9">
        <v>1.6</v>
      </c>
      <c r="U193" s="9">
        <f t="shared" si="22"/>
        <v>1.7</v>
      </c>
      <c r="V193" s="9">
        <f>Sheet1!E196</f>
        <v>1669.72</v>
      </c>
      <c r="W193" s="9">
        <f>Sheet1!G196</f>
        <v>1669.39</v>
      </c>
      <c r="X193" s="14">
        <f t="shared" si="23"/>
        <v>1670.26</v>
      </c>
      <c r="Y193" s="9"/>
    </row>
    <row r="194" spans="1:26">
      <c r="B194" s="9"/>
      <c r="C194" s="10">
        <f>Sheet1!C197</f>
        <v>6750</v>
      </c>
      <c r="D194" s="9">
        <f t="shared" si="20"/>
        <v>3.75</v>
      </c>
      <c r="E194" s="9">
        <v>3</v>
      </c>
      <c r="F194" s="9">
        <f t="shared" si="24"/>
        <v>1.97</v>
      </c>
      <c r="G194" s="9">
        <f t="shared" si="25"/>
        <v>1.88</v>
      </c>
      <c r="H194" s="9">
        <v>1.1200000000000001</v>
      </c>
      <c r="I194" s="9">
        <v>0.87</v>
      </c>
      <c r="J194" s="9">
        <v>1.4E-2</v>
      </c>
      <c r="K194" s="9">
        <f>Sheet1!K196</f>
        <v>2E-3</v>
      </c>
      <c r="L194" s="9" t="str">
        <f t="shared" si="26"/>
        <v>1/500</v>
      </c>
      <c r="M194" s="9">
        <v>1.7</v>
      </c>
      <c r="N194" s="9">
        <v>0</v>
      </c>
      <c r="O194" s="9">
        <f t="shared" si="27"/>
        <v>1.7</v>
      </c>
      <c r="P194" s="9">
        <v>1.6</v>
      </c>
      <c r="Q194" s="9">
        <f t="shared" si="28"/>
        <v>1.7</v>
      </c>
      <c r="R194" s="9">
        <f t="shared" si="29"/>
        <v>1.9</v>
      </c>
      <c r="S194" s="9">
        <f t="shared" si="21"/>
        <v>0.48</v>
      </c>
      <c r="T194" s="9">
        <v>1.6</v>
      </c>
      <c r="U194" s="9">
        <f t="shared" si="22"/>
        <v>1.7</v>
      </c>
      <c r="V194" s="9">
        <f>Sheet1!E197</f>
        <v>1669.8</v>
      </c>
      <c r="W194" s="9">
        <f>Sheet1!G197</f>
        <v>1669.29</v>
      </c>
      <c r="X194" s="14">
        <f t="shared" si="23"/>
        <v>1670.1599999999999</v>
      </c>
      <c r="Y194" s="9"/>
    </row>
    <row r="195" spans="1:26">
      <c r="B195" s="9"/>
      <c r="C195" s="10">
        <f>Sheet1!C198</f>
        <v>6800</v>
      </c>
      <c r="D195" s="9">
        <f t="shared" si="20"/>
        <v>3.75</v>
      </c>
      <c r="E195" s="9">
        <v>3</v>
      </c>
      <c r="F195" s="9">
        <f t="shared" si="24"/>
        <v>1.97</v>
      </c>
      <c r="G195" s="9">
        <f t="shared" si="25"/>
        <v>1.88</v>
      </c>
      <c r="H195" s="9">
        <v>1.1200000000000001</v>
      </c>
      <c r="I195" s="9">
        <v>0.87</v>
      </c>
      <c r="J195" s="9">
        <v>1.4E-2</v>
      </c>
      <c r="K195" s="9">
        <f>Sheet1!K197</f>
        <v>2E-3</v>
      </c>
      <c r="L195" s="9" t="str">
        <f t="shared" si="26"/>
        <v>1/500</v>
      </c>
      <c r="M195" s="9">
        <v>1.7</v>
      </c>
      <c r="N195" s="9">
        <v>0</v>
      </c>
      <c r="O195" s="9">
        <f t="shared" si="27"/>
        <v>1.7</v>
      </c>
      <c r="P195" s="9">
        <v>1.6</v>
      </c>
      <c r="Q195" s="9">
        <f t="shared" si="28"/>
        <v>1.7</v>
      </c>
      <c r="R195" s="9">
        <f t="shared" si="29"/>
        <v>1.9</v>
      </c>
      <c r="S195" s="9">
        <f t="shared" si="21"/>
        <v>0.48</v>
      </c>
      <c r="T195" s="9">
        <v>1.6</v>
      </c>
      <c r="U195" s="9">
        <f t="shared" si="22"/>
        <v>1.7</v>
      </c>
      <c r="V195" s="9">
        <f>Sheet1!E198</f>
        <v>1669.6</v>
      </c>
      <c r="W195" s="9">
        <f>Sheet1!G198</f>
        <v>1669.19</v>
      </c>
      <c r="X195" s="14">
        <f t="shared" si="23"/>
        <v>1670.06</v>
      </c>
      <c r="Y195" s="9"/>
    </row>
    <row r="196" spans="1:26">
      <c r="B196" s="9"/>
      <c r="C196" s="10">
        <f>Sheet1!C199</f>
        <v>6850</v>
      </c>
      <c r="D196" s="9">
        <f t="shared" ref="D196:D259" si="30">E196*1.25</f>
        <v>3.75</v>
      </c>
      <c r="E196" s="9">
        <v>3</v>
      </c>
      <c r="F196" s="9">
        <f t="shared" si="24"/>
        <v>1.97</v>
      </c>
      <c r="G196" s="9">
        <f t="shared" si="25"/>
        <v>1.88</v>
      </c>
      <c r="H196" s="9">
        <v>1.1200000000000001</v>
      </c>
      <c r="I196" s="9">
        <v>0.87</v>
      </c>
      <c r="J196" s="9">
        <v>1.4E-2</v>
      </c>
      <c r="K196" s="9">
        <f>Sheet1!K198</f>
        <v>2E-3</v>
      </c>
      <c r="L196" s="9" t="str">
        <f t="shared" si="26"/>
        <v>1/500</v>
      </c>
      <c r="M196" s="9">
        <v>1.7</v>
      </c>
      <c r="N196" s="9">
        <v>0</v>
      </c>
      <c r="O196" s="9">
        <f t="shared" si="27"/>
        <v>1.7</v>
      </c>
      <c r="P196" s="9">
        <v>1.6</v>
      </c>
      <c r="Q196" s="9">
        <f t="shared" si="28"/>
        <v>1.7</v>
      </c>
      <c r="R196" s="9">
        <f t="shared" si="29"/>
        <v>1.9</v>
      </c>
      <c r="S196" s="9">
        <f t="shared" si="21"/>
        <v>0.48</v>
      </c>
      <c r="T196" s="9">
        <v>1.6</v>
      </c>
      <c r="U196" s="9">
        <f t="shared" si="22"/>
        <v>1.7</v>
      </c>
      <c r="V196" s="9">
        <f>Sheet1!E199</f>
        <v>1669.86</v>
      </c>
      <c r="W196" s="9">
        <f>Sheet1!G199</f>
        <v>1669.09</v>
      </c>
      <c r="X196" s="14">
        <f t="shared" si="23"/>
        <v>1669.9599999999998</v>
      </c>
      <c r="Y196" s="9"/>
    </row>
    <row r="197" spans="1:26">
      <c r="B197" s="9"/>
      <c r="C197" s="10">
        <f>Sheet1!C200</f>
        <v>6900</v>
      </c>
      <c r="D197" s="9">
        <f t="shared" si="30"/>
        <v>3.75</v>
      </c>
      <c r="E197" s="9">
        <v>3</v>
      </c>
      <c r="F197" s="9">
        <f t="shared" si="24"/>
        <v>1.97</v>
      </c>
      <c r="G197" s="9">
        <f t="shared" si="25"/>
        <v>1.88</v>
      </c>
      <c r="H197" s="9">
        <v>1.1200000000000001</v>
      </c>
      <c r="I197" s="9">
        <v>0.87</v>
      </c>
      <c r="J197" s="9">
        <v>1.4E-2</v>
      </c>
      <c r="K197" s="9">
        <f>Sheet1!K199</f>
        <v>2E-3</v>
      </c>
      <c r="L197" s="9" t="str">
        <f t="shared" si="26"/>
        <v>1/500</v>
      </c>
      <c r="M197" s="9">
        <v>1.7</v>
      </c>
      <c r="N197" s="9">
        <v>0</v>
      </c>
      <c r="O197" s="9">
        <f t="shared" si="27"/>
        <v>1.7</v>
      </c>
      <c r="P197" s="9">
        <v>1.6</v>
      </c>
      <c r="Q197" s="9">
        <f t="shared" si="28"/>
        <v>1.7</v>
      </c>
      <c r="R197" s="9">
        <f t="shared" si="29"/>
        <v>1.9</v>
      </c>
      <c r="S197" s="9">
        <f t="shared" ref="S197:S260" si="31">T197-H197</f>
        <v>0.48</v>
      </c>
      <c r="T197" s="9">
        <v>1.6</v>
      </c>
      <c r="U197" s="9">
        <f t="shared" ref="U197:U207" si="32">M197+T197*N197</f>
        <v>1.7</v>
      </c>
      <c r="V197" s="9">
        <f>Sheet1!E200</f>
        <v>1669.68</v>
      </c>
      <c r="W197" s="9">
        <f>Sheet1!G200</f>
        <v>1668.99</v>
      </c>
      <c r="X197" s="14">
        <f t="shared" ref="X197:X260" si="33">W197+I197</f>
        <v>1669.86</v>
      </c>
      <c r="Y197" s="9"/>
    </row>
    <row r="198" spans="1:26">
      <c r="B198" s="9"/>
      <c r="C198" s="10">
        <f>Sheet1!C201</f>
        <v>6950</v>
      </c>
      <c r="D198" s="9">
        <f t="shared" si="30"/>
        <v>3.75</v>
      </c>
      <c r="E198" s="9">
        <v>3</v>
      </c>
      <c r="F198" s="9">
        <f t="shared" ref="F198:F261" si="34">ROUND(D198/R198,2)</f>
        <v>1.97</v>
      </c>
      <c r="G198" s="9">
        <f t="shared" ref="G198:G207" si="35">ROUND(E198/P198,2)</f>
        <v>1.88</v>
      </c>
      <c r="H198" s="9">
        <v>1.1200000000000001</v>
      </c>
      <c r="I198" s="9">
        <v>0.87</v>
      </c>
      <c r="J198" s="9">
        <v>1.4E-2</v>
      </c>
      <c r="K198" s="9">
        <f>Sheet1!K200</f>
        <v>2E-3</v>
      </c>
      <c r="L198" s="9" t="str">
        <f t="shared" ref="L198:L261" si="36">"1/"&amp;ROUND(1/K198,0)</f>
        <v>1/500</v>
      </c>
      <c r="M198" s="9">
        <v>1.7</v>
      </c>
      <c r="N198" s="9">
        <v>0</v>
      </c>
      <c r="O198" s="9">
        <f t="shared" ref="O198:O261" si="37">ROUND(M198+2*N198*I198,2)</f>
        <v>1.7</v>
      </c>
      <c r="P198" s="9">
        <v>1.6</v>
      </c>
      <c r="Q198" s="9">
        <f t="shared" ref="Q198:Q261" si="38">ROUND(M198+N198*2*H198,2)</f>
        <v>1.7</v>
      </c>
      <c r="R198" s="9">
        <f t="shared" ref="R198:R261" si="39">ROUND((M198+Q198)*H198/2,2)</f>
        <v>1.9</v>
      </c>
      <c r="S198" s="9">
        <f t="shared" si="31"/>
        <v>0.48</v>
      </c>
      <c r="T198" s="9">
        <v>1.6</v>
      </c>
      <c r="U198" s="9">
        <f t="shared" si="32"/>
        <v>1.7</v>
      </c>
      <c r="V198" s="9">
        <f>Sheet1!E201</f>
        <v>1669.74</v>
      </c>
      <c r="W198" s="9">
        <f>Sheet1!G201</f>
        <v>1668.89</v>
      </c>
      <c r="X198" s="14">
        <f t="shared" si="33"/>
        <v>1669.76</v>
      </c>
      <c r="Y198" s="9"/>
    </row>
    <row r="199" spans="1:26">
      <c r="B199" s="9"/>
      <c r="C199" s="10">
        <f>Sheet1!C202</f>
        <v>7000</v>
      </c>
      <c r="D199" s="9">
        <f t="shared" si="30"/>
        <v>3.75</v>
      </c>
      <c r="E199" s="9">
        <v>3</v>
      </c>
      <c r="F199" s="9">
        <f t="shared" si="34"/>
        <v>1.97</v>
      </c>
      <c r="G199" s="9">
        <f t="shared" si="35"/>
        <v>1.88</v>
      </c>
      <c r="H199" s="9">
        <v>1.1200000000000001</v>
      </c>
      <c r="I199" s="9">
        <v>0.87</v>
      </c>
      <c r="J199" s="9">
        <v>1.4E-2</v>
      </c>
      <c r="K199" s="9">
        <f>Sheet1!K201</f>
        <v>2E-3</v>
      </c>
      <c r="L199" s="9" t="str">
        <f t="shared" si="36"/>
        <v>1/500</v>
      </c>
      <c r="M199" s="9">
        <v>1.7</v>
      </c>
      <c r="N199" s="9">
        <v>0</v>
      </c>
      <c r="O199" s="9">
        <f t="shared" si="37"/>
        <v>1.7</v>
      </c>
      <c r="P199" s="9">
        <v>1.6</v>
      </c>
      <c r="Q199" s="9">
        <f t="shared" si="38"/>
        <v>1.7</v>
      </c>
      <c r="R199" s="9">
        <f t="shared" si="39"/>
        <v>1.9</v>
      </c>
      <c r="S199" s="9">
        <f t="shared" si="31"/>
        <v>0.48</v>
      </c>
      <c r="T199" s="9">
        <v>1.6</v>
      </c>
      <c r="U199" s="9">
        <f t="shared" si="32"/>
        <v>1.7</v>
      </c>
      <c r="V199" s="9">
        <f>Sheet1!E202</f>
        <v>1669.69</v>
      </c>
      <c r="W199" s="9">
        <f>Sheet1!G202</f>
        <v>1668.79</v>
      </c>
      <c r="X199" s="14">
        <f t="shared" si="33"/>
        <v>1669.6599999999999</v>
      </c>
      <c r="Y199" s="9"/>
    </row>
    <row r="200" spans="1:26">
      <c r="B200" s="9"/>
      <c r="C200" s="10">
        <f>Sheet1!C203</f>
        <v>7050</v>
      </c>
      <c r="D200" s="9">
        <f t="shared" si="30"/>
        <v>3.75</v>
      </c>
      <c r="E200" s="9">
        <v>3</v>
      </c>
      <c r="F200" s="9">
        <f t="shared" si="34"/>
        <v>1.97</v>
      </c>
      <c r="G200" s="9">
        <f t="shared" si="35"/>
        <v>1.88</v>
      </c>
      <c r="H200" s="9">
        <v>1.1200000000000001</v>
      </c>
      <c r="I200" s="9">
        <v>0.87</v>
      </c>
      <c r="J200" s="9">
        <v>1.4E-2</v>
      </c>
      <c r="K200" s="9">
        <f>Sheet1!K202</f>
        <v>2E-3</v>
      </c>
      <c r="L200" s="9" t="str">
        <f t="shared" si="36"/>
        <v>1/500</v>
      </c>
      <c r="M200" s="9">
        <v>1.7</v>
      </c>
      <c r="N200" s="9">
        <v>0</v>
      </c>
      <c r="O200" s="9">
        <f t="shared" si="37"/>
        <v>1.7</v>
      </c>
      <c r="P200" s="9">
        <v>1.6</v>
      </c>
      <c r="Q200" s="9">
        <f t="shared" si="38"/>
        <v>1.7</v>
      </c>
      <c r="R200" s="9">
        <f t="shared" si="39"/>
        <v>1.9</v>
      </c>
      <c r="S200" s="9">
        <f t="shared" si="31"/>
        <v>0.48</v>
      </c>
      <c r="T200" s="9">
        <v>1.6</v>
      </c>
      <c r="U200" s="9">
        <f t="shared" si="32"/>
        <v>1.7</v>
      </c>
      <c r="V200" s="9">
        <f>Sheet1!E203</f>
        <v>1669.59</v>
      </c>
      <c r="W200" s="9">
        <f>Sheet1!G203</f>
        <v>1668.69</v>
      </c>
      <c r="X200" s="14">
        <f t="shared" si="33"/>
        <v>1669.56</v>
      </c>
      <c r="Y200" s="9"/>
    </row>
    <row r="201" spans="1:26">
      <c r="B201" s="9"/>
      <c r="C201" s="10">
        <f>Sheet1!C204</f>
        <v>7100</v>
      </c>
      <c r="D201" s="9">
        <f t="shared" si="30"/>
        <v>3.75</v>
      </c>
      <c r="E201" s="9">
        <v>3</v>
      </c>
      <c r="F201" s="9">
        <f t="shared" si="34"/>
        <v>1.97</v>
      </c>
      <c r="G201" s="9">
        <f t="shared" si="35"/>
        <v>1.88</v>
      </c>
      <c r="H201" s="9">
        <v>1.1200000000000001</v>
      </c>
      <c r="I201" s="9">
        <v>0.87</v>
      </c>
      <c r="J201" s="9">
        <v>1.4E-2</v>
      </c>
      <c r="K201" s="9">
        <f>Sheet1!K203</f>
        <v>2E-3</v>
      </c>
      <c r="L201" s="9" t="str">
        <f t="shared" si="36"/>
        <v>1/500</v>
      </c>
      <c r="M201" s="9">
        <v>1.7</v>
      </c>
      <c r="N201" s="9">
        <v>0</v>
      </c>
      <c r="O201" s="9">
        <f t="shared" si="37"/>
        <v>1.7</v>
      </c>
      <c r="P201" s="9">
        <v>1.6</v>
      </c>
      <c r="Q201" s="9">
        <f t="shared" si="38"/>
        <v>1.7</v>
      </c>
      <c r="R201" s="9">
        <f t="shared" si="39"/>
        <v>1.9</v>
      </c>
      <c r="S201" s="9">
        <f t="shared" si="31"/>
        <v>0.48</v>
      </c>
      <c r="T201" s="9">
        <v>1.6</v>
      </c>
      <c r="U201" s="9">
        <f t="shared" si="32"/>
        <v>1.7</v>
      </c>
      <c r="V201" s="9">
        <f>Sheet1!E204</f>
        <v>1669.64</v>
      </c>
      <c r="W201" s="9">
        <f>Sheet1!G204</f>
        <v>1668.59</v>
      </c>
      <c r="X201" s="14">
        <f t="shared" si="33"/>
        <v>1669.4599999999998</v>
      </c>
      <c r="Y201" s="9"/>
    </row>
    <row r="202" spans="1:26">
      <c r="B202" s="9"/>
      <c r="C202" s="10">
        <f>Sheet1!C205</f>
        <v>7150</v>
      </c>
      <c r="D202" s="9">
        <f t="shared" si="30"/>
        <v>3.75</v>
      </c>
      <c r="E202" s="9">
        <v>3</v>
      </c>
      <c r="F202" s="9">
        <f t="shared" si="34"/>
        <v>1.97</v>
      </c>
      <c r="G202" s="9">
        <f t="shared" si="35"/>
        <v>1.88</v>
      </c>
      <c r="H202" s="9">
        <v>1.1200000000000001</v>
      </c>
      <c r="I202" s="9">
        <v>0.87</v>
      </c>
      <c r="J202" s="9">
        <v>1.4E-2</v>
      </c>
      <c r="K202" s="9">
        <f>Sheet1!K204</f>
        <v>2E-3</v>
      </c>
      <c r="L202" s="9" t="str">
        <f t="shared" si="36"/>
        <v>1/500</v>
      </c>
      <c r="M202" s="9">
        <v>1.7</v>
      </c>
      <c r="N202" s="9">
        <v>0</v>
      </c>
      <c r="O202" s="9">
        <f t="shared" si="37"/>
        <v>1.7</v>
      </c>
      <c r="P202" s="9">
        <v>1.6</v>
      </c>
      <c r="Q202" s="9">
        <f t="shared" si="38"/>
        <v>1.7</v>
      </c>
      <c r="R202" s="9">
        <f t="shared" si="39"/>
        <v>1.9</v>
      </c>
      <c r="S202" s="9">
        <f t="shared" si="31"/>
        <v>0.48</v>
      </c>
      <c r="T202" s="9">
        <v>1.6</v>
      </c>
      <c r="U202" s="9">
        <f t="shared" si="32"/>
        <v>1.7</v>
      </c>
      <c r="V202" s="9">
        <f>Sheet1!E205</f>
        <v>1669.74</v>
      </c>
      <c r="W202" s="9">
        <f>Sheet1!G205</f>
        <v>1668.49</v>
      </c>
      <c r="X202" s="14">
        <f t="shared" si="33"/>
        <v>1669.36</v>
      </c>
      <c r="Y202" s="9"/>
    </row>
    <row r="203" spans="1:26">
      <c r="B203" s="9"/>
      <c r="C203" s="10">
        <f>Sheet1!C206</f>
        <v>7200</v>
      </c>
      <c r="D203" s="9">
        <f t="shared" si="30"/>
        <v>3.75</v>
      </c>
      <c r="E203" s="9">
        <v>3</v>
      </c>
      <c r="F203" s="9">
        <f t="shared" si="34"/>
        <v>1.97</v>
      </c>
      <c r="G203" s="9">
        <f t="shared" si="35"/>
        <v>1.88</v>
      </c>
      <c r="H203" s="9">
        <v>1.1200000000000001</v>
      </c>
      <c r="I203" s="9">
        <v>0.87</v>
      </c>
      <c r="J203" s="9">
        <v>1.4E-2</v>
      </c>
      <c r="K203" s="9">
        <f>Sheet1!K205</f>
        <v>2E-3</v>
      </c>
      <c r="L203" s="9" t="str">
        <f t="shared" si="36"/>
        <v>1/500</v>
      </c>
      <c r="M203" s="9">
        <v>1.7</v>
      </c>
      <c r="N203" s="9">
        <v>0</v>
      </c>
      <c r="O203" s="9">
        <f t="shared" si="37"/>
        <v>1.7</v>
      </c>
      <c r="P203" s="9">
        <v>1.6</v>
      </c>
      <c r="Q203" s="9">
        <f t="shared" si="38"/>
        <v>1.7</v>
      </c>
      <c r="R203" s="9">
        <f t="shared" si="39"/>
        <v>1.9</v>
      </c>
      <c r="S203" s="9">
        <f t="shared" si="31"/>
        <v>0.48</v>
      </c>
      <c r="T203" s="9">
        <v>1.6</v>
      </c>
      <c r="U203" s="9">
        <f t="shared" si="32"/>
        <v>1.7</v>
      </c>
      <c r="V203" s="9">
        <f>Sheet1!E206</f>
        <v>1670.14</v>
      </c>
      <c r="W203" s="9">
        <f>Sheet1!G206</f>
        <v>1668.39</v>
      </c>
      <c r="X203" s="14">
        <f t="shared" si="33"/>
        <v>1669.26</v>
      </c>
      <c r="Y203" s="9"/>
    </row>
    <row r="204" spans="1:26">
      <c r="B204" s="9"/>
      <c r="C204" s="10">
        <f>Sheet1!C207</f>
        <v>7250</v>
      </c>
      <c r="D204" s="9">
        <f t="shared" si="30"/>
        <v>3.75</v>
      </c>
      <c r="E204" s="9">
        <v>3</v>
      </c>
      <c r="F204" s="9">
        <f t="shared" si="34"/>
        <v>1.97</v>
      </c>
      <c r="G204" s="9">
        <f t="shared" si="35"/>
        <v>1.88</v>
      </c>
      <c r="H204" s="9">
        <v>1.1200000000000001</v>
      </c>
      <c r="I204" s="9">
        <v>0.87</v>
      </c>
      <c r="J204" s="9">
        <v>1.4E-2</v>
      </c>
      <c r="K204" s="9">
        <f>Sheet1!K206</f>
        <v>2E-3</v>
      </c>
      <c r="L204" s="9" t="str">
        <f t="shared" si="36"/>
        <v>1/500</v>
      </c>
      <c r="M204" s="9">
        <v>1.7</v>
      </c>
      <c r="N204" s="9">
        <v>0</v>
      </c>
      <c r="O204" s="9">
        <f t="shared" si="37"/>
        <v>1.7</v>
      </c>
      <c r="P204" s="9">
        <v>1.6</v>
      </c>
      <c r="Q204" s="9">
        <f t="shared" si="38"/>
        <v>1.7</v>
      </c>
      <c r="R204" s="9">
        <f t="shared" si="39"/>
        <v>1.9</v>
      </c>
      <c r="S204" s="9">
        <f t="shared" si="31"/>
        <v>0.48</v>
      </c>
      <c r="T204" s="9">
        <v>1.6</v>
      </c>
      <c r="U204" s="9">
        <f t="shared" si="32"/>
        <v>1.7</v>
      </c>
      <c r="V204" s="9">
        <f>Sheet1!E207</f>
        <v>1669.68</v>
      </c>
      <c r="W204" s="9">
        <f>Sheet1!G207</f>
        <v>1668.29</v>
      </c>
      <c r="X204" s="14">
        <f t="shared" si="33"/>
        <v>1669.1599999999999</v>
      </c>
      <c r="Y204" s="9"/>
    </row>
    <row r="205" spans="1:26">
      <c r="A205" t="s">
        <v>362</v>
      </c>
      <c r="B205" s="40" t="s">
        <v>364</v>
      </c>
      <c r="C205" s="10">
        <f>Sheet1!C208</f>
        <v>7282</v>
      </c>
      <c r="D205" s="9">
        <f t="shared" si="30"/>
        <v>3.75</v>
      </c>
      <c r="E205" s="9">
        <v>3</v>
      </c>
      <c r="F205" s="9">
        <f t="shared" si="34"/>
        <v>1.97</v>
      </c>
      <c r="G205" s="9">
        <f t="shared" si="35"/>
        <v>1.88</v>
      </c>
      <c r="H205" s="9">
        <v>1.1200000000000001</v>
      </c>
      <c r="I205" s="9">
        <v>0.87</v>
      </c>
      <c r="J205" s="9">
        <v>1.4E-2</v>
      </c>
      <c r="K205" s="9">
        <f>Sheet1!K207</f>
        <v>2E-3</v>
      </c>
      <c r="L205" s="9" t="str">
        <f t="shared" si="36"/>
        <v>1/500</v>
      </c>
      <c r="M205" s="9">
        <v>1.7</v>
      </c>
      <c r="N205" s="9">
        <v>0</v>
      </c>
      <c r="O205" s="9">
        <f t="shared" si="37"/>
        <v>1.7</v>
      </c>
      <c r="P205" s="9">
        <v>1.6</v>
      </c>
      <c r="Q205" s="9">
        <f t="shared" si="38"/>
        <v>1.7</v>
      </c>
      <c r="R205" s="9">
        <f t="shared" si="39"/>
        <v>1.9</v>
      </c>
      <c r="S205" s="9">
        <f t="shared" si="31"/>
        <v>0.48</v>
      </c>
      <c r="T205" s="9">
        <v>1.6</v>
      </c>
      <c r="U205" s="9">
        <f t="shared" si="32"/>
        <v>1.7</v>
      </c>
      <c r="V205" s="9">
        <f>Sheet1!E208</f>
        <v>1670.1</v>
      </c>
      <c r="W205" s="9">
        <f>Sheet1!G208</f>
        <v>1668.23</v>
      </c>
      <c r="X205" s="14">
        <f t="shared" si="33"/>
        <v>1669.1</v>
      </c>
      <c r="Y205" s="40" t="s">
        <v>364</v>
      </c>
    </row>
    <row r="206" spans="1:26">
      <c r="B206" s="41"/>
      <c r="C206" s="10">
        <f>Sheet1!C209</f>
        <v>7292</v>
      </c>
      <c r="D206" s="9">
        <f t="shared" si="30"/>
        <v>3.75</v>
      </c>
      <c r="E206" s="9">
        <v>3</v>
      </c>
      <c r="F206" s="9">
        <f t="shared" si="34"/>
        <v>1.97</v>
      </c>
      <c r="G206" s="9">
        <f t="shared" si="35"/>
        <v>1.88</v>
      </c>
      <c r="H206" s="9">
        <v>1.1200000000000001</v>
      </c>
      <c r="I206" s="9">
        <v>0.87</v>
      </c>
      <c r="J206" s="9">
        <v>1.4E-2</v>
      </c>
      <c r="K206" s="9">
        <f>Sheet1!K208</f>
        <v>2E-3</v>
      </c>
      <c r="L206" s="9" t="str">
        <f t="shared" si="36"/>
        <v>1/500</v>
      </c>
      <c r="M206" s="9">
        <v>1.7</v>
      </c>
      <c r="N206" s="9">
        <v>0</v>
      </c>
      <c r="O206" s="9">
        <f t="shared" si="37"/>
        <v>1.7</v>
      </c>
      <c r="P206" s="9">
        <v>1.6</v>
      </c>
      <c r="Q206" s="9">
        <f t="shared" si="38"/>
        <v>1.7</v>
      </c>
      <c r="R206" s="9">
        <f t="shared" si="39"/>
        <v>1.9</v>
      </c>
      <c r="S206" s="9">
        <f t="shared" si="31"/>
        <v>0.48</v>
      </c>
      <c r="T206" s="9">
        <v>1.6</v>
      </c>
      <c r="U206" s="9">
        <f t="shared" si="32"/>
        <v>1.7</v>
      </c>
      <c r="V206" s="9">
        <f>Sheet1!E209</f>
        <v>1670.1</v>
      </c>
      <c r="W206" s="9">
        <f>Sheet1!G209</f>
        <v>1668.21</v>
      </c>
      <c r="X206" s="14">
        <f t="shared" si="33"/>
        <v>1669.08</v>
      </c>
      <c r="Y206" s="41"/>
      <c r="Z206" s="23">
        <f>C206-5</f>
        <v>7287</v>
      </c>
    </row>
    <row r="207" spans="1:26">
      <c r="B207" s="9"/>
      <c r="C207" s="10">
        <f>Sheet1!C210</f>
        <v>7300</v>
      </c>
      <c r="D207" s="9">
        <f t="shared" si="30"/>
        <v>3.75</v>
      </c>
      <c r="E207" s="9">
        <v>3</v>
      </c>
      <c r="F207" s="9">
        <f t="shared" si="34"/>
        <v>1.97</v>
      </c>
      <c r="G207" s="9">
        <f t="shared" si="35"/>
        <v>1.88</v>
      </c>
      <c r="H207" s="9">
        <v>1.1200000000000001</v>
      </c>
      <c r="I207" s="9">
        <v>0.87</v>
      </c>
      <c r="J207" s="9">
        <v>1.4E-2</v>
      </c>
      <c r="K207" s="9">
        <f>Sheet1!K209</f>
        <v>2E-3</v>
      </c>
      <c r="L207" s="9" t="str">
        <f t="shared" si="36"/>
        <v>1/500</v>
      </c>
      <c r="M207" s="9">
        <v>1.7</v>
      </c>
      <c r="N207" s="9">
        <v>0</v>
      </c>
      <c r="O207" s="9">
        <f t="shared" si="37"/>
        <v>1.7</v>
      </c>
      <c r="P207" s="9">
        <v>1.6</v>
      </c>
      <c r="Q207" s="9">
        <f t="shared" si="38"/>
        <v>1.7</v>
      </c>
      <c r="R207" s="9">
        <f t="shared" si="39"/>
        <v>1.9</v>
      </c>
      <c r="S207" s="9">
        <f t="shared" si="31"/>
        <v>0.48</v>
      </c>
      <c r="T207" s="9">
        <v>1.6</v>
      </c>
      <c r="U207" s="9">
        <f t="shared" si="32"/>
        <v>1.7</v>
      </c>
      <c r="V207" s="9">
        <f>Sheet1!E210</f>
        <v>1669.68</v>
      </c>
      <c r="W207" s="9">
        <f>Sheet1!G210</f>
        <v>1668.19</v>
      </c>
      <c r="X207" s="14">
        <f t="shared" si="33"/>
        <v>1669.06</v>
      </c>
      <c r="Y207" s="9"/>
    </row>
    <row r="208" spans="1:26">
      <c r="A208" t="s">
        <v>327</v>
      </c>
      <c r="B208" s="9"/>
      <c r="C208" s="10">
        <f>Sheet1!C211</f>
        <v>7310</v>
      </c>
      <c r="D208" s="9">
        <f t="shared" si="30"/>
        <v>3.75</v>
      </c>
      <c r="E208" s="9">
        <v>3</v>
      </c>
      <c r="F208" s="9">
        <f t="shared" si="34"/>
        <v>1.94</v>
      </c>
      <c r="G208" s="9">
        <v>1.83</v>
      </c>
      <c r="H208" s="9">
        <v>0.85</v>
      </c>
      <c r="I208" s="9">
        <v>0.76</v>
      </c>
      <c r="J208" s="9">
        <v>1.4E-2</v>
      </c>
      <c r="K208" s="9">
        <f>Sheet1!K210</f>
        <v>2E-3</v>
      </c>
      <c r="L208" s="9" t="str">
        <f t="shared" si="36"/>
        <v>1/500</v>
      </c>
      <c r="M208" s="9">
        <v>1</v>
      </c>
      <c r="N208" s="9">
        <v>1.5</v>
      </c>
      <c r="O208" s="9">
        <f t="shared" si="37"/>
        <v>3.28</v>
      </c>
      <c r="P208" s="9">
        <f t="shared" ref="P208:P261" si="40">ROUND((O208+M208)*I208/2,2)</f>
        <v>1.63</v>
      </c>
      <c r="Q208" s="9">
        <f t="shared" si="38"/>
        <v>3.55</v>
      </c>
      <c r="R208" s="9">
        <f t="shared" si="39"/>
        <v>1.93</v>
      </c>
      <c r="S208" s="9">
        <f t="shared" si="31"/>
        <v>0.65</v>
      </c>
      <c r="T208" s="9">
        <v>1.5</v>
      </c>
      <c r="U208" s="9">
        <f>M208+T208*N208*2</f>
        <v>5.5</v>
      </c>
      <c r="V208" s="9">
        <f>Sheet1!E211</f>
        <v>1669.64</v>
      </c>
      <c r="W208" s="9">
        <f>Sheet1!G211</f>
        <v>1668.17</v>
      </c>
      <c r="X208" s="14">
        <f t="shared" si="33"/>
        <v>1668.93</v>
      </c>
      <c r="Y208" s="9"/>
    </row>
    <row r="209" spans="2:25">
      <c r="B209" s="9"/>
      <c r="C209" s="10">
        <f>Sheet1!C212</f>
        <v>7350</v>
      </c>
      <c r="D209" s="9">
        <f t="shared" si="30"/>
        <v>3.75</v>
      </c>
      <c r="E209" s="9">
        <v>3</v>
      </c>
      <c r="F209" s="9">
        <f t="shared" si="34"/>
        <v>1.94</v>
      </c>
      <c r="G209" s="9">
        <v>1.83</v>
      </c>
      <c r="H209" s="9">
        <v>0.85</v>
      </c>
      <c r="I209" s="9">
        <v>0.76</v>
      </c>
      <c r="J209" s="9">
        <v>1.4E-2</v>
      </c>
      <c r="K209" s="9">
        <f>Sheet1!K211</f>
        <v>2E-3</v>
      </c>
      <c r="L209" s="9" t="str">
        <f t="shared" si="36"/>
        <v>1/500</v>
      </c>
      <c r="M209" s="9">
        <v>1</v>
      </c>
      <c r="N209" s="9">
        <v>1.5</v>
      </c>
      <c r="O209" s="9">
        <f t="shared" si="37"/>
        <v>3.28</v>
      </c>
      <c r="P209" s="9">
        <f t="shared" si="40"/>
        <v>1.63</v>
      </c>
      <c r="Q209" s="9">
        <f t="shared" si="38"/>
        <v>3.55</v>
      </c>
      <c r="R209" s="9">
        <f t="shared" si="39"/>
        <v>1.93</v>
      </c>
      <c r="S209" s="9">
        <f t="shared" si="31"/>
        <v>0.65</v>
      </c>
      <c r="T209" s="9">
        <v>1.5</v>
      </c>
      <c r="U209" s="9">
        <f t="shared" ref="U209:U272" si="41">M209+T209*N209*2</f>
        <v>5.5</v>
      </c>
      <c r="V209" s="9">
        <f>Sheet1!E212</f>
        <v>1669.58</v>
      </c>
      <c r="W209" s="9">
        <f>Sheet1!G212</f>
        <v>1668.09</v>
      </c>
      <c r="X209" s="14">
        <f t="shared" si="33"/>
        <v>1668.85</v>
      </c>
      <c r="Y209" s="9"/>
    </row>
    <row r="210" spans="2:25">
      <c r="B210" s="9"/>
      <c r="C210" s="10">
        <f>Sheet1!C213</f>
        <v>7400</v>
      </c>
      <c r="D210" s="9">
        <f t="shared" si="30"/>
        <v>3.75</v>
      </c>
      <c r="E210" s="9">
        <v>3</v>
      </c>
      <c r="F210" s="9">
        <f t="shared" si="34"/>
        <v>1.94</v>
      </c>
      <c r="G210" s="9">
        <v>1.83</v>
      </c>
      <c r="H210" s="9">
        <v>0.85</v>
      </c>
      <c r="I210" s="9">
        <v>0.76</v>
      </c>
      <c r="J210" s="9">
        <v>1.4E-2</v>
      </c>
      <c r="K210" s="9">
        <f>Sheet1!K212</f>
        <v>2E-3</v>
      </c>
      <c r="L210" s="9" t="str">
        <f t="shared" si="36"/>
        <v>1/500</v>
      </c>
      <c r="M210" s="9">
        <v>1</v>
      </c>
      <c r="N210" s="9">
        <v>1.5</v>
      </c>
      <c r="O210" s="9">
        <f t="shared" si="37"/>
        <v>3.28</v>
      </c>
      <c r="P210" s="9">
        <f t="shared" si="40"/>
        <v>1.63</v>
      </c>
      <c r="Q210" s="9">
        <f t="shared" si="38"/>
        <v>3.55</v>
      </c>
      <c r="R210" s="9">
        <f t="shared" si="39"/>
        <v>1.93</v>
      </c>
      <c r="S210" s="9">
        <f t="shared" si="31"/>
        <v>0.65</v>
      </c>
      <c r="T210" s="9">
        <v>1.5</v>
      </c>
      <c r="U210" s="9">
        <f t="shared" si="41"/>
        <v>5.5</v>
      </c>
      <c r="V210" s="9">
        <f>Sheet1!E213</f>
        <v>1669.06</v>
      </c>
      <c r="W210" s="9">
        <f>Sheet1!G213</f>
        <v>1667.99</v>
      </c>
      <c r="X210" s="14">
        <f t="shared" si="33"/>
        <v>1668.75</v>
      </c>
      <c r="Y210" s="9"/>
    </row>
    <row r="211" spans="2:25">
      <c r="B211" s="9"/>
      <c r="C211" s="10">
        <f>Sheet1!C214</f>
        <v>7450</v>
      </c>
      <c r="D211" s="9">
        <f t="shared" si="30"/>
        <v>3.75</v>
      </c>
      <c r="E211" s="9">
        <v>3</v>
      </c>
      <c r="F211" s="9">
        <f t="shared" si="34"/>
        <v>1.94</v>
      </c>
      <c r="G211" s="9">
        <v>1.83</v>
      </c>
      <c r="H211" s="9">
        <v>0.85</v>
      </c>
      <c r="I211" s="9">
        <v>0.76</v>
      </c>
      <c r="J211" s="9">
        <v>1.4E-2</v>
      </c>
      <c r="K211" s="9">
        <f>Sheet1!K213</f>
        <v>2E-3</v>
      </c>
      <c r="L211" s="9" t="str">
        <f t="shared" si="36"/>
        <v>1/500</v>
      </c>
      <c r="M211" s="9">
        <v>1</v>
      </c>
      <c r="N211" s="9">
        <v>1.5</v>
      </c>
      <c r="O211" s="9">
        <f t="shared" si="37"/>
        <v>3.28</v>
      </c>
      <c r="P211" s="9">
        <f t="shared" si="40"/>
        <v>1.63</v>
      </c>
      <c r="Q211" s="9">
        <f t="shared" si="38"/>
        <v>3.55</v>
      </c>
      <c r="R211" s="9">
        <f t="shared" si="39"/>
        <v>1.93</v>
      </c>
      <c r="S211" s="9">
        <f t="shared" si="31"/>
        <v>0.65</v>
      </c>
      <c r="T211" s="9">
        <v>1.5</v>
      </c>
      <c r="U211" s="9">
        <f t="shared" si="41"/>
        <v>5.5</v>
      </c>
      <c r="V211" s="9">
        <f>Sheet1!E214</f>
        <v>1668.84</v>
      </c>
      <c r="W211" s="9">
        <f>Sheet1!G214</f>
        <v>1667.89</v>
      </c>
      <c r="X211" s="14">
        <f t="shared" si="33"/>
        <v>1668.65</v>
      </c>
      <c r="Y211" s="9"/>
    </row>
    <row r="212" spans="2:25">
      <c r="B212" s="9"/>
      <c r="C212" s="10">
        <f>Sheet1!C215</f>
        <v>7500</v>
      </c>
      <c r="D212" s="9">
        <f t="shared" si="30"/>
        <v>3.75</v>
      </c>
      <c r="E212" s="9">
        <v>3</v>
      </c>
      <c r="F212" s="9">
        <f t="shared" si="34"/>
        <v>1.94</v>
      </c>
      <c r="G212" s="9">
        <v>1.83</v>
      </c>
      <c r="H212" s="9">
        <v>0.85</v>
      </c>
      <c r="I212" s="9">
        <v>0.76</v>
      </c>
      <c r="J212" s="9">
        <v>1.4E-2</v>
      </c>
      <c r="K212" s="9">
        <f>Sheet1!K214</f>
        <v>2E-3</v>
      </c>
      <c r="L212" s="9" t="str">
        <f t="shared" si="36"/>
        <v>1/500</v>
      </c>
      <c r="M212" s="9">
        <v>1</v>
      </c>
      <c r="N212" s="9">
        <v>1.5</v>
      </c>
      <c r="O212" s="9">
        <f t="shared" si="37"/>
        <v>3.28</v>
      </c>
      <c r="P212" s="9">
        <f t="shared" si="40"/>
        <v>1.63</v>
      </c>
      <c r="Q212" s="9">
        <f t="shared" si="38"/>
        <v>3.55</v>
      </c>
      <c r="R212" s="9">
        <f t="shared" si="39"/>
        <v>1.93</v>
      </c>
      <c r="S212" s="9">
        <f t="shared" si="31"/>
        <v>0.65</v>
      </c>
      <c r="T212" s="9">
        <v>1.5</v>
      </c>
      <c r="U212" s="9">
        <f t="shared" si="41"/>
        <v>5.5</v>
      </c>
      <c r="V212" s="9">
        <f>Sheet1!E215</f>
        <v>1668.67</v>
      </c>
      <c r="W212" s="9">
        <f>Sheet1!G215</f>
        <v>1667.79</v>
      </c>
      <c r="X212" s="14">
        <f t="shared" si="33"/>
        <v>1668.55</v>
      </c>
      <c r="Y212" s="9"/>
    </row>
    <row r="213" spans="2:25">
      <c r="B213" s="9"/>
      <c r="C213" s="10">
        <f>Sheet1!C216</f>
        <v>7550</v>
      </c>
      <c r="D213" s="9">
        <f t="shared" si="30"/>
        <v>3.75</v>
      </c>
      <c r="E213" s="9">
        <v>3</v>
      </c>
      <c r="F213" s="9">
        <f t="shared" si="34"/>
        <v>1.94</v>
      </c>
      <c r="G213" s="9">
        <v>1.83</v>
      </c>
      <c r="H213" s="9">
        <v>0.85</v>
      </c>
      <c r="I213" s="9">
        <v>0.76</v>
      </c>
      <c r="J213" s="9">
        <v>1.4E-2</v>
      </c>
      <c r="K213" s="9">
        <f>Sheet1!K215</f>
        <v>2E-3</v>
      </c>
      <c r="L213" s="9" t="str">
        <f t="shared" si="36"/>
        <v>1/500</v>
      </c>
      <c r="M213" s="9">
        <v>1</v>
      </c>
      <c r="N213" s="9">
        <v>1.5</v>
      </c>
      <c r="O213" s="9">
        <f t="shared" si="37"/>
        <v>3.28</v>
      </c>
      <c r="P213" s="9">
        <f t="shared" si="40"/>
        <v>1.63</v>
      </c>
      <c r="Q213" s="9">
        <f t="shared" si="38"/>
        <v>3.55</v>
      </c>
      <c r="R213" s="9">
        <f t="shared" si="39"/>
        <v>1.93</v>
      </c>
      <c r="S213" s="9">
        <f t="shared" si="31"/>
        <v>0.65</v>
      </c>
      <c r="T213" s="9">
        <v>1.5</v>
      </c>
      <c r="U213" s="9">
        <f t="shared" si="41"/>
        <v>5.5</v>
      </c>
      <c r="V213" s="9">
        <f>Sheet1!E216</f>
        <v>1668.75</v>
      </c>
      <c r="W213" s="9">
        <f>Sheet1!G216</f>
        <v>1667.69</v>
      </c>
      <c r="X213" s="14">
        <f t="shared" si="33"/>
        <v>1668.45</v>
      </c>
      <c r="Y213" s="9"/>
    </row>
    <row r="214" spans="2:25">
      <c r="B214" s="9"/>
      <c r="C214" s="10">
        <f>Sheet1!C217</f>
        <v>7600</v>
      </c>
      <c r="D214" s="9">
        <f t="shared" si="30"/>
        <v>3.75</v>
      </c>
      <c r="E214" s="9">
        <v>3</v>
      </c>
      <c r="F214" s="9">
        <f t="shared" si="34"/>
        <v>1.94</v>
      </c>
      <c r="G214" s="9">
        <v>1.83</v>
      </c>
      <c r="H214" s="9">
        <v>0.85</v>
      </c>
      <c r="I214" s="9">
        <v>0.76</v>
      </c>
      <c r="J214" s="9">
        <v>1.4E-2</v>
      </c>
      <c r="K214" s="9">
        <f>Sheet1!K216</f>
        <v>2E-3</v>
      </c>
      <c r="L214" s="9" t="str">
        <f t="shared" si="36"/>
        <v>1/500</v>
      </c>
      <c r="M214" s="9">
        <v>1</v>
      </c>
      <c r="N214" s="9">
        <v>1.5</v>
      </c>
      <c r="O214" s="9">
        <f t="shared" si="37"/>
        <v>3.28</v>
      </c>
      <c r="P214" s="9">
        <f t="shared" si="40"/>
        <v>1.63</v>
      </c>
      <c r="Q214" s="9">
        <f t="shared" si="38"/>
        <v>3.55</v>
      </c>
      <c r="R214" s="9">
        <f t="shared" si="39"/>
        <v>1.93</v>
      </c>
      <c r="S214" s="9">
        <f t="shared" si="31"/>
        <v>0.65</v>
      </c>
      <c r="T214" s="9">
        <v>1.5</v>
      </c>
      <c r="U214" s="9">
        <f t="shared" si="41"/>
        <v>5.5</v>
      </c>
      <c r="V214" s="9">
        <f>Sheet1!E217</f>
        <v>1668.9</v>
      </c>
      <c r="W214" s="9">
        <f>Sheet1!G217</f>
        <v>1667.59</v>
      </c>
      <c r="X214" s="14">
        <f t="shared" si="33"/>
        <v>1668.35</v>
      </c>
      <c r="Y214" s="9"/>
    </row>
    <row r="215" spans="2:25">
      <c r="B215" s="9"/>
      <c r="C215" s="10">
        <f>Sheet1!C218</f>
        <v>7650</v>
      </c>
      <c r="D215" s="9">
        <f t="shared" si="30"/>
        <v>3.75</v>
      </c>
      <c r="E215" s="9">
        <v>3</v>
      </c>
      <c r="F215" s="9">
        <f t="shared" si="34"/>
        <v>1.94</v>
      </c>
      <c r="G215" s="9">
        <v>1.83</v>
      </c>
      <c r="H215" s="9">
        <v>0.85</v>
      </c>
      <c r="I215" s="9">
        <v>0.76</v>
      </c>
      <c r="J215" s="9">
        <v>1.4E-2</v>
      </c>
      <c r="K215" s="9">
        <f>Sheet1!K217</f>
        <v>2E-3</v>
      </c>
      <c r="L215" s="9" t="str">
        <f t="shared" si="36"/>
        <v>1/500</v>
      </c>
      <c r="M215" s="9">
        <v>1</v>
      </c>
      <c r="N215" s="9">
        <v>1.5</v>
      </c>
      <c r="O215" s="9">
        <f t="shared" si="37"/>
        <v>3.28</v>
      </c>
      <c r="P215" s="9">
        <f t="shared" si="40"/>
        <v>1.63</v>
      </c>
      <c r="Q215" s="9">
        <f t="shared" si="38"/>
        <v>3.55</v>
      </c>
      <c r="R215" s="9">
        <f t="shared" si="39"/>
        <v>1.93</v>
      </c>
      <c r="S215" s="9">
        <f t="shared" si="31"/>
        <v>0.65</v>
      </c>
      <c r="T215" s="9">
        <v>1.5</v>
      </c>
      <c r="U215" s="9">
        <f t="shared" si="41"/>
        <v>5.5</v>
      </c>
      <c r="V215" s="9">
        <f>Sheet1!E218</f>
        <v>1668.84</v>
      </c>
      <c r="W215" s="9">
        <f>Sheet1!G218</f>
        <v>1667.49</v>
      </c>
      <c r="X215" s="14">
        <f t="shared" si="33"/>
        <v>1668.25</v>
      </c>
      <c r="Y215" s="9"/>
    </row>
    <row r="216" spans="2:25">
      <c r="B216" s="9"/>
      <c r="C216" s="10">
        <f>Sheet1!C219</f>
        <v>7700</v>
      </c>
      <c r="D216" s="9">
        <f t="shared" si="30"/>
        <v>3.75</v>
      </c>
      <c r="E216" s="9">
        <v>3</v>
      </c>
      <c r="F216" s="9">
        <f t="shared" si="34"/>
        <v>1.94</v>
      </c>
      <c r="G216" s="9">
        <v>1.83</v>
      </c>
      <c r="H216" s="9">
        <v>0.85</v>
      </c>
      <c r="I216" s="9">
        <v>0.76</v>
      </c>
      <c r="J216" s="9">
        <v>1.4E-2</v>
      </c>
      <c r="K216" s="9">
        <f>Sheet1!K218</f>
        <v>2E-3</v>
      </c>
      <c r="L216" s="9" t="str">
        <f t="shared" si="36"/>
        <v>1/500</v>
      </c>
      <c r="M216" s="9">
        <v>1</v>
      </c>
      <c r="N216" s="9">
        <v>1.5</v>
      </c>
      <c r="O216" s="9">
        <f t="shared" si="37"/>
        <v>3.28</v>
      </c>
      <c r="P216" s="9">
        <f t="shared" si="40"/>
        <v>1.63</v>
      </c>
      <c r="Q216" s="9">
        <f t="shared" si="38"/>
        <v>3.55</v>
      </c>
      <c r="R216" s="9">
        <f t="shared" si="39"/>
        <v>1.93</v>
      </c>
      <c r="S216" s="9">
        <f t="shared" si="31"/>
        <v>0.65</v>
      </c>
      <c r="T216" s="9">
        <v>1.5</v>
      </c>
      <c r="U216" s="9">
        <f t="shared" si="41"/>
        <v>5.5</v>
      </c>
      <c r="V216" s="9">
        <f>Sheet1!E219</f>
        <v>1668.58</v>
      </c>
      <c r="W216" s="9">
        <f>Sheet1!G219</f>
        <v>1667.39</v>
      </c>
      <c r="X216" s="14">
        <f t="shared" si="33"/>
        <v>1668.15</v>
      </c>
      <c r="Y216" s="9"/>
    </row>
    <row r="217" spans="2:25">
      <c r="B217" s="9"/>
      <c r="C217" s="10">
        <f>Sheet1!C220</f>
        <v>7750</v>
      </c>
      <c r="D217" s="9">
        <f t="shared" si="30"/>
        <v>3.75</v>
      </c>
      <c r="E217" s="9">
        <v>3</v>
      </c>
      <c r="F217" s="9">
        <f t="shared" si="34"/>
        <v>1.94</v>
      </c>
      <c r="G217" s="9">
        <v>1.83</v>
      </c>
      <c r="H217" s="9">
        <v>0.85</v>
      </c>
      <c r="I217" s="9">
        <v>0.76</v>
      </c>
      <c r="J217" s="9">
        <v>1.4E-2</v>
      </c>
      <c r="K217" s="9">
        <f>Sheet1!K219</f>
        <v>2E-3</v>
      </c>
      <c r="L217" s="9" t="str">
        <f t="shared" si="36"/>
        <v>1/500</v>
      </c>
      <c r="M217" s="9">
        <v>1</v>
      </c>
      <c r="N217" s="9">
        <v>1.5</v>
      </c>
      <c r="O217" s="9">
        <f t="shared" si="37"/>
        <v>3.28</v>
      </c>
      <c r="P217" s="9">
        <f t="shared" si="40"/>
        <v>1.63</v>
      </c>
      <c r="Q217" s="9">
        <f t="shared" si="38"/>
        <v>3.55</v>
      </c>
      <c r="R217" s="9">
        <f t="shared" si="39"/>
        <v>1.93</v>
      </c>
      <c r="S217" s="9">
        <f t="shared" si="31"/>
        <v>0.65</v>
      </c>
      <c r="T217" s="9">
        <v>1.5</v>
      </c>
      <c r="U217" s="9">
        <f t="shared" si="41"/>
        <v>5.5</v>
      </c>
      <c r="V217" s="9">
        <f>Sheet1!E220</f>
        <v>1668.26</v>
      </c>
      <c r="W217" s="9">
        <f>Sheet1!G220</f>
        <v>1667.29</v>
      </c>
      <c r="X217" s="14">
        <f t="shared" si="33"/>
        <v>1668.05</v>
      </c>
      <c r="Y217" s="9"/>
    </row>
    <row r="218" spans="2:25">
      <c r="B218" s="9"/>
      <c r="C218" s="10">
        <f>Sheet1!C221</f>
        <v>7800</v>
      </c>
      <c r="D218" s="9">
        <f t="shared" si="30"/>
        <v>3.75</v>
      </c>
      <c r="E218" s="9">
        <v>3</v>
      </c>
      <c r="F218" s="9">
        <f t="shared" si="34"/>
        <v>1.94</v>
      </c>
      <c r="G218" s="9">
        <v>1.83</v>
      </c>
      <c r="H218" s="9">
        <v>0.85</v>
      </c>
      <c r="I218" s="9">
        <v>0.76</v>
      </c>
      <c r="J218" s="9">
        <v>1.4E-2</v>
      </c>
      <c r="K218" s="9">
        <f>Sheet1!K220</f>
        <v>2E-3</v>
      </c>
      <c r="L218" s="9" t="str">
        <f t="shared" si="36"/>
        <v>1/500</v>
      </c>
      <c r="M218" s="9">
        <v>1</v>
      </c>
      <c r="N218" s="9">
        <v>1.5</v>
      </c>
      <c r="O218" s="9">
        <f t="shared" si="37"/>
        <v>3.28</v>
      </c>
      <c r="P218" s="9">
        <f t="shared" si="40"/>
        <v>1.63</v>
      </c>
      <c r="Q218" s="9">
        <f t="shared" si="38"/>
        <v>3.55</v>
      </c>
      <c r="R218" s="9">
        <f t="shared" si="39"/>
        <v>1.93</v>
      </c>
      <c r="S218" s="9">
        <f t="shared" si="31"/>
        <v>0.65</v>
      </c>
      <c r="T218" s="9">
        <v>1.5</v>
      </c>
      <c r="U218" s="9">
        <f t="shared" si="41"/>
        <v>5.5</v>
      </c>
      <c r="V218" s="9">
        <f>Sheet1!E221</f>
        <v>1667.96</v>
      </c>
      <c r="W218" s="9">
        <f>Sheet1!G221</f>
        <v>1667.19</v>
      </c>
      <c r="X218" s="14">
        <f t="shared" si="33"/>
        <v>1667.95</v>
      </c>
      <c r="Y218" s="9"/>
    </row>
    <row r="219" spans="2:25">
      <c r="B219" s="9"/>
      <c r="C219" s="10">
        <f>Sheet1!C222</f>
        <v>7850</v>
      </c>
      <c r="D219" s="9">
        <f t="shared" si="30"/>
        <v>3.75</v>
      </c>
      <c r="E219" s="9">
        <v>3</v>
      </c>
      <c r="F219" s="9">
        <f t="shared" si="34"/>
        <v>1.94</v>
      </c>
      <c r="G219" s="9">
        <v>1.83</v>
      </c>
      <c r="H219" s="9">
        <v>0.85</v>
      </c>
      <c r="I219" s="9">
        <v>0.76</v>
      </c>
      <c r="J219" s="9">
        <v>1.4E-2</v>
      </c>
      <c r="K219" s="9">
        <f>Sheet1!K221</f>
        <v>2E-3</v>
      </c>
      <c r="L219" s="9" t="str">
        <f t="shared" si="36"/>
        <v>1/500</v>
      </c>
      <c r="M219" s="9">
        <v>1</v>
      </c>
      <c r="N219" s="9">
        <v>1.5</v>
      </c>
      <c r="O219" s="9">
        <f t="shared" si="37"/>
        <v>3.28</v>
      </c>
      <c r="P219" s="9">
        <f t="shared" si="40"/>
        <v>1.63</v>
      </c>
      <c r="Q219" s="9">
        <f t="shared" si="38"/>
        <v>3.55</v>
      </c>
      <c r="R219" s="9">
        <f t="shared" si="39"/>
        <v>1.93</v>
      </c>
      <c r="S219" s="9">
        <f t="shared" si="31"/>
        <v>0.65</v>
      </c>
      <c r="T219" s="9">
        <v>1.5</v>
      </c>
      <c r="U219" s="9">
        <f t="shared" si="41"/>
        <v>5.5</v>
      </c>
      <c r="V219" s="9">
        <f>Sheet1!E222</f>
        <v>1667.67</v>
      </c>
      <c r="W219" s="9">
        <f>Sheet1!G222</f>
        <v>1667.09</v>
      </c>
      <c r="X219" s="14">
        <f t="shared" si="33"/>
        <v>1667.85</v>
      </c>
      <c r="Y219" s="9"/>
    </row>
    <row r="220" spans="2:25">
      <c r="B220" s="9"/>
      <c r="C220" s="10">
        <f>Sheet1!C223</f>
        <v>7900</v>
      </c>
      <c r="D220" s="9">
        <f t="shared" si="30"/>
        <v>3.75</v>
      </c>
      <c r="E220" s="9">
        <v>3</v>
      </c>
      <c r="F220" s="9">
        <f t="shared" si="34"/>
        <v>1.94</v>
      </c>
      <c r="G220" s="9">
        <v>1.83</v>
      </c>
      <c r="H220" s="9">
        <v>0.85</v>
      </c>
      <c r="I220" s="9">
        <v>0.76</v>
      </c>
      <c r="J220" s="9">
        <v>1.4E-2</v>
      </c>
      <c r="K220" s="9">
        <f>Sheet1!K222</f>
        <v>2E-3</v>
      </c>
      <c r="L220" s="9" t="str">
        <f t="shared" si="36"/>
        <v>1/500</v>
      </c>
      <c r="M220" s="9">
        <v>1</v>
      </c>
      <c r="N220" s="9">
        <v>1.5</v>
      </c>
      <c r="O220" s="9">
        <f t="shared" si="37"/>
        <v>3.28</v>
      </c>
      <c r="P220" s="9">
        <f t="shared" si="40"/>
        <v>1.63</v>
      </c>
      <c r="Q220" s="9">
        <f t="shared" si="38"/>
        <v>3.55</v>
      </c>
      <c r="R220" s="9">
        <f t="shared" si="39"/>
        <v>1.93</v>
      </c>
      <c r="S220" s="9">
        <f t="shared" si="31"/>
        <v>0.65</v>
      </c>
      <c r="T220" s="9">
        <v>1.5</v>
      </c>
      <c r="U220" s="9">
        <f t="shared" si="41"/>
        <v>5.5</v>
      </c>
      <c r="V220" s="9">
        <f>Sheet1!E223</f>
        <v>1667.59</v>
      </c>
      <c r="W220" s="9">
        <f>Sheet1!G223</f>
        <v>1666.99</v>
      </c>
      <c r="X220" s="14">
        <f t="shared" si="33"/>
        <v>1667.75</v>
      </c>
      <c r="Y220" s="9"/>
    </row>
    <row r="221" spans="2:25">
      <c r="B221" s="9"/>
      <c r="C221" s="10">
        <f>Sheet1!C224</f>
        <v>7950</v>
      </c>
      <c r="D221" s="9">
        <f t="shared" si="30"/>
        <v>3.75</v>
      </c>
      <c r="E221" s="9">
        <v>3</v>
      </c>
      <c r="F221" s="9">
        <f t="shared" si="34"/>
        <v>1.94</v>
      </c>
      <c r="G221" s="9">
        <v>1.83</v>
      </c>
      <c r="H221" s="9">
        <v>0.85</v>
      </c>
      <c r="I221" s="9">
        <v>0.76</v>
      </c>
      <c r="J221" s="9">
        <v>1.4E-2</v>
      </c>
      <c r="K221" s="9">
        <f>Sheet1!K223</f>
        <v>2E-3</v>
      </c>
      <c r="L221" s="9" t="str">
        <f t="shared" si="36"/>
        <v>1/500</v>
      </c>
      <c r="M221" s="9">
        <v>1</v>
      </c>
      <c r="N221" s="9">
        <v>1.5</v>
      </c>
      <c r="O221" s="9">
        <f t="shared" si="37"/>
        <v>3.28</v>
      </c>
      <c r="P221" s="9">
        <f t="shared" si="40"/>
        <v>1.63</v>
      </c>
      <c r="Q221" s="9">
        <f t="shared" si="38"/>
        <v>3.55</v>
      </c>
      <c r="R221" s="9">
        <f t="shared" si="39"/>
        <v>1.93</v>
      </c>
      <c r="S221" s="9">
        <f t="shared" si="31"/>
        <v>0.65</v>
      </c>
      <c r="T221" s="9">
        <v>1.5</v>
      </c>
      <c r="U221" s="9">
        <f t="shared" si="41"/>
        <v>5.5</v>
      </c>
      <c r="V221" s="9">
        <f>Sheet1!E224</f>
        <v>1667.62</v>
      </c>
      <c r="W221" s="9">
        <f>Sheet1!G224</f>
        <v>1666.89</v>
      </c>
      <c r="X221" s="14">
        <f t="shared" si="33"/>
        <v>1667.65</v>
      </c>
      <c r="Y221" s="9"/>
    </row>
    <row r="222" spans="2:25">
      <c r="B222" s="9"/>
      <c r="C222" s="10">
        <f>Sheet1!C225</f>
        <v>8000</v>
      </c>
      <c r="D222" s="9">
        <f t="shared" si="30"/>
        <v>3.75</v>
      </c>
      <c r="E222" s="9">
        <v>3</v>
      </c>
      <c r="F222" s="9">
        <f t="shared" si="34"/>
        <v>1.94</v>
      </c>
      <c r="G222" s="9">
        <v>1.83</v>
      </c>
      <c r="H222" s="9">
        <v>0.85</v>
      </c>
      <c r="I222" s="9">
        <v>0.76</v>
      </c>
      <c r="J222" s="9">
        <v>1.4E-2</v>
      </c>
      <c r="K222" s="9">
        <f>Sheet1!K224</f>
        <v>2E-3</v>
      </c>
      <c r="L222" s="9" t="str">
        <f t="shared" si="36"/>
        <v>1/500</v>
      </c>
      <c r="M222" s="9">
        <v>1</v>
      </c>
      <c r="N222" s="9">
        <v>1.5</v>
      </c>
      <c r="O222" s="9">
        <f t="shared" si="37"/>
        <v>3.28</v>
      </c>
      <c r="P222" s="9">
        <f t="shared" si="40"/>
        <v>1.63</v>
      </c>
      <c r="Q222" s="9">
        <f t="shared" si="38"/>
        <v>3.55</v>
      </c>
      <c r="R222" s="9">
        <f t="shared" si="39"/>
        <v>1.93</v>
      </c>
      <c r="S222" s="9">
        <f t="shared" si="31"/>
        <v>0.65</v>
      </c>
      <c r="T222" s="9">
        <v>1.5</v>
      </c>
      <c r="U222" s="9">
        <f t="shared" si="41"/>
        <v>5.5</v>
      </c>
      <c r="V222" s="9">
        <f>Sheet1!E225</f>
        <v>1667.41</v>
      </c>
      <c r="W222" s="9">
        <f>Sheet1!G225</f>
        <v>1666.79</v>
      </c>
      <c r="X222" s="14">
        <f t="shared" si="33"/>
        <v>1667.55</v>
      </c>
      <c r="Y222" s="9"/>
    </row>
    <row r="223" spans="2:25">
      <c r="B223" s="9"/>
      <c r="C223" s="10">
        <f>Sheet1!C226</f>
        <v>8050</v>
      </c>
      <c r="D223" s="9">
        <f t="shared" si="30"/>
        <v>3.75</v>
      </c>
      <c r="E223" s="9">
        <v>3</v>
      </c>
      <c r="F223" s="9">
        <f t="shared" si="34"/>
        <v>1.94</v>
      </c>
      <c r="G223" s="9">
        <v>1.83</v>
      </c>
      <c r="H223" s="9">
        <v>0.85</v>
      </c>
      <c r="I223" s="9">
        <v>0.76</v>
      </c>
      <c r="J223" s="9">
        <v>1.4E-2</v>
      </c>
      <c r="K223" s="9">
        <f>Sheet1!K225</f>
        <v>2E-3</v>
      </c>
      <c r="L223" s="9" t="str">
        <f t="shared" si="36"/>
        <v>1/500</v>
      </c>
      <c r="M223" s="9">
        <v>1</v>
      </c>
      <c r="N223" s="9">
        <v>1.5</v>
      </c>
      <c r="O223" s="9">
        <f t="shared" si="37"/>
        <v>3.28</v>
      </c>
      <c r="P223" s="9">
        <f t="shared" si="40"/>
        <v>1.63</v>
      </c>
      <c r="Q223" s="9">
        <f t="shared" si="38"/>
        <v>3.55</v>
      </c>
      <c r="R223" s="9">
        <f t="shared" si="39"/>
        <v>1.93</v>
      </c>
      <c r="S223" s="9">
        <f t="shared" si="31"/>
        <v>0.65</v>
      </c>
      <c r="T223" s="9">
        <v>1.5</v>
      </c>
      <c r="U223" s="9">
        <f t="shared" si="41"/>
        <v>5.5</v>
      </c>
      <c r="V223" s="9">
        <f>Sheet1!E226</f>
        <v>1667.37</v>
      </c>
      <c r="W223" s="9">
        <f>Sheet1!G226</f>
        <v>1666.69</v>
      </c>
      <c r="X223" s="14">
        <f t="shared" si="33"/>
        <v>1667.45</v>
      </c>
      <c r="Y223" s="9"/>
    </row>
    <row r="224" spans="2:25">
      <c r="B224" s="9"/>
      <c r="C224" s="10">
        <f>Sheet1!C227</f>
        <v>8100</v>
      </c>
      <c r="D224" s="9">
        <f t="shared" si="30"/>
        <v>3.75</v>
      </c>
      <c r="E224" s="9">
        <v>3</v>
      </c>
      <c r="F224" s="9">
        <f t="shared" si="34"/>
        <v>1.5</v>
      </c>
      <c r="G224" s="9">
        <v>1.41</v>
      </c>
      <c r="H224" s="9">
        <v>1</v>
      </c>
      <c r="I224" s="9">
        <v>0.9</v>
      </c>
      <c r="J224" s="9">
        <v>1.4E-2</v>
      </c>
      <c r="K224" s="9">
        <f>Sheet1!K226</f>
        <v>1E-3</v>
      </c>
      <c r="L224" s="9" t="str">
        <f t="shared" si="36"/>
        <v>1/1000</v>
      </c>
      <c r="M224" s="9">
        <v>1</v>
      </c>
      <c r="N224" s="9">
        <v>1.5</v>
      </c>
      <c r="O224" s="9">
        <f t="shared" si="37"/>
        <v>3.7</v>
      </c>
      <c r="P224" s="9">
        <f t="shared" si="40"/>
        <v>2.12</v>
      </c>
      <c r="Q224" s="9">
        <f t="shared" si="38"/>
        <v>4</v>
      </c>
      <c r="R224" s="9">
        <f t="shared" si="39"/>
        <v>2.5</v>
      </c>
      <c r="S224" s="9">
        <f t="shared" si="31"/>
        <v>0.5</v>
      </c>
      <c r="T224" s="9">
        <v>1.5</v>
      </c>
      <c r="U224" s="9">
        <f t="shared" si="41"/>
        <v>5.5</v>
      </c>
      <c r="V224" s="9">
        <f>Sheet1!E227</f>
        <v>1667.29</v>
      </c>
      <c r="W224" s="9">
        <f>Sheet1!G227</f>
        <v>1666.64</v>
      </c>
      <c r="X224" s="14">
        <f t="shared" si="33"/>
        <v>1667.5400000000002</v>
      </c>
      <c r="Y224" s="9"/>
    </row>
    <row r="225" spans="2:26">
      <c r="B225" s="9"/>
      <c r="C225" s="10">
        <f>Sheet1!C228</f>
        <v>8150</v>
      </c>
      <c r="D225" s="9">
        <f t="shared" si="30"/>
        <v>3.75</v>
      </c>
      <c r="E225" s="9">
        <v>3</v>
      </c>
      <c r="F225" s="9">
        <f t="shared" si="34"/>
        <v>1.5</v>
      </c>
      <c r="G225" s="9">
        <v>1.41</v>
      </c>
      <c r="H225" s="9">
        <v>1</v>
      </c>
      <c r="I225" s="9">
        <v>0.9</v>
      </c>
      <c r="J225" s="9">
        <v>1.4E-2</v>
      </c>
      <c r="K225" s="9">
        <f>Sheet1!K227</f>
        <v>1E-3</v>
      </c>
      <c r="L225" s="9" t="str">
        <f t="shared" si="36"/>
        <v>1/1000</v>
      </c>
      <c r="M225" s="9">
        <v>1</v>
      </c>
      <c r="N225" s="9">
        <v>1.5</v>
      </c>
      <c r="O225" s="9">
        <f t="shared" si="37"/>
        <v>3.7</v>
      </c>
      <c r="P225" s="9">
        <f t="shared" si="40"/>
        <v>2.12</v>
      </c>
      <c r="Q225" s="9">
        <f t="shared" si="38"/>
        <v>4</v>
      </c>
      <c r="R225" s="9">
        <f t="shared" si="39"/>
        <v>2.5</v>
      </c>
      <c r="S225" s="9">
        <f t="shared" si="31"/>
        <v>0.5</v>
      </c>
      <c r="T225" s="9">
        <v>1.5</v>
      </c>
      <c r="U225" s="9">
        <f t="shared" si="41"/>
        <v>5.5</v>
      </c>
      <c r="V225" s="9">
        <f>Sheet1!E228</f>
        <v>1667.16</v>
      </c>
      <c r="W225" s="9">
        <f>Sheet1!G228</f>
        <v>1666.59</v>
      </c>
      <c r="X225" s="14">
        <f t="shared" si="33"/>
        <v>1667.49</v>
      </c>
      <c r="Y225" s="9"/>
    </row>
    <row r="226" spans="2:26">
      <c r="B226" s="9"/>
      <c r="C226" s="10">
        <f>Sheet1!C229</f>
        <v>8200</v>
      </c>
      <c r="D226" s="9">
        <f t="shared" si="30"/>
        <v>3.75</v>
      </c>
      <c r="E226" s="9">
        <v>3</v>
      </c>
      <c r="F226" s="9">
        <f t="shared" si="34"/>
        <v>1.5</v>
      </c>
      <c r="G226" s="9">
        <v>1.41</v>
      </c>
      <c r="H226" s="9">
        <v>1</v>
      </c>
      <c r="I226" s="9">
        <v>0.9</v>
      </c>
      <c r="J226" s="9">
        <v>1.4E-2</v>
      </c>
      <c r="K226" s="9">
        <f>Sheet1!K228</f>
        <v>1E-3</v>
      </c>
      <c r="L226" s="9" t="str">
        <f t="shared" si="36"/>
        <v>1/1000</v>
      </c>
      <c r="M226" s="9">
        <v>1</v>
      </c>
      <c r="N226" s="9">
        <v>1.5</v>
      </c>
      <c r="O226" s="9">
        <f t="shared" si="37"/>
        <v>3.7</v>
      </c>
      <c r="P226" s="9">
        <f t="shared" si="40"/>
        <v>2.12</v>
      </c>
      <c r="Q226" s="9">
        <f t="shared" si="38"/>
        <v>4</v>
      </c>
      <c r="R226" s="9">
        <f t="shared" si="39"/>
        <v>2.5</v>
      </c>
      <c r="S226" s="9">
        <f t="shared" si="31"/>
        <v>0.5</v>
      </c>
      <c r="T226" s="9">
        <v>1.5</v>
      </c>
      <c r="U226" s="9">
        <f t="shared" si="41"/>
        <v>5.5</v>
      </c>
      <c r="V226" s="9">
        <f>Sheet1!E229</f>
        <v>1666.93</v>
      </c>
      <c r="W226" s="9">
        <f>Sheet1!G229</f>
        <v>1666.54</v>
      </c>
      <c r="X226" s="14">
        <f t="shared" si="33"/>
        <v>1667.44</v>
      </c>
      <c r="Y226" s="9"/>
    </row>
    <row r="227" spans="2:26">
      <c r="B227" s="9"/>
      <c r="C227" s="10">
        <f>Sheet1!C230</f>
        <v>8250</v>
      </c>
      <c r="D227" s="9">
        <f t="shared" si="30"/>
        <v>3.75</v>
      </c>
      <c r="E227" s="9">
        <v>3</v>
      </c>
      <c r="F227" s="9">
        <f t="shared" si="34"/>
        <v>1.5</v>
      </c>
      <c r="G227" s="9">
        <v>1.41</v>
      </c>
      <c r="H227" s="9">
        <v>1</v>
      </c>
      <c r="I227" s="9">
        <v>0.9</v>
      </c>
      <c r="J227" s="9">
        <v>1.4E-2</v>
      </c>
      <c r="K227" s="9">
        <f>Sheet1!K229</f>
        <v>1E-3</v>
      </c>
      <c r="L227" s="9" t="str">
        <f t="shared" si="36"/>
        <v>1/1000</v>
      </c>
      <c r="M227" s="9">
        <v>1</v>
      </c>
      <c r="N227" s="9">
        <v>1.5</v>
      </c>
      <c r="O227" s="9">
        <f t="shared" si="37"/>
        <v>3.7</v>
      </c>
      <c r="P227" s="9">
        <f t="shared" si="40"/>
        <v>2.12</v>
      </c>
      <c r="Q227" s="9">
        <f t="shared" si="38"/>
        <v>4</v>
      </c>
      <c r="R227" s="9">
        <f t="shared" si="39"/>
        <v>2.5</v>
      </c>
      <c r="S227" s="9">
        <f t="shared" si="31"/>
        <v>0.5</v>
      </c>
      <c r="T227" s="9">
        <v>1.5</v>
      </c>
      <c r="U227" s="9">
        <f t="shared" si="41"/>
        <v>5.5</v>
      </c>
      <c r="V227" s="9">
        <f>Sheet1!E230</f>
        <v>1666.82</v>
      </c>
      <c r="W227" s="9">
        <f>Sheet1!G230</f>
        <v>1666.49</v>
      </c>
      <c r="X227" s="14">
        <f t="shared" si="33"/>
        <v>1667.39</v>
      </c>
      <c r="Y227" s="9"/>
    </row>
    <row r="228" spans="2:26">
      <c r="B228" s="9" t="s">
        <v>370</v>
      </c>
      <c r="C228" s="10">
        <f>Sheet1!C231</f>
        <v>8300</v>
      </c>
      <c r="D228" s="9">
        <f t="shared" si="30"/>
        <v>3.75</v>
      </c>
      <c r="E228" s="9">
        <v>3</v>
      </c>
      <c r="F228" s="9">
        <f t="shared" si="34"/>
        <v>1.5</v>
      </c>
      <c r="G228" s="9">
        <v>1.41</v>
      </c>
      <c r="H228" s="9">
        <v>1</v>
      </c>
      <c r="I228" s="9">
        <v>0.9</v>
      </c>
      <c r="J228" s="9">
        <v>1.4E-2</v>
      </c>
      <c r="K228" s="9">
        <f>Sheet1!K230</f>
        <v>1E-3</v>
      </c>
      <c r="L228" s="9" t="str">
        <f t="shared" si="36"/>
        <v>1/1000</v>
      </c>
      <c r="M228" s="9">
        <v>1</v>
      </c>
      <c r="N228" s="9">
        <v>1.5</v>
      </c>
      <c r="O228" s="9">
        <f t="shared" si="37"/>
        <v>3.7</v>
      </c>
      <c r="P228" s="9">
        <f t="shared" si="40"/>
        <v>2.12</v>
      </c>
      <c r="Q228" s="9">
        <f t="shared" si="38"/>
        <v>4</v>
      </c>
      <c r="R228" s="9">
        <f t="shared" si="39"/>
        <v>2.5</v>
      </c>
      <c r="S228" s="9">
        <f t="shared" si="31"/>
        <v>0.5</v>
      </c>
      <c r="T228" s="9">
        <v>1.5</v>
      </c>
      <c r="U228" s="9">
        <f t="shared" si="41"/>
        <v>5.5</v>
      </c>
      <c r="V228" s="9">
        <f>Sheet1!E231</f>
        <v>1666.65</v>
      </c>
      <c r="W228" s="9">
        <f>Sheet1!G231</f>
        <v>1666.44</v>
      </c>
      <c r="X228" s="14">
        <f t="shared" si="33"/>
        <v>1667.3400000000001</v>
      </c>
      <c r="Y228" s="9" t="s">
        <v>370</v>
      </c>
      <c r="Z228" s="3"/>
    </row>
    <row r="229" spans="2:26">
      <c r="B229" s="9"/>
      <c r="C229" s="10">
        <f>Sheet1!C232</f>
        <v>8350</v>
      </c>
      <c r="D229" s="9">
        <f t="shared" si="30"/>
        <v>3.75</v>
      </c>
      <c r="E229" s="9">
        <v>3</v>
      </c>
      <c r="F229" s="9">
        <f t="shared" si="34"/>
        <v>1.5</v>
      </c>
      <c r="G229" s="9">
        <v>1.41</v>
      </c>
      <c r="H229" s="9">
        <v>1</v>
      </c>
      <c r="I229" s="9">
        <v>0.9</v>
      </c>
      <c r="J229" s="9">
        <v>1.4E-2</v>
      </c>
      <c r="K229" s="9">
        <f>Sheet1!K231</f>
        <v>1E-3</v>
      </c>
      <c r="L229" s="9" t="str">
        <f t="shared" si="36"/>
        <v>1/1000</v>
      </c>
      <c r="M229" s="9">
        <v>1</v>
      </c>
      <c r="N229" s="9">
        <v>1.5</v>
      </c>
      <c r="O229" s="9">
        <f t="shared" si="37"/>
        <v>3.7</v>
      </c>
      <c r="P229" s="9">
        <f t="shared" si="40"/>
        <v>2.12</v>
      </c>
      <c r="Q229" s="9">
        <f t="shared" si="38"/>
        <v>4</v>
      </c>
      <c r="R229" s="9">
        <f t="shared" si="39"/>
        <v>2.5</v>
      </c>
      <c r="S229" s="9">
        <f t="shared" si="31"/>
        <v>0.5</v>
      </c>
      <c r="T229" s="9">
        <v>1.5</v>
      </c>
      <c r="U229" s="9">
        <f t="shared" si="41"/>
        <v>5.5</v>
      </c>
      <c r="V229" s="9">
        <f>Sheet1!E232</f>
        <v>1666.49</v>
      </c>
      <c r="W229" s="9">
        <f>Sheet1!G232</f>
        <v>1666.39</v>
      </c>
      <c r="X229" s="14">
        <f t="shared" si="33"/>
        <v>1667.2900000000002</v>
      </c>
      <c r="Y229" s="9"/>
    </row>
    <row r="230" spans="2:26">
      <c r="B230" s="9"/>
      <c r="C230" s="10">
        <f>Sheet1!C233</f>
        <v>8400</v>
      </c>
      <c r="D230" s="9">
        <f t="shared" si="30"/>
        <v>3.75</v>
      </c>
      <c r="E230" s="9">
        <v>3</v>
      </c>
      <c r="F230" s="9">
        <f t="shared" si="34"/>
        <v>1.5</v>
      </c>
      <c r="G230" s="9">
        <v>1.41</v>
      </c>
      <c r="H230" s="9">
        <v>1</v>
      </c>
      <c r="I230" s="9">
        <v>0.9</v>
      </c>
      <c r="J230" s="9">
        <v>1.4E-2</v>
      </c>
      <c r="K230" s="9">
        <f>Sheet1!K232</f>
        <v>1E-3</v>
      </c>
      <c r="L230" s="9" t="str">
        <f t="shared" si="36"/>
        <v>1/1000</v>
      </c>
      <c r="M230" s="9">
        <v>1</v>
      </c>
      <c r="N230" s="9">
        <v>1.5</v>
      </c>
      <c r="O230" s="9">
        <f t="shared" si="37"/>
        <v>3.7</v>
      </c>
      <c r="P230" s="9">
        <f t="shared" si="40"/>
        <v>2.12</v>
      </c>
      <c r="Q230" s="9">
        <f t="shared" si="38"/>
        <v>4</v>
      </c>
      <c r="R230" s="9">
        <f t="shared" si="39"/>
        <v>2.5</v>
      </c>
      <c r="S230" s="9">
        <f t="shared" si="31"/>
        <v>0.5</v>
      </c>
      <c r="T230" s="9">
        <v>1.5</v>
      </c>
      <c r="U230" s="9">
        <f t="shared" si="41"/>
        <v>5.5</v>
      </c>
      <c r="V230" s="9">
        <f>Sheet1!E233</f>
        <v>1666.4</v>
      </c>
      <c r="W230" s="9">
        <f>Sheet1!G233</f>
        <v>1666.34</v>
      </c>
      <c r="X230" s="14">
        <f t="shared" si="33"/>
        <v>1667.24</v>
      </c>
      <c r="Y230" s="9"/>
    </row>
    <row r="231" spans="2:26">
      <c r="B231" s="9"/>
      <c r="C231" s="10">
        <f>Sheet1!C234</f>
        <v>8450</v>
      </c>
      <c r="D231" s="9">
        <f t="shared" si="30"/>
        <v>3.75</v>
      </c>
      <c r="E231" s="9">
        <v>3</v>
      </c>
      <c r="F231" s="9">
        <f t="shared" si="34"/>
        <v>1.5</v>
      </c>
      <c r="G231" s="9">
        <v>1.41</v>
      </c>
      <c r="H231" s="9">
        <v>1</v>
      </c>
      <c r="I231" s="9">
        <v>0.9</v>
      </c>
      <c r="J231" s="9">
        <v>1.4E-2</v>
      </c>
      <c r="K231" s="9">
        <f>Sheet1!K233</f>
        <v>1E-3</v>
      </c>
      <c r="L231" s="9" t="str">
        <f t="shared" si="36"/>
        <v>1/1000</v>
      </c>
      <c r="M231" s="9">
        <v>1</v>
      </c>
      <c r="N231" s="9">
        <v>1.5</v>
      </c>
      <c r="O231" s="9">
        <f t="shared" si="37"/>
        <v>3.7</v>
      </c>
      <c r="P231" s="9">
        <f t="shared" si="40"/>
        <v>2.12</v>
      </c>
      <c r="Q231" s="9">
        <f t="shared" si="38"/>
        <v>4</v>
      </c>
      <c r="R231" s="9">
        <f t="shared" si="39"/>
        <v>2.5</v>
      </c>
      <c r="S231" s="9">
        <f t="shared" si="31"/>
        <v>0.5</v>
      </c>
      <c r="T231" s="9">
        <v>1.5</v>
      </c>
      <c r="U231" s="9">
        <f t="shared" si="41"/>
        <v>5.5</v>
      </c>
      <c r="V231" s="9">
        <f>Sheet1!E234</f>
        <v>1666.42</v>
      </c>
      <c r="W231" s="9">
        <f>Sheet1!G234</f>
        <v>1666.29</v>
      </c>
      <c r="X231" s="14">
        <f t="shared" si="33"/>
        <v>1667.19</v>
      </c>
      <c r="Y231" s="9"/>
    </row>
    <row r="232" spans="2:26">
      <c r="B232" s="9"/>
      <c r="C232" s="10">
        <f>Sheet1!C235</f>
        <v>8500</v>
      </c>
      <c r="D232" s="9">
        <f t="shared" si="30"/>
        <v>3.75</v>
      </c>
      <c r="E232" s="9">
        <v>3</v>
      </c>
      <c r="F232" s="9">
        <f t="shared" si="34"/>
        <v>1.5</v>
      </c>
      <c r="G232" s="9">
        <v>1.41</v>
      </c>
      <c r="H232" s="9">
        <v>1</v>
      </c>
      <c r="I232" s="9">
        <v>0.9</v>
      </c>
      <c r="J232" s="9">
        <v>1.4E-2</v>
      </c>
      <c r="K232" s="9">
        <f>Sheet1!K234</f>
        <v>1E-3</v>
      </c>
      <c r="L232" s="9" t="str">
        <f t="shared" si="36"/>
        <v>1/1000</v>
      </c>
      <c r="M232" s="9">
        <v>1</v>
      </c>
      <c r="N232" s="9">
        <v>1.5</v>
      </c>
      <c r="O232" s="9">
        <f t="shared" si="37"/>
        <v>3.7</v>
      </c>
      <c r="P232" s="9">
        <f t="shared" si="40"/>
        <v>2.12</v>
      </c>
      <c r="Q232" s="9">
        <f t="shared" si="38"/>
        <v>4</v>
      </c>
      <c r="R232" s="9">
        <f t="shared" si="39"/>
        <v>2.5</v>
      </c>
      <c r="S232" s="9">
        <f t="shared" si="31"/>
        <v>0.5</v>
      </c>
      <c r="T232" s="9">
        <v>1.5</v>
      </c>
      <c r="U232" s="9">
        <f t="shared" si="41"/>
        <v>5.5</v>
      </c>
      <c r="V232" s="9">
        <f>Sheet1!E235</f>
        <v>1666.15</v>
      </c>
      <c r="W232" s="9">
        <f>Sheet1!G235</f>
        <v>1666.24</v>
      </c>
      <c r="X232" s="14">
        <f t="shared" si="33"/>
        <v>1667.14</v>
      </c>
      <c r="Y232" s="9"/>
    </row>
    <row r="233" spans="2:26">
      <c r="B233" s="9"/>
      <c r="C233" s="10">
        <f>Sheet1!C236</f>
        <v>8550</v>
      </c>
      <c r="D233" s="9">
        <f t="shared" si="30"/>
        <v>3.75</v>
      </c>
      <c r="E233" s="9">
        <v>3</v>
      </c>
      <c r="F233" s="9">
        <f t="shared" si="34"/>
        <v>1.5</v>
      </c>
      <c r="G233" s="9">
        <v>1.41</v>
      </c>
      <c r="H233" s="9">
        <v>1</v>
      </c>
      <c r="I233" s="9">
        <v>0.9</v>
      </c>
      <c r="J233" s="9">
        <v>1.4E-2</v>
      </c>
      <c r="K233" s="9">
        <f>Sheet1!K235</f>
        <v>1E-3</v>
      </c>
      <c r="L233" s="9" t="str">
        <f t="shared" si="36"/>
        <v>1/1000</v>
      </c>
      <c r="M233" s="9">
        <v>1</v>
      </c>
      <c r="N233" s="9">
        <v>1.5</v>
      </c>
      <c r="O233" s="9">
        <f t="shared" si="37"/>
        <v>3.7</v>
      </c>
      <c r="P233" s="9">
        <f t="shared" si="40"/>
        <v>2.12</v>
      </c>
      <c r="Q233" s="9">
        <f t="shared" si="38"/>
        <v>4</v>
      </c>
      <c r="R233" s="9">
        <f t="shared" si="39"/>
        <v>2.5</v>
      </c>
      <c r="S233" s="9">
        <f t="shared" si="31"/>
        <v>0.5</v>
      </c>
      <c r="T233" s="9">
        <v>1.5</v>
      </c>
      <c r="U233" s="9">
        <f t="shared" si="41"/>
        <v>5.5</v>
      </c>
      <c r="V233" s="9">
        <f>Sheet1!E236</f>
        <v>1666.82</v>
      </c>
      <c r="W233" s="9">
        <f>Sheet1!G236</f>
        <v>1666.19</v>
      </c>
      <c r="X233" s="14">
        <f t="shared" si="33"/>
        <v>1667.0900000000001</v>
      </c>
      <c r="Y233" s="9"/>
    </row>
    <row r="234" spans="2:26">
      <c r="B234" s="9"/>
      <c r="C234" s="10">
        <f>Sheet1!C237</f>
        <v>8600</v>
      </c>
      <c r="D234" s="9">
        <f t="shared" si="30"/>
        <v>3.75</v>
      </c>
      <c r="E234" s="9">
        <v>3</v>
      </c>
      <c r="F234" s="9">
        <f t="shared" si="34"/>
        <v>1.5</v>
      </c>
      <c r="G234" s="9">
        <v>1.41</v>
      </c>
      <c r="H234" s="9">
        <v>1</v>
      </c>
      <c r="I234" s="9">
        <v>0.9</v>
      </c>
      <c r="J234" s="9">
        <v>1.4E-2</v>
      </c>
      <c r="K234" s="9">
        <f>Sheet1!K236</f>
        <v>1E-3</v>
      </c>
      <c r="L234" s="9" t="str">
        <f t="shared" si="36"/>
        <v>1/1000</v>
      </c>
      <c r="M234" s="9">
        <v>1</v>
      </c>
      <c r="N234" s="9">
        <v>1.5</v>
      </c>
      <c r="O234" s="9">
        <f t="shared" si="37"/>
        <v>3.7</v>
      </c>
      <c r="P234" s="9">
        <f t="shared" si="40"/>
        <v>2.12</v>
      </c>
      <c r="Q234" s="9">
        <f t="shared" si="38"/>
        <v>4</v>
      </c>
      <c r="R234" s="9">
        <f t="shared" si="39"/>
        <v>2.5</v>
      </c>
      <c r="S234" s="9">
        <f t="shared" si="31"/>
        <v>0.5</v>
      </c>
      <c r="T234" s="9">
        <v>1.5</v>
      </c>
      <c r="U234" s="9">
        <f t="shared" si="41"/>
        <v>5.5</v>
      </c>
      <c r="V234" s="9">
        <f>Sheet1!E237</f>
        <v>1667.05</v>
      </c>
      <c r="W234" s="9">
        <f>Sheet1!G237</f>
        <v>1666.14</v>
      </c>
      <c r="X234" s="14">
        <f t="shared" si="33"/>
        <v>1667.0400000000002</v>
      </c>
      <c r="Y234" s="9"/>
    </row>
    <row r="235" spans="2:26">
      <c r="B235" s="9"/>
      <c r="C235" s="10">
        <f>Sheet1!C238</f>
        <v>8650</v>
      </c>
      <c r="D235" s="9">
        <f t="shared" si="30"/>
        <v>3.75</v>
      </c>
      <c r="E235" s="9">
        <v>3</v>
      </c>
      <c r="F235" s="9">
        <f t="shared" si="34"/>
        <v>1.5</v>
      </c>
      <c r="G235" s="9">
        <v>1.41</v>
      </c>
      <c r="H235" s="9">
        <v>1</v>
      </c>
      <c r="I235" s="9">
        <v>0.9</v>
      </c>
      <c r="J235" s="9">
        <v>1.4E-2</v>
      </c>
      <c r="K235" s="9">
        <f>Sheet1!K237</f>
        <v>1E-3</v>
      </c>
      <c r="L235" s="9" t="str">
        <f t="shared" si="36"/>
        <v>1/1000</v>
      </c>
      <c r="M235" s="9">
        <v>1</v>
      </c>
      <c r="N235" s="9">
        <v>1.5</v>
      </c>
      <c r="O235" s="9">
        <f t="shared" si="37"/>
        <v>3.7</v>
      </c>
      <c r="P235" s="9">
        <f t="shared" si="40"/>
        <v>2.12</v>
      </c>
      <c r="Q235" s="9">
        <f t="shared" si="38"/>
        <v>4</v>
      </c>
      <c r="R235" s="9">
        <f t="shared" si="39"/>
        <v>2.5</v>
      </c>
      <c r="S235" s="9">
        <f t="shared" si="31"/>
        <v>0.5</v>
      </c>
      <c r="T235" s="9">
        <v>1.5</v>
      </c>
      <c r="U235" s="9">
        <f t="shared" si="41"/>
        <v>5.5</v>
      </c>
      <c r="V235" s="9">
        <f>Sheet1!E238</f>
        <v>1667.19</v>
      </c>
      <c r="W235" s="9">
        <f>Sheet1!G238</f>
        <v>1666.09</v>
      </c>
      <c r="X235" s="14">
        <f t="shared" si="33"/>
        <v>1666.99</v>
      </c>
      <c r="Y235" s="9"/>
    </row>
    <row r="236" spans="2:26">
      <c r="B236" s="9"/>
      <c r="C236" s="10">
        <f>Sheet1!C239</f>
        <v>8700</v>
      </c>
      <c r="D236" s="9">
        <f t="shared" si="30"/>
        <v>3.75</v>
      </c>
      <c r="E236" s="9">
        <v>3</v>
      </c>
      <c r="F236" s="9">
        <f t="shared" si="34"/>
        <v>1.5</v>
      </c>
      <c r="G236" s="9">
        <v>1.41</v>
      </c>
      <c r="H236" s="9">
        <v>1</v>
      </c>
      <c r="I236" s="9">
        <v>0.9</v>
      </c>
      <c r="J236" s="9">
        <v>1.4E-2</v>
      </c>
      <c r="K236" s="9">
        <f>Sheet1!K238</f>
        <v>1E-3</v>
      </c>
      <c r="L236" s="9" t="str">
        <f t="shared" si="36"/>
        <v>1/1000</v>
      </c>
      <c r="M236" s="9">
        <v>1</v>
      </c>
      <c r="N236" s="9">
        <v>1.5</v>
      </c>
      <c r="O236" s="9">
        <f t="shared" si="37"/>
        <v>3.7</v>
      </c>
      <c r="P236" s="9">
        <f t="shared" si="40"/>
        <v>2.12</v>
      </c>
      <c r="Q236" s="9">
        <f t="shared" si="38"/>
        <v>4</v>
      </c>
      <c r="R236" s="9">
        <f t="shared" si="39"/>
        <v>2.5</v>
      </c>
      <c r="S236" s="9">
        <f t="shared" si="31"/>
        <v>0.5</v>
      </c>
      <c r="T236" s="9">
        <v>1.5</v>
      </c>
      <c r="U236" s="9">
        <f t="shared" si="41"/>
        <v>5.5</v>
      </c>
      <c r="V236" s="9">
        <f>Sheet1!E239</f>
        <v>1667.47</v>
      </c>
      <c r="W236" s="9">
        <f>Sheet1!G239</f>
        <v>1666.04</v>
      </c>
      <c r="X236" s="14">
        <f t="shared" si="33"/>
        <v>1666.94</v>
      </c>
      <c r="Y236" s="9"/>
    </row>
    <row r="237" spans="2:26">
      <c r="B237" s="9"/>
      <c r="C237" s="10">
        <f>Sheet1!C240</f>
        <v>8750</v>
      </c>
      <c r="D237" s="9">
        <f t="shared" si="30"/>
        <v>3.75</v>
      </c>
      <c r="E237" s="9">
        <v>3</v>
      </c>
      <c r="F237" s="9">
        <f t="shared" si="34"/>
        <v>1.5</v>
      </c>
      <c r="G237" s="9">
        <v>1.41</v>
      </c>
      <c r="H237" s="9">
        <v>1</v>
      </c>
      <c r="I237" s="9">
        <v>0.9</v>
      </c>
      <c r="J237" s="9">
        <v>1.4E-2</v>
      </c>
      <c r="K237" s="9">
        <f>Sheet1!K239</f>
        <v>1E-3</v>
      </c>
      <c r="L237" s="9" t="str">
        <f t="shared" si="36"/>
        <v>1/1000</v>
      </c>
      <c r="M237" s="9">
        <v>1</v>
      </c>
      <c r="N237" s="9">
        <v>1.5</v>
      </c>
      <c r="O237" s="9">
        <f t="shared" si="37"/>
        <v>3.7</v>
      </c>
      <c r="P237" s="9">
        <f t="shared" si="40"/>
        <v>2.12</v>
      </c>
      <c r="Q237" s="9">
        <f t="shared" si="38"/>
        <v>4</v>
      </c>
      <c r="R237" s="9">
        <f t="shared" si="39"/>
        <v>2.5</v>
      </c>
      <c r="S237" s="9">
        <f t="shared" si="31"/>
        <v>0.5</v>
      </c>
      <c r="T237" s="9">
        <v>1.5</v>
      </c>
      <c r="U237" s="9">
        <f t="shared" si="41"/>
        <v>5.5</v>
      </c>
      <c r="V237" s="9">
        <f>Sheet1!E240</f>
        <v>1667.13</v>
      </c>
      <c r="W237" s="9">
        <f>Sheet1!G240</f>
        <v>1665.99</v>
      </c>
      <c r="X237" s="14">
        <f t="shared" si="33"/>
        <v>1666.89</v>
      </c>
      <c r="Y237" s="9"/>
    </row>
    <row r="238" spans="2:26">
      <c r="B238" s="9"/>
      <c r="C238" s="10">
        <f>Sheet1!C241</f>
        <v>8800</v>
      </c>
      <c r="D238" s="9">
        <f t="shared" si="30"/>
        <v>3.75</v>
      </c>
      <c r="E238" s="9">
        <v>3</v>
      </c>
      <c r="F238" s="9">
        <f t="shared" si="34"/>
        <v>1.5</v>
      </c>
      <c r="G238" s="9">
        <v>1.41</v>
      </c>
      <c r="H238" s="9">
        <v>1</v>
      </c>
      <c r="I238" s="9">
        <v>0.9</v>
      </c>
      <c r="J238" s="9">
        <v>1.4E-2</v>
      </c>
      <c r="K238" s="9">
        <f>Sheet1!K240</f>
        <v>1E-3</v>
      </c>
      <c r="L238" s="9" t="str">
        <f t="shared" si="36"/>
        <v>1/1000</v>
      </c>
      <c r="M238" s="9">
        <v>1</v>
      </c>
      <c r="N238" s="9">
        <v>1.5</v>
      </c>
      <c r="O238" s="9">
        <f t="shared" si="37"/>
        <v>3.7</v>
      </c>
      <c r="P238" s="9">
        <f t="shared" si="40"/>
        <v>2.12</v>
      </c>
      <c r="Q238" s="9">
        <f t="shared" si="38"/>
        <v>4</v>
      </c>
      <c r="R238" s="9">
        <f t="shared" si="39"/>
        <v>2.5</v>
      </c>
      <c r="S238" s="9">
        <f t="shared" si="31"/>
        <v>0.5</v>
      </c>
      <c r="T238" s="9">
        <v>1.5</v>
      </c>
      <c r="U238" s="9">
        <f t="shared" si="41"/>
        <v>5.5</v>
      </c>
      <c r="V238" s="9">
        <f>Sheet1!E241</f>
        <v>1666.89</v>
      </c>
      <c r="W238" s="9">
        <f>Sheet1!G241</f>
        <v>1665.94</v>
      </c>
      <c r="X238" s="14">
        <f t="shared" si="33"/>
        <v>1666.8400000000001</v>
      </c>
      <c r="Y238" s="9"/>
    </row>
    <row r="239" spans="2:26">
      <c r="B239" s="9"/>
      <c r="C239" s="10">
        <f>Sheet1!C242</f>
        <v>8850</v>
      </c>
      <c r="D239" s="9">
        <f t="shared" si="30"/>
        <v>3.75</v>
      </c>
      <c r="E239" s="9">
        <v>3</v>
      </c>
      <c r="F239" s="9">
        <f t="shared" si="34"/>
        <v>1.5</v>
      </c>
      <c r="G239" s="9">
        <v>1.41</v>
      </c>
      <c r="H239" s="9">
        <v>1</v>
      </c>
      <c r="I239" s="9">
        <v>0.9</v>
      </c>
      <c r="J239" s="9">
        <v>1.4E-2</v>
      </c>
      <c r="K239" s="9">
        <f>Sheet1!K241</f>
        <v>1E-3</v>
      </c>
      <c r="L239" s="9" t="str">
        <f t="shared" si="36"/>
        <v>1/1000</v>
      </c>
      <c r="M239" s="9">
        <v>1</v>
      </c>
      <c r="N239" s="9">
        <v>1.5</v>
      </c>
      <c r="O239" s="9">
        <f t="shared" si="37"/>
        <v>3.7</v>
      </c>
      <c r="P239" s="9">
        <f t="shared" si="40"/>
        <v>2.12</v>
      </c>
      <c r="Q239" s="9">
        <f t="shared" si="38"/>
        <v>4</v>
      </c>
      <c r="R239" s="9">
        <f t="shared" si="39"/>
        <v>2.5</v>
      </c>
      <c r="S239" s="9">
        <f t="shared" si="31"/>
        <v>0.5</v>
      </c>
      <c r="T239" s="9">
        <v>1.5</v>
      </c>
      <c r="U239" s="9">
        <f t="shared" si="41"/>
        <v>5.5</v>
      </c>
      <c r="V239" s="9">
        <f>Sheet1!E242</f>
        <v>1667.58</v>
      </c>
      <c r="W239" s="9">
        <f>Sheet1!G242</f>
        <v>1665.89</v>
      </c>
      <c r="X239" s="14">
        <f t="shared" si="33"/>
        <v>1666.7900000000002</v>
      </c>
      <c r="Y239" s="9"/>
    </row>
    <row r="240" spans="2:26">
      <c r="B240" s="9"/>
      <c r="C240" s="10">
        <f>Sheet1!C243</f>
        <v>8900</v>
      </c>
      <c r="D240" s="9">
        <f t="shared" si="30"/>
        <v>3.75</v>
      </c>
      <c r="E240" s="9">
        <v>3</v>
      </c>
      <c r="F240" s="9">
        <f t="shared" si="34"/>
        <v>1.5</v>
      </c>
      <c r="G240" s="9">
        <v>1.41</v>
      </c>
      <c r="H240" s="9">
        <v>1</v>
      </c>
      <c r="I240" s="9">
        <v>0.9</v>
      </c>
      <c r="J240" s="9">
        <v>1.4E-2</v>
      </c>
      <c r="K240" s="9">
        <f>Sheet1!K242</f>
        <v>1E-3</v>
      </c>
      <c r="L240" s="9" t="str">
        <f t="shared" si="36"/>
        <v>1/1000</v>
      </c>
      <c r="M240" s="9">
        <v>1</v>
      </c>
      <c r="N240" s="9">
        <v>1.5</v>
      </c>
      <c r="O240" s="9">
        <f t="shared" si="37"/>
        <v>3.7</v>
      </c>
      <c r="P240" s="9">
        <f t="shared" si="40"/>
        <v>2.12</v>
      </c>
      <c r="Q240" s="9">
        <f t="shared" si="38"/>
        <v>4</v>
      </c>
      <c r="R240" s="9">
        <f t="shared" si="39"/>
        <v>2.5</v>
      </c>
      <c r="S240" s="9">
        <f t="shared" si="31"/>
        <v>0.5</v>
      </c>
      <c r="T240" s="9">
        <v>1.5</v>
      </c>
      <c r="U240" s="9">
        <f t="shared" si="41"/>
        <v>5.5</v>
      </c>
      <c r="V240" s="9">
        <f>Sheet1!E243</f>
        <v>1667.81</v>
      </c>
      <c r="W240" s="9">
        <f>Sheet1!G243</f>
        <v>1665.84</v>
      </c>
      <c r="X240" s="14">
        <f t="shared" si="33"/>
        <v>1666.74</v>
      </c>
      <c r="Y240" s="9"/>
    </row>
    <row r="241" spans="2:25">
      <c r="B241" s="9"/>
      <c r="C241" s="10">
        <f>Sheet1!C244</f>
        <v>8950</v>
      </c>
      <c r="D241" s="9">
        <f t="shared" si="30"/>
        <v>3.75</v>
      </c>
      <c r="E241" s="9">
        <v>3</v>
      </c>
      <c r="F241" s="9">
        <f t="shared" si="34"/>
        <v>1.5</v>
      </c>
      <c r="G241" s="9">
        <v>1.41</v>
      </c>
      <c r="H241" s="9">
        <v>1</v>
      </c>
      <c r="I241" s="9">
        <v>0.9</v>
      </c>
      <c r="J241" s="9">
        <v>1.4E-2</v>
      </c>
      <c r="K241" s="9">
        <f>Sheet1!K243</f>
        <v>1E-3</v>
      </c>
      <c r="L241" s="9" t="str">
        <f t="shared" si="36"/>
        <v>1/1000</v>
      </c>
      <c r="M241" s="9">
        <v>1</v>
      </c>
      <c r="N241" s="9">
        <v>1.5</v>
      </c>
      <c r="O241" s="9">
        <f t="shared" si="37"/>
        <v>3.7</v>
      </c>
      <c r="P241" s="9">
        <f t="shared" si="40"/>
        <v>2.12</v>
      </c>
      <c r="Q241" s="9">
        <f t="shared" si="38"/>
        <v>4</v>
      </c>
      <c r="R241" s="9">
        <f t="shared" si="39"/>
        <v>2.5</v>
      </c>
      <c r="S241" s="9">
        <f t="shared" si="31"/>
        <v>0.5</v>
      </c>
      <c r="T241" s="9">
        <v>1.5</v>
      </c>
      <c r="U241" s="9">
        <f t="shared" si="41"/>
        <v>5.5</v>
      </c>
      <c r="V241" s="9">
        <f>Sheet1!E244</f>
        <v>1667.73</v>
      </c>
      <c r="W241" s="9">
        <f>Sheet1!G244</f>
        <v>1665.79</v>
      </c>
      <c r="X241" s="14">
        <f t="shared" si="33"/>
        <v>1666.69</v>
      </c>
      <c r="Y241" s="9"/>
    </row>
    <row r="242" spans="2:25">
      <c r="B242" s="9"/>
      <c r="C242" s="10">
        <f>Sheet1!C245</f>
        <v>9000</v>
      </c>
      <c r="D242" s="9">
        <f t="shared" si="30"/>
        <v>3.75</v>
      </c>
      <c r="E242" s="9">
        <v>3</v>
      </c>
      <c r="F242" s="9">
        <f t="shared" si="34"/>
        <v>1.5</v>
      </c>
      <c r="G242" s="9">
        <v>1.41</v>
      </c>
      <c r="H242" s="9">
        <v>1</v>
      </c>
      <c r="I242" s="9">
        <v>0.9</v>
      </c>
      <c r="J242" s="9">
        <v>1.4E-2</v>
      </c>
      <c r="K242" s="9">
        <f>Sheet1!K244</f>
        <v>1E-3</v>
      </c>
      <c r="L242" s="9" t="str">
        <f t="shared" si="36"/>
        <v>1/1000</v>
      </c>
      <c r="M242" s="9">
        <v>1</v>
      </c>
      <c r="N242" s="9">
        <v>1.5</v>
      </c>
      <c r="O242" s="9">
        <f t="shared" si="37"/>
        <v>3.7</v>
      </c>
      <c r="P242" s="9">
        <f t="shared" si="40"/>
        <v>2.12</v>
      </c>
      <c r="Q242" s="9">
        <f t="shared" si="38"/>
        <v>4</v>
      </c>
      <c r="R242" s="9">
        <f t="shared" si="39"/>
        <v>2.5</v>
      </c>
      <c r="S242" s="9">
        <f t="shared" si="31"/>
        <v>0.5</v>
      </c>
      <c r="T242" s="9">
        <v>1.5</v>
      </c>
      <c r="U242" s="9">
        <f t="shared" si="41"/>
        <v>5.5</v>
      </c>
      <c r="V242" s="9">
        <f>Sheet1!E245</f>
        <v>1667.7</v>
      </c>
      <c r="W242" s="9">
        <f>Sheet1!G245</f>
        <v>1665.74</v>
      </c>
      <c r="X242" s="14">
        <f t="shared" si="33"/>
        <v>1666.64</v>
      </c>
      <c r="Y242" s="9"/>
    </row>
    <row r="243" spans="2:25">
      <c r="B243" s="9"/>
      <c r="C243" s="10">
        <f>Sheet1!C246</f>
        <v>9050</v>
      </c>
      <c r="D243" s="9">
        <f t="shared" si="30"/>
        <v>3.75</v>
      </c>
      <c r="E243" s="9">
        <v>3</v>
      </c>
      <c r="F243" s="9">
        <f t="shared" si="34"/>
        <v>1.5</v>
      </c>
      <c r="G243" s="9">
        <v>1.41</v>
      </c>
      <c r="H243" s="9">
        <v>1</v>
      </c>
      <c r="I243" s="9">
        <v>0.9</v>
      </c>
      <c r="J243" s="9">
        <v>1.4E-2</v>
      </c>
      <c r="K243" s="9">
        <f>Sheet1!K245</f>
        <v>1E-3</v>
      </c>
      <c r="L243" s="9" t="str">
        <f t="shared" si="36"/>
        <v>1/1000</v>
      </c>
      <c r="M243" s="9">
        <v>1</v>
      </c>
      <c r="N243" s="9">
        <v>1.5</v>
      </c>
      <c r="O243" s="9">
        <f t="shared" si="37"/>
        <v>3.7</v>
      </c>
      <c r="P243" s="9">
        <f t="shared" si="40"/>
        <v>2.12</v>
      </c>
      <c r="Q243" s="9">
        <f t="shared" si="38"/>
        <v>4</v>
      </c>
      <c r="R243" s="9">
        <f t="shared" si="39"/>
        <v>2.5</v>
      </c>
      <c r="S243" s="9">
        <f t="shared" si="31"/>
        <v>0.5</v>
      </c>
      <c r="T243" s="9">
        <v>1.5</v>
      </c>
      <c r="U243" s="9">
        <f t="shared" si="41"/>
        <v>5.5</v>
      </c>
      <c r="V243" s="9">
        <f>Sheet1!E246</f>
        <v>1667.58</v>
      </c>
      <c r="W243" s="9">
        <f>Sheet1!G246</f>
        <v>1665.69</v>
      </c>
      <c r="X243" s="14">
        <f t="shared" si="33"/>
        <v>1666.5900000000001</v>
      </c>
      <c r="Y243" s="9"/>
    </row>
    <row r="244" spans="2:25">
      <c r="B244" s="9"/>
      <c r="C244" s="10">
        <f>Sheet1!C247</f>
        <v>9100</v>
      </c>
      <c r="D244" s="9">
        <f t="shared" si="30"/>
        <v>3.75</v>
      </c>
      <c r="E244" s="9">
        <v>3</v>
      </c>
      <c r="F244" s="9">
        <f t="shared" si="34"/>
        <v>1.5</v>
      </c>
      <c r="G244" s="9">
        <v>1.41</v>
      </c>
      <c r="H244" s="9">
        <v>1</v>
      </c>
      <c r="I244" s="9">
        <v>0.9</v>
      </c>
      <c r="J244" s="9">
        <v>1.4E-2</v>
      </c>
      <c r="K244" s="9">
        <f>Sheet1!K246</f>
        <v>1E-3</v>
      </c>
      <c r="L244" s="9" t="str">
        <f t="shared" si="36"/>
        <v>1/1000</v>
      </c>
      <c r="M244" s="9">
        <v>1</v>
      </c>
      <c r="N244" s="9">
        <v>1.5</v>
      </c>
      <c r="O244" s="9">
        <f t="shared" si="37"/>
        <v>3.7</v>
      </c>
      <c r="P244" s="9">
        <f t="shared" si="40"/>
        <v>2.12</v>
      </c>
      <c r="Q244" s="9">
        <f t="shared" si="38"/>
        <v>4</v>
      </c>
      <c r="R244" s="9">
        <f t="shared" si="39"/>
        <v>2.5</v>
      </c>
      <c r="S244" s="9">
        <f t="shared" si="31"/>
        <v>0.5</v>
      </c>
      <c r="T244" s="9">
        <v>1.5</v>
      </c>
      <c r="U244" s="9">
        <f t="shared" si="41"/>
        <v>5.5</v>
      </c>
      <c r="V244" s="9">
        <f>Sheet1!E247</f>
        <v>1667.46</v>
      </c>
      <c r="W244" s="9">
        <f>Sheet1!G247</f>
        <v>1665.64</v>
      </c>
      <c r="X244" s="14">
        <f t="shared" si="33"/>
        <v>1666.5400000000002</v>
      </c>
      <c r="Y244" s="9"/>
    </row>
    <row r="245" spans="2:25">
      <c r="B245" s="9"/>
      <c r="C245" s="10">
        <f>Sheet1!C248</f>
        <v>9150</v>
      </c>
      <c r="D245" s="9">
        <f t="shared" si="30"/>
        <v>3.75</v>
      </c>
      <c r="E245" s="9">
        <v>3</v>
      </c>
      <c r="F245" s="9">
        <f t="shared" si="34"/>
        <v>1.5</v>
      </c>
      <c r="G245" s="9">
        <v>1.41</v>
      </c>
      <c r="H245" s="9">
        <v>1</v>
      </c>
      <c r="I245" s="9">
        <v>0.9</v>
      </c>
      <c r="J245" s="9">
        <v>1.4E-2</v>
      </c>
      <c r="K245" s="9">
        <f>Sheet1!K247</f>
        <v>1E-3</v>
      </c>
      <c r="L245" s="9" t="str">
        <f t="shared" si="36"/>
        <v>1/1000</v>
      </c>
      <c r="M245" s="9">
        <v>1</v>
      </c>
      <c r="N245" s="9">
        <v>1.5</v>
      </c>
      <c r="O245" s="9">
        <f t="shared" si="37"/>
        <v>3.7</v>
      </c>
      <c r="P245" s="9">
        <f t="shared" si="40"/>
        <v>2.12</v>
      </c>
      <c r="Q245" s="9">
        <f t="shared" si="38"/>
        <v>4</v>
      </c>
      <c r="R245" s="9">
        <f t="shared" si="39"/>
        <v>2.5</v>
      </c>
      <c r="S245" s="9">
        <f t="shared" si="31"/>
        <v>0.5</v>
      </c>
      <c r="T245" s="9">
        <v>1.5</v>
      </c>
      <c r="U245" s="9">
        <f t="shared" si="41"/>
        <v>5.5</v>
      </c>
      <c r="V245" s="9">
        <f>Sheet1!E248</f>
        <v>1667.25</v>
      </c>
      <c r="W245" s="9">
        <f>Sheet1!G248</f>
        <v>1665.59</v>
      </c>
      <c r="X245" s="14">
        <f t="shared" si="33"/>
        <v>1666.49</v>
      </c>
      <c r="Y245" s="9"/>
    </row>
    <row r="246" spans="2:25">
      <c r="B246" s="9"/>
      <c r="C246" s="10">
        <f>Sheet1!C249</f>
        <v>9200</v>
      </c>
      <c r="D246" s="9">
        <f t="shared" si="30"/>
        <v>3.75</v>
      </c>
      <c r="E246" s="9">
        <v>3</v>
      </c>
      <c r="F246" s="9">
        <f t="shared" si="34"/>
        <v>1.5</v>
      </c>
      <c r="G246" s="9">
        <v>1.41</v>
      </c>
      <c r="H246" s="9">
        <v>1</v>
      </c>
      <c r="I246" s="9">
        <v>0.9</v>
      </c>
      <c r="J246" s="9">
        <v>1.4E-2</v>
      </c>
      <c r="K246" s="9">
        <f>Sheet1!K248</f>
        <v>1E-3</v>
      </c>
      <c r="L246" s="9" t="str">
        <f t="shared" si="36"/>
        <v>1/1000</v>
      </c>
      <c r="M246" s="9">
        <v>1</v>
      </c>
      <c r="N246" s="9">
        <v>1.5</v>
      </c>
      <c r="O246" s="9">
        <f t="shared" si="37"/>
        <v>3.7</v>
      </c>
      <c r="P246" s="9">
        <f t="shared" si="40"/>
        <v>2.12</v>
      </c>
      <c r="Q246" s="9">
        <f t="shared" si="38"/>
        <v>4</v>
      </c>
      <c r="R246" s="9">
        <f t="shared" si="39"/>
        <v>2.5</v>
      </c>
      <c r="S246" s="9">
        <f t="shared" si="31"/>
        <v>0.5</v>
      </c>
      <c r="T246" s="9">
        <v>1.5</v>
      </c>
      <c r="U246" s="9">
        <f t="shared" si="41"/>
        <v>5.5</v>
      </c>
      <c r="V246" s="9">
        <f>Sheet1!E249</f>
        <v>1666.78</v>
      </c>
      <c r="W246" s="9">
        <f>Sheet1!G249</f>
        <v>1665.54</v>
      </c>
      <c r="X246" s="14">
        <f t="shared" si="33"/>
        <v>1666.44</v>
      </c>
      <c r="Y246" s="9"/>
    </row>
    <row r="247" spans="2:25">
      <c r="B247" s="9"/>
      <c r="C247" s="10">
        <f>Sheet1!C250</f>
        <v>9250</v>
      </c>
      <c r="D247" s="9">
        <f t="shared" si="30"/>
        <v>3.75</v>
      </c>
      <c r="E247" s="9">
        <v>3</v>
      </c>
      <c r="F247" s="9">
        <f t="shared" si="34"/>
        <v>1.5</v>
      </c>
      <c r="G247" s="9">
        <v>1.41</v>
      </c>
      <c r="H247" s="9">
        <v>1</v>
      </c>
      <c r="I247" s="9">
        <v>0.9</v>
      </c>
      <c r="J247" s="9">
        <v>1.4E-2</v>
      </c>
      <c r="K247" s="9">
        <f>Sheet1!K249</f>
        <v>1E-3</v>
      </c>
      <c r="L247" s="9" t="str">
        <f t="shared" si="36"/>
        <v>1/1000</v>
      </c>
      <c r="M247" s="9">
        <v>1</v>
      </c>
      <c r="N247" s="9">
        <v>1.5</v>
      </c>
      <c r="O247" s="9">
        <f t="shared" si="37"/>
        <v>3.7</v>
      </c>
      <c r="P247" s="9">
        <f t="shared" si="40"/>
        <v>2.12</v>
      </c>
      <c r="Q247" s="9">
        <f t="shared" si="38"/>
        <v>4</v>
      </c>
      <c r="R247" s="9">
        <f t="shared" si="39"/>
        <v>2.5</v>
      </c>
      <c r="S247" s="9">
        <f t="shared" si="31"/>
        <v>0.5</v>
      </c>
      <c r="T247" s="9">
        <v>1.5</v>
      </c>
      <c r="U247" s="9">
        <f t="shared" si="41"/>
        <v>5.5</v>
      </c>
      <c r="V247" s="9">
        <f>Sheet1!E250</f>
        <v>1666.35</v>
      </c>
      <c r="W247" s="9">
        <f>Sheet1!G250</f>
        <v>1665.49</v>
      </c>
      <c r="X247" s="14">
        <f t="shared" si="33"/>
        <v>1666.39</v>
      </c>
      <c r="Y247" s="9"/>
    </row>
    <row r="248" spans="2:25">
      <c r="B248" s="9"/>
      <c r="C248" s="10">
        <f>Sheet1!C251</f>
        <v>9300</v>
      </c>
      <c r="D248" s="9">
        <f t="shared" si="30"/>
        <v>3.75</v>
      </c>
      <c r="E248" s="9">
        <v>3</v>
      </c>
      <c r="F248" s="9">
        <f t="shared" si="34"/>
        <v>1.5</v>
      </c>
      <c r="G248" s="9">
        <v>1.41</v>
      </c>
      <c r="H248" s="9">
        <v>1</v>
      </c>
      <c r="I248" s="9">
        <v>0.9</v>
      </c>
      <c r="J248" s="9">
        <v>1.4E-2</v>
      </c>
      <c r="K248" s="9">
        <f>Sheet1!K250</f>
        <v>1E-3</v>
      </c>
      <c r="L248" s="9" t="str">
        <f t="shared" si="36"/>
        <v>1/1000</v>
      </c>
      <c r="M248" s="9">
        <v>1</v>
      </c>
      <c r="N248" s="9">
        <v>1.5</v>
      </c>
      <c r="O248" s="9">
        <f t="shared" si="37"/>
        <v>3.7</v>
      </c>
      <c r="P248" s="9">
        <f t="shared" si="40"/>
        <v>2.12</v>
      </c>
      <c r="Q248" s="9">
        <f t="shared" si="38"/>
        <v>4</v>
      </c>
      <c r="R248" s="9">
        <f t="shared" si="39"/>
        <v>2.5</v>
      </c>
      <c r="S248" s="9">
        <f t="shared" si="31"/>
        <v>0.5</v>
      </c>
      <c r="T248" s="9">
        <v>1.5</v>
      </c>
      <c r="U248" s="9">
        <f t="shared" si="41"/>
        <v>5.5</v>
      </c>
      <c r="V248" s="9">
        <f>Sheet1!E251</f>
        <v>1666.19</v>
      </c>
      <c r="W248" s="9">
        <f>Sheet1!G251</f>
        <v>1665.44</v>
      </c>
      <c r="X248" s="14">
        <f t="shared" si="33"/>
        <v>1666.3400000000001</v>
      </c>
      <c r="Y248" s="9"/>
    </row>
    <row r="249" spans="2:25">
      <c r="B249" s="9"/>
      <c r="C249" s="10">
        <f>Sheet1!C252</f>
        <v>9350</v>
      </c>
      <c r="D249" s="9">
        <f t="shared" si="30"/>
        <v>3.75</v>
      </c>
      <c r="E249" s="9">
        <v>3</v>
      </c>
      <c r="F249" s="9">
        <f t="shared" si="34"/>
        <v>1.5</v>
      </c>
      <c r="G249" s="9">
        <v>1.41</v>
      </c>
      <c r="H249" s="9">
        <v>1</v>
      </c>
      <c r="I249" s="9">
        <v>0.9</v>
      </c>
      <c r="J249" s="9">
        <v>1.4E-2</v>
      </c>
      <c r="K249" s="9">
        <f>Sheet1!K251</f>
        <v>1E-3</v>
      </c>
      <c r="L249" s="9" t="str">
        <f t="shared" si="36"/>
        <v>1/1000</v>
      </c>
      <c r="M249" s="9">
        <v>1</v>
      </c>
      <c r="N249" s="9">
        <v>1.5</v>
      </c>
      <c r="O249" s="9">
        <f t="shared" si="37"/>
        <v>3.7</v>
      </c>
      <c r="P249" s="9">
        <f t="shared" si="40"/>
        <v>2.12</v>
      </c>
      <c r="Q249" s="9">
        <f t="shared" si="38"/>
        <v>4</v>
      </c>
      <c r="R249" s="9">
        <f t="shared" si="39"/>
        <v>2.5</v>
      </c>
      <c r="S249" s="9">
        <f t="shared" si="31"/>
        <v>0.5</v>
      </c>
      <c r="T249" s="9">
        <v>1.5</v>
      </c>
      <c r="U249" s="9">
        <f t="shared" si="41"/>
        <v>5.5</v>
      </c>
      <c r="V249" s="9">
        <f>Sheet1!E252</f>
        <v>1665.86</v>
      </c>
      <c r="W249" s="9">
        <f>Sheet1!G252</f>
        <v>1665.39</v>
      </c>
      <c r="X249" s="14">
        <f t="shared" si="33"/>
        <v>1666.2900000000002</v>
      </c>
      <c r="Y249" s="9"/>
    </row>
    <row r="250" spans="2:25">
      <c r="B250" s="9"/>
      <c r="C250" s="10">
        <f>Sheet1!C253</f>
        <v>9400</v>
      </c>
      <c r="D250" s="9">
        <f t="shared" si="30"/>
        <v>3.75</v>
      </c>
      <c r="E250" s="9">
        <v>3</v>
      </c>
      <c r="F250" s="9">
        <f t="shared" si="34"/>
        <v>1.5</v>
      </c>
      <c r="G250" s="9">
        <v>1.41</v>
      </c>
      <c r="H250" s="9">
        <v>1</v>
      </c>
      <c r="I250" s="9">
        <v>0.9</v>
      </c>
      <c r="J250" s="9">
        <v>1.4E-2</v>
      </c>
      <c r="K250" s="9">
        <f>Sheet1!K252</f>
        <v>1E-3</v>
      </c>
      <c r="L250" s="9" t="str">
        <f t="shared" si="36"/>
        <v>1/1000</v>
      </c>
      <c r="M250" s="9">
        <v>1</v>
      </c>
      <c r="N250" s="9">
        <v>1.5</v>
      </c>
      <c r="O250" s="9">
        <f t="shared" si="37"/>
        <v>3.7</v>
      </c>
      <c r="P250" s="9">
        <f t="shared" si="40"/>
        <v>2.12</v>
      </c>
      <c r="Q250" s="9">
        <f t="shared" si="38"/>
        <v>4</v>
      </c>
      <c r="R250" s="9">
        <f t="shared" si="39"/>
        <v>2.5</v>
      </c>
      <c r="S250" s="9">
        <f t="shared" si="31"/>
        <v>0.5</v>
      </c>
      <c r="T250" s="9">
        <v>1.5</v>
      </c>
      <c r="U250" s="9">
        <f t="shared" si="41"/>
        <v>5.5</v>
      </c>
      <c r="V250" s="9">
        <f>Sheet1!E253</f>
        <v>1665.41</v>
      </c>
      <c r="W250" s="9">
        <f>Sheet1!G253</f>
        <v>1665.34</v>
      </c>
      <c r="X250" s="14">
        <f t="shared" si="33"/>
        <v>1666.24</v>
      </c>
      <c r="Y250" s="9"/>
    </row>
    <row r="251" spans="2:25">
      <c r="B251" s="9"/>
      <c r="C251" s="10">
        <f>Sheet1!C254</f>
        <v>9450</v>
      </c>
      <c r="D251" s="9">
        <f t="shared" si="30"/>
        <v>3.75</v>
      </c>
      <c r="E251" s="9">
        <v>3</v>
      </c>
      <c r="F251" s="9">
        <f t="shared" si="34"/>
        <v>1.5</v>
      </c>
      <c r="G251" s="9">
        <v>1.41</v>
      </c>
      <c r="H251" s="9">
        <v>1</v>
      </c>
      <c r="I251" s="9">
        <v>0.9</v>
      </c>
      <c r="J251" s="9">
        <v>1.4E-2</v>
      </c>
      <c r="K251" s="9">
        <f>Sheet1!K253</f>
        <v>1E-3</v>
      </c>
      <c r="L251" s="9" t="str">
        <f t="shared" si="36"/>
        <v>1/1000</v>
      </c>
      <c r="M251" s="9">
        <v>1</v>
      </c>
      <c r="N251" s="9">
        <v>1.5</v>
      </c>
      <c r="O251" s="9">
        <f t="shared" si="37"/>
        <v>3.7</v>
      </c>
      <c r="P251" s="9">
        <f t="shared" si="40"/>
        <v>2.12</v>
      </c>
      <c r="Q251" s="9">
        <f t="shared" si="38"/>
        <v>4</v>
      </c>
      <c r="R251" s="9">
        <f t="shared" si="39"/>
        <v>2.5</v>
      </c>
      <c r="S251" s="9">
        <f t="shared" si="31"/>
        <v>0.5</v>
      </c>
      <c r="T251" s="9">
        <v>1.5</v>
      </c>
      <c r="U251" s="9">
        <f t="shared" si="41"/>
        <v>5.5</v>
      </c>
      <c r="V251" s="9">
        <f>Sheet1!E254</f>
        <v>1665.73</v>
      </c>
      <c r="W251" s="9">
        <f>Sheet1!G254</f>
        <v>1665.29</v>
      </c>
      <c r="X251" s="14">
        <f t="shared" si="33"/>
        <v>1666.19</v>
      </c>
      <c r="Y251" s="9"/>
    </row>
    <row r="252" spans="2:25">
      <c r="B252" s="9"/>
      <c r="C252" s="10">
        <f>Sheet1!C255</f>
        <v>9500</v>
      </c>
      <c r="D252" s="9">
        <f t="shared" si="30"/>
        <v>3.75</v>
      </c>
      <c r="E252" s="9">
        <v>3</v>
      </c>
      <c r="F252" s="9">
        <f t="shared" si="34"/>
        <v>1.5</v>
      </c>
      <c r="G252" s="9">
        <v>1.41</v>
      </c>
      <c r="H252" s="9">
        <v>1</v>
      </c>
      <c r="I252" s="9">
        <v>0.9</v>
      </c>
      <c r="J252" s="9">
        <v>1.4E-2</v>
      </c>
      <c r="K252" s="9">
        <f>Sheet1!K254</f>
        <v>1E-3</v>
      </c>
      <c r="L252" s="9" t="str">
        <f t="shared" si="36"/>
        <v>1/1000</v>
      </c>
      <c r="M252" s="9">
        <v>1</v>
      </c>
      <c r="N252" s="9">
        <v>1.5</v>
      </c>
      <c r="O252" s="9">
        <f t="shared" si="37"/>
        <v>3.7</v>
      </c>
      <c r="P252" s="9">
        <f t="shared" si="40"/>
        <v>2.12</v>
      </c>
      <c r="Q252" s="9">
        <f t="shared" si="38"/>
        <v>4</v>
      </c>
      <c r="R252" s="9">
        <f t="shared" si="39"/>
        <v>2.5</v>
      </c>
      <c r="S252" s="9">
        <f t="shared" si="31"/>
        <v>0.5</v>
      </c>
      <c r="T252" s="9">
        <v>1.5</v>
      </c>
      <c r="U252" s="9">
        <f t="shared" si="41"/>
        <v>5.5</v>
      </c>
      <c r="V252" s="9">
        <f>Sheet1!E255</f>
        <v>1665.9</v>
      </c>
      <c r="W252" s="9">
        <f>Sheet1!G255</f>
        <v>1665.24</v>
      </c>
      <c r="X252" s="14">
        <f t="shared" si="33"/>
        <v>1666.14</v>
      </c>
      <c r="Y252" s="9"/>
    </row>
    <row r="253" spans="2:25">
      <c r="B253" s="9"/>
      <c r="C253" s="10">
        <f>Sheet1!C256</f>
        <v>9550</v>
      </c>
      <c r="D253" s="9">
        <f t="shared" si="30"/>
        <v>3.75</v>
      </c>
      <c r="E253" s="9">
        <v>3</v>
      </c>
      <c r="F253" s="9">
        <f t="shared" si="34"/>
        <v>1.5</v>
      </c>
      <c r="G253" s="9">
        <v>1.41</v>
      </c>
      <c r="H253" s="9">
        <v>1</v>
      </c>
      <c r="I253" s="9">
        <v>0.9</v>
      </c>
      <c r="J253" s="9">
        <v>1.4E-2</v>
      </c>
      <c r="K253" s="9">
        <f>Sheet1!K255</f>
        <v>1E-3</v>
      </c>
      <c r="L253" s="9" t="str">
        <f t="shared" si="36"/>
        <v>1/1000</v>
      </c>
      <c r="M253" s="9">
        <v>1</v>
      </c>
      <c r="N253" s="9">
        <v>1.5</v>
      </c>
      <c r="O253" s="9">
        <f t="shared" si="37"/>
        <v>3.7</v>
      </c>
      <c r="P253" s="9">
        <f t="shared" si="40"/>
        <v>2.12</v>
      </c>
      <c r="Q253" s="9">
        <f t="shared" si="38"/>
        <v>4</v>
      </c>
      <c r="R253" s="9">
        <f t="shared" si="39"/>
        <v>2.5</v>
      </c>
      <c r="S253" s="9">
        <f t="shared" si="31"/>
        <v>0.5</v>
      </c>
      <c r="T253" s="9">
        <v>1.5</v>
      </c>
      <c r="U253" s="9">
        <f t="shared" si="41"/>
        <v>5.5</v>
      </c>
      <c r="V253" s="9">
        <f>Sheet1!E256</f>
        <v>1665.98</v>
      </c>
      <c r="W253" s="9">
        <f>Sheet1!G256</f>
        <v>1665.19</v>
      </c>
      <c r="X253" s="14">
        <f t="shared" si="33"/>
        <v>1666.0900000000001</v>
      </c>
      <c r="Y253" s="9"/>
    </row>
    <row r="254" spans="2:25">
      <c r="B254" s="9"/>
      <c r="C254" s="10">
        <f>Sheet1!C257</f>
        <v>9600</v>
      </c>
      <c r="D254" s="9">
        <f t="shared" si="30"/>
        <v>3.75</v>
      </c>
      <c r="E254" s="9">
        <v>3</v>
      </c>
      <c r="F254" s="9">
        <f t="shared" si="34"/>
        <v>1.5</v>
      </c>
      <c r="G254" s="9">
        <v>1.41</v>
      </c>
      <c r="H254" s="9">
        <v>1</v>
      </c>
      <c r="I254" s="9">
        <v>0.9</v>
      </c>
      <c r="J254" s="9">
        <v>1.4E-2</v>
      </c>
      <c r="K254" s="9">
        <f>Sheet1!K256</f>
        <v>1E-3</v>
      </c>
      <c r="L254" s="9" t="str">
        <f t="shared" si="36"/>
        <v>1/1000</v>
      </c>
      <c r="M254" s="9">
        <v>1</v>
      </c>
      <c r="N254" s="9">
        <v>1.5</v>
      </c>
      <c r="O254" s="9">
        <f t="shared" si="37"/>
        <v>3.7</v>
      </c>
      <c r="P254" s="9">
        <f t="shared" si="40"/>
        <v>2.12</v>
      </c>
      <c r="Q254" s="9">
        <f t="shared" si="38"/>
        <v>4</v>
      </c>
      <c r="R254" s="9">
        <f t="shared" si="39"/>
        <v>2.5</v>
      </c>
      <c r="S254" s="9">
        <f t="shared" si="31"/>
        <v>0.5</v>
      </c>
      <c r="T254" s="9">
        <v>1.5</v>
      </c>
      <c r="U254" s="9">
        <f t="shared" si="41"/>
        <v>5.5</v>
      </c>
      <c r="V254" s="9">
        <f>Sheet1!E257</f>
        <v>1665.83</v>
      </c>
      <c r="W254" s="9">
        <f>Sheet1!G257</f>
        <v>1665.14</v>
      </c>
      <c r="X254" s="14">
        <f t="shared" si="33"/>
        <v>1666.0400000000002</v>
      </c>
      <c r="Y254" s="9"/>
    </row>
    <row r="255" spans="2:25">
      <c r="B255" s="9"/>
      <c r="C255" s="10">
        <f>Sheet1!C258</f>
        <v>9650</v>
      </c>
      <c r="D255" s="9">
        <f t="shared" si="30"/>
        <v>3.75</v>
      </c>
      <c r="E255" s="9">
        <v>3</v>
      </c>
      <c r="F255" s="9">
        <f t="shared" si="34"/>
        <v>1.5</v>
      </c>
      <c r="G255" s="9">
        <v>1.41</v>
      </c>
      <c r="H255" s="9">
        <v>1</v>
      </c>
      <c r="I255" s="9">
        <v>0.9</v>
      </c>
      <c r="J255" s="9">
        <v>1.4E-2</v>
      </c>
      <c r="K255" s="9">
        <f>Sheet1!K257</f>
        <v>1E-3</v>
      </c>
      <c r="L255" s="9" t="str">
        <f t="shared" si="36"/>
        <v>1/1000</v>
      </c>
      <c r="M255" s="9">
        <v>1</v>
      </c>
      <c r="N255" s="9">
        <v>1.5</v>
      </c>
      <c r="O255" s="9">
        <f t="shared" si="37"/>
        <v>3.7</v>
      </c>
      <c r="P255" s="9">
        <f t="shared" si="40"/>
        <v>2.12</v>
      </c>
      <c r="Q255" s="9">
        <f t="shared" si="38"/>
        <v>4</v>
      </c>
      <c r="R255" s="9">
        <f t="shared" si="39"/>
        <v>2.5</v>
      </c>
      <c r="S255" s="9">
        <f t="shared" si="31"/>
        <v>0.5</v>
      </c>
      <c r="T255" s="9">
        <v>1.5</v>
      </c>
      <c r="U255" s="9">
        <f t="shared" si="41"/>
        <v>5.5</v>
      </c>
      <c r="V255" s="9">
        <f>Sheet1!E258</f>
        <v>1665.31</v>
      </c>
      <c r="W255" s="9">
        <f>Sheet1!G258</f>
        <v>1665.09</v>
      </c>
      <c r="X255" s="14">
        <f t="shared" si="33"/>
        <v>1665.99</v>
      </c>
      <c r="Y255" s="9"/>
    </row>
    <row r="256" spans="2:25">
      <c r="B256" s="9"/>
      <c r="C256" s="10">
        <f>Sheet1!C259</f>
        <v>9700</v>
      </c>
      <c r="D256" s="9">
        <f t="shared" si="30"/>
        <v>3.75</v>
      </c>
      <c r="E256" s="9">
        <v>3</v>
      </c>
      <c r="F256" s="9">
        <f t="shared" si="34"/>
        <v>1.5</v>
      </c>
      <c r="G256" s="9">
        <v>1.41</v>
      </c>
      <c r="H256" s="9">
        <v>1</v>
      </c>
      <c r="I256" s="9">
        <v>0.9</v>
      </c>
      <c r="J256" s="9">
        <v>1.4E-2</v>
      </c>
      <c r="K256" s="9">
        <f>Sheet1!K258</f>
        <v>1E-3</v>
      </c>
      <c r="L256" s="9" t="str">
        <f t="shared" si="36"/>
        <v>1/1000</v>
      </c>
      <c r="M256" s="9">
        <v>1</v>
      </c>
      <c r="N256" s="9">
        <v>1.5</v>
      </c>
      <c r="O256" s="9">
        <f t="shared" si="37"/>
        <v>3.7</v>
      </c>
      <c r="P256" s="9">
        <f t="shared" si="40"/>
        <v>2.12</v>
      </c>
      <c r="Q256" s="9">
        <f t="shared" si="38"/>
        <v>4</v>
      </c>
      <c r="R256" s="9">
        <f t="shared" si="39"/>
        <v>2.5</v>
      </c>
      <c r="S256" s="9">
        <f t="shared" si="31"/>
        <v>0.5</v>
      </c>
      <c r="T256" s="9">
        <v>1.5</v>
      </c>
      <c r="U256" s="9">
        <f t="shared" si="41"/>
        <v>5.5</v>
      </c>
      <c r="V256" s="9">
        <f>Sheet1!E259</f>
        <v>1665.41</v>
      </c>
      <c r="W256" s="9">
        <f>Sheet1!G259</f>
        <v>1665.04</v>
      </c>
      <c r="X256" s="14">
        <f t="shared" si="33"/>
        <v>1665.94</v>
      </c>
      <c r="Y256" s="9"/>
    </row>
    <row r="257" spans="2:25">
      <c r="B257" s="9"/>
      <c r="C257" s="10">
        <f>Sheet1!C260</f>
        <v>9750</v>
      </c>
      <c r="D257" s="9">
        <f t="shared" si="30"/>
        <v>3.75</v>
      </c>
      <c r="E257" s="9">
        <v>3</v>
      </c>
      <c r="F257" s="9">
        <f t="shared" si="34"/>
        <v>1.5</v>
      </c>
      <c r="G257" s="9">
        <v>1.41</v>
      </c>
      <c r="H257" s="9">
        <v>1</v>
      </c>
      <c r="I257" s="9">
        <v>0.9</v>
      </c>
      <c r="J257" s="9">
        <v>1.4E-2</v>
      </c>
      <c r="K257" s="9">
        <f>Sheet1!K259</f>
        <v>1E-3</v>
      </c>
      <c r="L257" s="9" t="str">
        <f t="shared" si="36"/>
        <v>1/1000</v>
      </c>
      <c r="M257" s="9">
        <v>1</v>
      </c>
      <c r="N257" s="9">
        <v>1.5</v>
      </c>
      <c r="O257" s="9">
        <f t="shared" si="37"/>
        <v>3.7</v>
      </c>
      <c r="P257" s="9">
        <f t="shared" si="40"/>
        <v>2.12</v>
      </c>
      <c r="Q257" s="9">
        <f t="shared" si="38"/>
        <v>4</v>
      </c>
      <c r="R257" s="9">
        <f t="shared" si="39"/>
        <v>2.5</v>
      </c>
      <c r="S257" s="9">
        <f t="shared" si="31"/>
        <v>0.5</v>
      </c>
      <c r="T257" s="9">
        <v>1.5</v>
      </c>
      <c r="U257" s="9">
        <f t="shared" si="41"/>
        <v>5.5</v>
      </c>
      <c r="V257" s="9">
        <f>Sheet1!E260</f>
        <v>1665.69</v>
      </c>
      <c r="W257" s="9">
        <f>Sheet1!G260</f>
        <v>1664.99</v>
      </c>
      <c r="X257" s="14">
        <f t="shared" si="33"/>
        <v>1665.89</v>
      </c>
      <c r="Y257" s="9"/>
    </row>
    <row r="258" spans="2:25">
      <c r="B258" s="9"/>
      <c r="C258" s="10">
        <f>Sheet1!C261</f>
        <v>9800</v>
      </c>
      <c r="D258" s="9">
        <f t="shared" si="30"/>
        <v>3.75</v>
      </c>
      <c r="E258" s="9">
        <v>3</v>
      </c>
      <c r="F258" s="9">
        <f t="shared" si="34"/>
        <v>1.5</v>
      </c>
      <c r="G258" s="9">
        <v>1.41</v>
      </c>
      <c r="H258" s="9">
        <v>1</v>
      </c>
      <c r="I258" s="9">
        <v>0.9</v>
      </c>
      <c r="J258" s="9">
        <v>1.4E-2</v>
      </c>
      <c r="K258" s="9">
        <f>Sheet1!K260</f>
        <v>1E-3</v>
      </c>
      <c r="L258" s="9" t="str">
        <f t="shared" si="36"/>
        <v>1/1000</v>
      </c>
      <c r="M258" s="9">
        <v>1</v>
      </c>
      <c r="N258" s="9">
        <v>1.5</v>
      </c>
      <c r="O258" s="9">
        <f t="shared" si="37"/>
        <v>3.7</v>
      </c>
      <c r="P258" s="9">
        <f t="shared" si="40"/>
        <v>2.12</v>
      </c>
      <c r="Q258" s="9">
        <f t="shared" si="38"/>
        <v>4</v>
      </c>
      <c r="R258" s="9">
        <f t="shared" si="39"/>
        <v>2.5</v>
      </c>
      <c r="S258" s="9">
        <f t="shared" si="31"/>
        <v>0.5</v>
      </c>
      <c r="T258" s="9">
        <v>1.5</v>
      </c>
      <c r="U258" s="9">
        <f t="shared" si="41"/>
        <v>5.5</v>
      </c>
      <c r="V258" s="9">
        <f>Sheet1!E261</f>
        <v>1665.54</v>
      </c>
      <c r="W258" s="9">
        <f>Sheet1!G261</f>
        <v>1664.94</v>
      </c>
      <c r="X258" s="14">
        <f t="shared" si="33"/>
        <v>1665.8400000000001</v>
      </c>
      <c r="Y258" s="9"/>
    </row>
    <row r="259" spans="2:25">
      <c r="B259" s="9"/>
      <c r="C259" s="10">
        <f>Sheet1!C262</f>
        <v>9850</v>
      </c>
      <c r="D259" s="9">
        <f t="shared" si="30"/>
        <v>3.75</v>
      </c>
      <c r="E259" s="9">
        <v>3</v>
      </c>
      <c r="F259" s="9">
        <f t="shared" si="34"/>
        <v>1.5</v>
      </c>
      <c r="G259" s="9">
        <v>1.41</v>
      </c>
      <c r="H259" s="9">
        <v>1</v>
      </c>
      <c r="I259" s="9">
        <v>0.9</v>
      </c>
      <c r="J259" s="9">
        <v>1.4E-2</v>
      </c>
      <c r="K259" s="9">
        <f>Sheet1!K261</f>
        <v>1E-3</v>
      </c>
      <c r="L259" s="9" t="str">
        <f t="shared" si="36"/>
        <v>1/1000</v>
      </c>
      <c r="M259" s="9">
        <v>1</v>
      </c>
      <c r="N259" s="9">
        <v>1.5</v>
      </c>
      <c r="O259" s="9">
        <f t="shared" si="37"/>
        <v>3.7</v>
      </c>
      <c r="P259" s="9">
        <f t="shared" si="40"/>
        <v>2.12</v>
      </c>
      <c r="Q259" s="9">
        <f t="shared" si="38"/>
        <v>4</v>
      </c>
      <c r="R259" s="9">
        <f t="shared" si="39"/>
        <v>2.5</v>
      </c>
      <c r="S259" s="9">
        <f t="shared" si="31"/>
        <v>0.5</v>
      </c>
      <c r="T259" s="9">
        <v>1.5</v>
      </c>
      <c r="U259" s="9">
        <f t="shared" si="41"/>
        <v>5.5</v>
      </c>
      <c r="V259" s="9">
        <f>Sheet1!E262</f>
        <v>1665.86</v>
      </c>
      <c r="W259" s="9">
        <f>Sheet1!G262</f>
        <v>1664.89</v>
      </c>
      <c r="X259" s="14">
        <f t="shared" si="33"/>
        <v>1665.7900000000002</v>
      </c>
      <c r="Y259" s="9"/>
    </row>
    <row r="260" spans="2:25">
      <c r="B260" s="9"/>
      <c r="C260" s="10">
        <f>Sheet1!C263</f>
        <v>9900</v>
      </c>
      <c r="D260" s="9">
        <f t="shared" ref="D260:D323" si="42">E260*1.25</f>
        <v>3.75</v>
      </c>
      <c r="E260" s="9">
        <v>3</v>
      </c>
      <c r="F260" s="9">
        <f t="shared" si="34"/>
        <v>1.5</v>
      </c>
      <c r="G260" s="9">
        <v>1.41</v>
      </c>
      <c r="H260" s="9">
        <v>1</v>
      </c>
      <c r="I260" s="9">
        <v>0.9</v>
      </c>
      <c r="J260" s="9">
        <v>1.4E-2</v>
      </c>
      <c r="K260" s="9">
        <f>Sheet1!K262</f>
        <v>1E-3</v>
      </c>
      <c r="L260" s="9" t="str">
        <f t="shared" si="36"/>
        <v>1/1000</v>
      </c>
      <c r="M260" s="9">
        <v>1</v>
      </c>
      <c r="N260" s="9">
        <v>1.5</v>
      </c>
      <c r="O260" s="9">
        <f t="shared" si="37"/>
        <v>3.7</v>
      </c>
      <c r="P260" s="9">
        <f t="shared" si="40"/>
        <v>2.12</v>
      </c>
      <c r="Q260" s="9">
        <f t="shared" si="38"/>
        <v>4</v>
      </c>
      <c r="R260" s="9">
        <f t="shared" si="39"/>
        <v>2.5</v>
      </c>
      <c r="S260" s="9">
        <f t="shared" si="31"/>
        <v>0.5</v>
      </c>
      <c r="T260" s="9">
        <v>1.5</v>
      </c>
      <c r="U260" s="9">
        <f t="shared" si="41"/>
        <v>5.5</v>
      </c>
      <c r="V260" s="9">
        <f>Sheet1!E263</f>
        <v>1665.71</v>
      </c>
      <c r="W260" s="9">
        <f>Sheet1!G263</f>
        <v>1664.84</v>
      </c>
      <c r="X260" s="14">
        <f t="shared" si="33"/>
        <v>1665.74</v>
      </c>
      <c r="Y260" s="9"/>
    </row>
    <row r="261" spans="2:25">
      <c r="B261" s="9"/>
      <c r="C261" s="10">
        <f>Sheet1!C264</f>
        <v>9950</v>
      </c>
      <c r="D261" s="9">
        <f t="shared" si="42"/>
        <v>3.75</v>
      </c>
      <c r="E261" s="9">
        <v>3</v>
      </c>
      <c r="F261" s="9">
        <f t="shared" si="34"/>
        <v>1.5</v>
      </c>
      <c r="G261" s="9">
        <v>1.41</v>
      </c>
      <c r="H261" s="9">
        <v>1</v>
      </c>
      <c r="I261" s="9">
        <v>0.9</v>
      </c>
      <c r="J261" s="9">
        <v>1.4E-2</v>
      </c>
      <c r="K261" s="9">
        <f>Sheet1!K263</f>
        <v>1E-3</v>
      </c>
      <c r="L261" s="9" t="str">
        <f t="shared" si="36"/>
        <v>1/1000</v>
      </c>
      <c r="M261" s="9">
        <v>1</v>
      </c>
      <c r="N261" s="9">
        <v>1.5</v>
      </c>
      <c r="O261" s="9">
        <f t="shared" si="37"/>
        <v>3.7</v>
      </c>
      <c r="P261" s="9">
        <f t="shared" si="40"/>
        <v>2.12</v>
      </c>
      <c r="Q261" s="9">
        <f t="shared" si="38"/>
        <v>4</v>
      </c>
      <c r="R261" s="9">
        <f t="shared" si="39"/>
        <v>2.5</v>
      </c>
      <c r="S261" s="9">
        <f t="shared" ref="S261:S324" si="43">T261-H261</f>
        <v>0.5</v>
      </c>
      <c r="T261" s="9">
        <v>1.5</v>
      </c>
      <c r="U261" s="9">
        <f t="shared" si="41"/>
        <v>5.5</v>
      </c>
      <c r="V261" s="9">
        <f>Sheet1!E264</f>
        <v>1664.59</v>
      </c>
      <c r="W261" s="9">
        <f>Sheet1!G264</f>
        <v>1664.79</v>
      </c>
      <c r="X261" s="14">
        <f t="shared" ref="X261:X324" si="44">W261+I261</f>
        <v>1665.69</v>
      </c>
      <c r="Y261" s="9"/>
    </row>
    <row r="262" spans="2:25">
      <c r="B262" s="9"/>
      <c r="C262" s="10">
        <f>Sheet1!C265</f>
        <v>10000</v>
      </c>
      <c r="D262" s="9">
        <f t="shared" si="42"/>
        <v>3.75</v>
      </c>
      <c r="E262" s="9">
        <v>3</v>
      </c>
      <c r="F262" s="9">
        <f t="shared" ref="F262:F325" si="45">ROUND(D262/R262,2)</f>
        <v>1.5</v>
      </c>
      <c r="G262" s="9">
        <v>1.41</v>
      </c>
      <c r="H262" s="9">
        <v>1</v>
      </c>
      <c r="I262" s="9">
        <v>0.9</v>
      </c>
      <c r="J262" s="9">
        <v>1.4E-2</v>
      </c>
      <c r="K262" s="9">
        <f>Sheet1!K264</f>
        <v>1E-3</v>
      </c>
      <c r="L262" s="9" t="str">
        <f t="shared" ref="L262:L325" si="46">"1/"&amp;ROUND(1/K262,0)</f>
        <v>1/1000</v>
      </c>
      <c r="M262" s="9">
        <v>1</v>
      </c>
      <c r="N262" s="9">
        <v>1.5</v>
      </c>
      <c r="O262" s="9">
        <f t="shared" ref="O262:O325" si="47">ROUND(M262+2*N262*I262,2)</f>
        <v>3.7</v>
      </c>
      <c r="P262" s="9">
        <f t="shared" ref="P262:P325" si="48">ROUND((O262+M262)*I262/2,2)</f>
        <v>2.12</v>
      </c>
      <c r="Q262" s="9">
        <f t="shared" ref="Q262:Q325" si="49">ROUND(M262+N262*2*H262,2)</f>
        <v>4</v>
      </c>
      <c r="R262" s="9">
        <f t="shared" ref="R262:R325" si="50">ROUND((M262+Q262)*H262/2,2)</f>
        <v>2.5</v>
      </c>
      <c r="S262" s="9">
        <f t="shared" si="43"/>
        <v>0.5</v>
      </c>
      <c r="T262" s="9">
        <v>1.5</v>
      </c>
      <c r="U262" s="9">
        <f t="shared" si="41"/>
        <v>5.5</v>
      </c>
      <c r="V262" s="9">
        <f>Sheet1!E265</f>
        <v>1665.38</v>
      </c>
      <c r="W262" s="9">
        <f>Sheet1!G265</f>
        <v>1664.74</v>
      </c>
      <c r="X262" s="14">
        <f t="shared" si="44"/>
        <v>1665.64</v>
      </c>
      <c r="Y262" s="9"/>
    </row>
    <row r="263" spans="2:25">
      <c r="B263" s="9"/>
      <c r="C263" s="10">
        <f>Sheet1!C266</f>
        <v>10050</v>
      </c>
      <c r="D263" s="9">
        <f t="shared" si="42"/>
        <v>3.75</v>
      </c>
      <c r="E263" s="9">
        <v>3</v>
      </c>
      <c r="F263" s="9">
        <f t="shared" si="45"/>
        <v>1.5</v>
      </c>
      <c r="G263" s="9">
        <v>1.41</v>
      </c>
      <c r="H263" s="9">
        <v>1</v>
      </c>
      <c r="I263" s="9">
        <v>0.9</v>
      </c>
      <c r="J263" s="9">
        <v>1.4E-2</v>
      </c>
      <c r="K263" s="9">
        <f>Sheet1!K265</f>
        <v>1E-3</v>
      </c>
      <c r="L263" s="9" t="str">
        <f t="shared" si="46"/>
        <v>1/1000</v>
      </c>
      <c r="M263" s="9">
        <v>1</v>
      </c>
      <c r="N263" s="9">
        <v>1.5</v>
      </c>
      <c r="O263" s="9">
        <f t="shared" si="47"/>
        <v>3.7</v>
      </c>
      <c r="P263" s="9">
        <f t="shared" si="48"/>
        <v>2.12</v>
      </c>
      <c r="Q263" s="9">
        <f t="shared" si="49"/>
        <v>4</v>
      </c>
      <c r="R263" s="9">
        <f t="shared" si="50"/>
        <v>2.5</v>
      </c>
      <c r="S263" s="9">
        <f t="shared" si="43"/>
        <v>0.5</v>
      </c>
      <c r="T263" s="9">
        <v>1.5</v>
      </c>
      <c r="U263" s="9">
        <f t="shared" si="41"/>
        <v>5.5</v>
      </c>
      <c r="V263" s="9">
        <f>Sheet1!E266</f>
        <v>1664.55</v>
      </c>
      <c r="W263" s="9">
        <f>Sheet1!G266</f>
        <v>1664.69</v>
      </c>
      <c r="X263" s="14">
        <f t="shared" si="44"/>
        <v>1665.5900000000001</v>
      </c>
      <c r="Y263" s="9"/>
    </row>
    <row r="264" spans="2:25">
      <c r="B264" s="9"/>
      <c r="C264" s="10">
        <f>Sheet1!C267</f>
        <v>10100</v>
      </c>
      <c r="D264" s="9">
        <f t="shared" si="42"/>
        <v>3.75</v>
      </c>
      <c r="E264" s="9">
        <v>3</v>
      </c>
      <c r="F264" s="9">
        <f t="shared" si="45"/>
        <v>1.5</v>
      </c>
      <c r="G264" s="9">
        <v>1.41</v>
      </c>
      <c r="H264" s="9">
        <v>1</v>
      </c>
      <c r="I264" s="9">
        <v>0.9</v>
      </c>
      <c r="J264" s="9">
        <v>1.4E-2</v>
      </c>
      <c r="K264" s="9">
        <f>Sheet1!K266</f>
        <v>1E-3</v>
      </c>
      <c r="L264" s="9" t="str">
        <f t="shared" si="46"/>
        <v>1/1000</v>
      </c>
      <c r="M264" s="9">
        <v>1</v>
      </c>
      <c r="N264" s="9">
        <v>1.5</v>
      </c>
      <c r="O264" s="9">
        <f t="shared" si="47"/>
        <v>3.7</v>
      </c>
      <c r="P264" s="9">
        <f t="shared" si="48"/>
        <v>2.12</v>
      </c>
      <c r="Q264" s="9">
        <f t="shared" si="49"/>
        <v>4</v>
      </c>
      <c r="R264" s="9">
        <f t="shared" si="50"/>
        <v>2.5</v>
      </c>
      <c r="S264" s="9">
        <f t="shared" si="43"/>
        <v>0.5</v>
      </c>
      <c r="T264" s="9">
        <v>1.5</v>
      </c>
      <c r="U264" s="9">
        <f t="shared" si="41"/>
        <v>5.5</v>
      </c>
      <c r="V264" s="9">
        <f>Sheet1!E267</f>
        <v>1665.81</v>
      </c>
      <c r="W264" s="9">
        <f>Sheet1!G267</f>
        <v>1664.64</v>
      </c>
      <c r="X264" s="14">
        <f t="shared" si="44"/>
        <v>1665.5400000000002</v>
      </c>
      <c r="Y264" s="9"/>
    </row>
    <row r="265" spans="2:25">
      <c r="B265" s="9"/>
      <c r="C265" s="10">
        <f>Sheet1!C268</f>
        <v>10150</v>
      </c>
      <c r="D265" s="9">
        <f t="shared" si="42"/>
        <v>3.75</v>
      </c>
      <c r="E265" s="9">
        <v>3</v>
      </c>
      <c r="F265" s="9">
        <f t="shared" si="45"/>
        <v>1.5</v>
      </c>
      <c r="G265" s="9">
        <v>1.41</v>
      </c>
      <c r="H265" s="9">
        <v>1</v>
      </c>
      <c r="I265" s="9">
        <v>0.9</v>
      </c>
      <c r="J265" s="9">
        <v>1.4E-2</v>
      </c>
      <c r="K265" s="9">
        <f>Sheet1!K267</f>
        <v>1E-3</v>
      </c>
      <c r="L265" s="9" t="str">
        <f t="shared" si="46"/>
        <v>1/1000</v>
      </c>
      <c r="M265" s="9">
        <v>1</v>
      </c>
      <c r="N265" s="9">
        <v>1.5</v>
      </c>
      <c r="O265" s="9">
        <f t="shared" si="47"/>
        <v>3.7</v>
      </c>
      <c r="P265" s="9">
        <f t="shared" si="48"/>
        <v>2.12</v>
      </c>
      <c r="Q265" s="9">
        <f t="shared" si="49"/>
        <v>4</v>
      </c>
      <c r="R265" s="9">
        <f t="shared" si="50"/>
        <v>2.5</v>
      </c>
      <c r="S265" s="9">
        <f t="shared" si="43"/>
        <v>0.5</v>
      </c>
      <c r="T265" s="9">
        <v>1.5</v>
      </c>
      <c r="U265" s="9">
        <f t="shared" si="41"/>
        <v>5.5</v>
      </c>
      <c r="V265" s="9">
        <f>Sheet1!E268</f>
        <v>1665.99</v>
      </c>
      <c r="W265" s="9">
        <f>Sheet1!G268</f>
        <v>1664.59</v>
      </c>
      <c r="X265" s="14">
        <f t="shared" si="44"/>
        <v>1665.49</v>
      </c>
      <c r="Y265" s="9"/>
    </row>
    <row r="266" spans="2:25">
      <c r="B266" s="9"/>
      <c r="C266" s="10">
        <f>Sheet1!C269</f>
        <v>10200</v>
      </c>
      <c r="D266" s="9">
        <f t="shared" si="42"/>
        <v>3.75</v>
      </c>
      <c r="E266" s="9">
        <v>3</v>
      </c>
      <c r="F266" s="9">
        <f t="shared" si="45"/>
        <v>1.5</v>
      </c>
      <c r="G266" s="9">
        <v>1.41</v>
      </c>
      <c r="H266" s="9">
        <v>1</v>
      </c>
      <c r="I266" s="9">
        <v>0.9</v>
      </c>
      <c r="J266" s="9">
        <v>1.4E-2</v>
      </c>
      <c r="K266" s="9">
        <f>Sheet1!K268</f>
        <v>1E-3</v>
      </c>
      <c r="L266" s="9" t="str">
        <f t="shared" si="46"/>
        <v>1/1000</v>
      </c>
      <c r="M266" s="9">
        <v>1</v>
      </c>
      <c r="N266" s="9">
        <v>1.5</v>
      </c>
      <c r="O266" s="9">
        <f t="shared" si="47"/>
        <v>3.7</v>
      </c>
      <c r="P266" s="9">
        <f t="shared" si="48"/>
        <v>2.12</v>
      </c>
      <c r="Q266" s="9">
        <f t="shared" si="49"/>
        <v>4</v>
      </c>
      <c r="R266" s="9">
        <f t="shared" si="50"/>
        <v>2.5</v>
      </c>
      <c r="S266" s="9">
        <f t="shared" si="43"/>
        <v>0.5</v>
      </c>
      <c r="T266" s="9">
        <v>1.5</v>
      </c>
      <c r="U266" s="9">
        <f t="shared" si="41"/>
        <v>5.5</v>
      </c>
      <c r="V266" s="9">
        <f>Sheet1!E269</f>
        <v>1665.95</v>
      </c>
      <c r="W266" s="9">
        <f>Sheet1!G269</f>
        <v>1664.54</v>
      </c>
      <c r="X266" s="14">
        <f t="shared" si="44"/>
        <v>1665.44</v>
      </c>
      <c r="Y266" s="9"/>
    </row>
    <row r="267" spans="2:25">
      <c r="B267" s="9"/>
      <c r="C267" s="10">
        <f>Sheet1!C270</f>
        <v>10250</v>
      </c>
      <c r="D267" s="9">
        <f t="shared" si="42"/>
        <v>3.75</v>
      </c>
      <c r="E267" s="9">
        <v>3</v>
      </c>
      <c r="F267" s="9">
        <f t="shared" si="45"/>
        <v>1.5</v>
      </c>
      <c r="G267" s="9">
        <v>1.41</v>
      </c>
      <c r="H267" s="9">
        <v>1</v>
      </c>
      <c r="I267" s="9">
        <v>0.9</v>
      </c>
      <c r="J267" s="9">
        <v>1.4E-2</v>
      </c>
      <c r="K267" s="9">
        <f>Sheet1!K269</f>
        <v>1E-3</v>
      </c>
      <c r="L267" s="9" t="str">
        <f t="shared" si="46"/>
        <v>1/1000</v>
      </c>
      <c r="M267" s="9">
        <v>1</v>
      </c>
      <c r="N267" s="9">
        <v>1.5</v>
      </c>
      <c r="O267" s="9">
        <f t="shared" si="47"/>
        <v>3.7</v>
      </c>
      <c r="P267" s="9">
        <f t="shared" si="48"/>
        <v>2.12</v>
      </c>
      <c r="Q267" s="9">
        <f t="shared" si="49"/>
        <v>4</v>
      </c>
      <c r="R267" s="9">
        <f t="shared" si="50"/>
        <v>2.5</v>
      </c>
      <c r="S267" s="9">
        <f t="shared" si="43"/>
        <v>0.5</v>
      </c>
      <c r="T267" s="9">
        <v>1.5</v>
      </c>
      <c r="U267" s="9">
        <f t="shared" si="41"/>
        <v>5.5</v>
      </c>
      <c r="V267" s="9">
        <f>Sheet1!E270</f>
        <v>1666.18</v>
      </c>
      <c r="W267" s="9">
        <f>Sheet1!G270</f>
        <v>1664.49</v>
      </c>
      <c r="X267" s="14">
        <f t="shared" si="44"/>
        <v>1665.39</v>
      </c>
      <c r="Y267" s="9"/>
    </row>
    <row r="268" spans="2:25">
      <c r="B268" s="9"/>
      <c r="C268" s="10">
        <f>Sheet1!C271</f>
        <v>10300</v>
      </c>
      <c r="D268" s="9">
        <f t="shared" si="42"/>
        <v>3.75</v>
      </c>
      <c r="E268" s="9">
        <v>3</v>
      </c>
      <c r="F268" s="9">
        <f t="shared" si="45"/>
        <v>1.5</v>
      </c>
      <c r="G268" s="9">
        <v>1.41</v>
      </c>
      <c r="H268" s="9">
        <v>1</v>
      </c>
      <c r="I268" s="9">
        <v>0.9</v>
      </c>
      <c r="J268" s="9">
        <v>1.4E-2</v>
      </c>
      <c r="K268" s="9">
        <f>Sheet1!K270</f>
        <v>1E-3</v>
      </c>
      <c r="L268" s="9" t="str">
        <f t="shared" si="46"/>
        <v>1/1000</v>
      </c>
      <c r="M268" s="9">
        <v>1</v>
      </c>
      <c r="N268" s="9">
        <v>1.5</v>
      </c>
      <c r="O268" s="9">
        <f t="shared" si="47"/>
        <v>3.7</v>
      </c>
      <c r="P268" s="9">
        <f t="shared" si="48"/>
        <v>2.12</v>
      </c>
      <c r="Q268" s="9">
        <f t="shared" si="49"/>
        <v>4</v>
      </c>
      <c r="R268" s="9">
        <f t="shared" si="50"/>
        <v>2.5</v>
      </c>
      <c r="S268" s="9">
        <f t="shared" si="43"/>
        <v>0.5</v>
      </c>
      <c r="T268" s="9">
        <v>1.5</v>
      </c>
      <c r="U268" s="9">
        <f t="shared" si="41"/>
        <v>5.5</v>
      </c>
      <c r="V268" s="9">
        <f>Sheet1!E271</f>
        <v>1666.17</v>
      </c>
      <c r="W268" s="9">
        <f>Sheet1!G271</f>
        <v>1664.44</v>
      </c>
      <c r="X268" s="14">
        <f t="shared" si="44"/>
        <v>1665.3400000000001</v>
      </c>
      <c r="Y268" s="9"/>
    </row>
    <row r="269" spans="2:25">
      <c r="B269" s="9"/>
      <c r="C269" s="10">
        <f>Sheet1!C272</f>
        <v>10350</v>
      </c>
      <c r="D269" s="9">
        <f t="shared" si="42"/>
        <v>3.75</v>
      </c>
      <c r="E269" s="9">
        <v>3</v>
      </c>
      <c r="F269" s="9">
        <f t="shared" si="45"/>
        <v>1.5</v>
      </c>
      <c r="G269" s="9">
        <v>1.41</v>
      </c>
      <c r="H269" s="9">
        <v>1</v>
      </c>
      <c r="I269" s="9">
        <v>0.9</v>
      </c>
      <c r="J269" s="9">
        <v>1.4E-2</v>
      </c>
      <c r="K269" s="9">
        <f>Sheet1!K271</f>
        <v>1E-3</v>
      </c>
      <c r="L269" s="9" t="str">
        <f t="shared" si="46"/>
        <v>1/1000</v>
      </c>
      <c r="M269" s="9">
        <v>1</v>
      </c>
      <c r="N269" s="9">
        <v>1.5</v>
      </c>
      <c r="O269" s="9">
        <f t="shared" si="47"/>
        <v>3.7</v>
      </c>
      <c r="P269" s="9">
        <f t="shared" si="48"/>
        <v>2.12</v>
      </c>
      <c r="Q269" s="9">
        <f t="shared" si="49"/>
        <v>4</v>
      </c>
      <c r="R269" s="9">
        <f t="shared" si="50"/>
        <v>2.5</v>
      </c>
      <c r="S269" s="9">
        <f t="shared" si="43"/>
        <v>0.5</v>
      </c>
      <c r="T269" s="9">
        <v>1.5</v>
      </c>
      <c r="U269" s="9">
        <f t="shared" si="41"/>
        <v>5.5</v>
      </c>
      <c r="V269" s="9">
        <f>Sheet1!E272</f>
        <v>1666.38</v>
      </c>
      <c r="W269" s="9">
        <f>Sheet1!G272</f>
        <v>1664.39</v>
      </c>
      <c r="X269" s="14">
        <f t="shared" si="44"/>
        <v>1665.2900000000002</v>
      </c>
      <c r="Y269" s="9"/>
    </row>
    <row r="270" spans="2:25">
      <c r="B270" s="9"/>
      <c r="C270" s="10">
        <f>Sheet1!C273</f>
        <v>10400</v>
      </c>
      <c r="D270" s="9">
        <f t="shared" si="42"/>
        <v>3.75</v>
      </c>
      <c r="E270" s="9">
        <v>3</v>
      </c>
      <c r="F270" s="9">
        <f t="shared" si="45"/>
        <v>1.5</v>
      </c>
      <c r="G270" s="9">
        <v>1.41</v>
      </c>
      <c r="H270" s="9">
        <v>1</v>
      </c>
      <c r="I270" s="9">
        <v>0.9</v>
      </c>
      <c r="J270" s="9">
        <v>1.4E-2</v>
      </c>
      <c r="K270" s="9">
        <f>Sheet1!K272</f>
        <v>1E-3</v>
      </c>
      <c r="L270" s="9" t="str">
        <f t="shared" si="46"/>
        <v>1/1000</v>
      </c>
      <c r="M270" s="9">
        <v>1</v>
      </c>
      <c r="N270" s="9">
        <v>1.5</v>
      </c>
      <c r="O270" s="9">
        <f t="shared" si="47"/>
        <v>3.7</v>
      </c>
      <c r="P270" s="9">
        <f t="shared" si="48"/>
        <v>2.12</v>
      </c>
      <c r="Q270" s="9">
        <f t="shared" si="49"/>
        <v>4</v>
      </c>
      <c r="R270" s="9">
        <f t="shared" si="50"/>
        <v>2.5</v>
      </c>
      <c r="S270" s="9">
        <f t="shared" si="43"/>
        <v>0.5</v>
      </c>
      <c r="T270" s="9">
        <v>1.5</v>
      </c>
      <c r="U270" s="9">
        <f t="shared" si="41"/>
        <v>5.5</v>
      </c>
      <c r="V270" s="9">
        <f>Sheet1!E273</f>
        <v>1666.46</v>
      </c>
      <c r="W270" s="9">
        <f>Sheet1!G273</f>
        <v>1664.34</v>
      </c>
      <c r="X270" s="14">
        <f t="shared" si="44"/>
        <v>1665.24</v>
      </c>
      <c r="Y270" s="9"/>
    </row>
    <row r="271" spans="2:25">
      <c r="B271" s="9"/>
      <c r="C271" s="10">
        <f>Sheet1!C274</f>
        <v>10450</v>
      </c>
      <c r="D271" s="9">
        <f t="shared" si="42"/>
        <v>3.75</v>
      </c>
      <c r="E271" s="9">
        <v>3</v>
      </c>
      <c r="F271" s="9">
        <f t="shared" si="45"/>
        <v>1.5</v>
      </c>
      <c r="G271" s="9">
        <v>1.41</v>
      </c>
      <c r="H271" s="9">
        <v>1</v>
      </c>
      <c r="I271" s="9">
        <v>0.9</v>
      </c>
      <c r="J271" s="9">
        <v>1.4E-2</v>
      </c>
      <c r="K271" s="9">
        <f>Sheet1!K273</f>
        <v>1E-3</v>
      </c>
      <c r="L271" s="9" t="str">
        <f t="shared" si="46"/>
        <v>1/1000</v>
      </c>
      <c r="M271" s="9">
        <v>1</v>
      </c>
      <c r="N271" s="9">
        <v>1.5</v>
      </c>
      <c r="O271" s="9">
        <f t="shared" si="47"/>
        <v>3.7</v>
      </c>
      <c r="P271" s="9">
        <f t="shared" si="48"/>
        <v>2.12</v>
      </c>
      <c r="Q271" s="9">
        <f t="shared" si="49"/>
        <v>4</v>
      </c>
      <c r="R271" s="9">
        <f t="shared" si="50"/>
        <v>2.5</v>
      </c>
      <c r="S271" s="9">
        <f t="shared" si="43"/>
        <v>0.5</v>
      </c>
      <c r="T271" s="9">
        <v>1.5</v>
      </c>
      <c r="U271" s="9">
        <f t="shared" si="41"/>
        <v>5.5</v>
      </c>
      <c r="V271" s="9">
        <f>Sheet1!E274</f>
        <v>1666.35</v>
      </c>
      <c r="W271" s="9">
        <f>Sheet1!G274</f>
        <v>1664.29</v>
      </c>
      <c r="X271" s="14">
        <f t="shared" si="44"/>
        <v>1665.19</v>
      </c>
      <c r="Y271" s="9"/>
    </row>
    <row r="272" spans="2:25">
      <c r="B272" s="9"/>
      <c r="C272" s="10">
        <f>Sheet1!C275</f>
        <v>10500</v>
      </c>
      <c r="D272" s="9">
        <f t="shared" si="42"/>
        <v>3.75</v>
      </c>
      <c r="E272" s="9">
        <v>3</v>
      </c>
      <c r="F272" s="9">
        <f t="shared" si="45"/>
        <v>1.5</v>
      </c>
      <c r="G272" s="9">
        <v>1.41</v>
      </c>
      <c r="H272" s="9">
        <v>1</v>
      </c>
      <c r="I272" s="9">
        <v>0.9</v>
      </c>
      <c r="J272" s="9">
        <v>1.4E-2</v>
      </c>
      <c r="K272" s="9">
        <f>Sheet1!K274</f>
        <v>1E-3</v>
      </c>
      <c r="L272" s="9" t="str">
        <f t="shared" si="46"/>
        <v>1/1000</v>
      </c>
      <c r="M272" s="9">
        <v>1</v>
      </c>
      <c r="N272" s="9">
        <v>1.5</v>
      </c>
      <c r="O272" s="9">
        <f t="shared" si="47"/>
        <v>3.7</v>
      </c>
      <c r="P272" s="9">
        <f t="shared" si="48"/>
        <v>2.12</v>
      </c>
      <c r="Q272" s="9">
        <f t="shared" si="49"/>
        <v>4</v>
      </c>
      <c r="R272" s="9">
        <f t="shared" si="50"/>
        <v>2.5</v>
      </c>
      <c r="S272" s="9">
        <f t="shared" si="43"/>
        <v>0.5</v>
      </c>
      <c r="T272" s="9">
        <v>1.5</v>
      </c>
      <c r="U272" s="9">
        <f t="shared" si="41"/>
        <v>5.5</v>
      </c>
      <c r="V272" s="9">
        <f>Sheet1!E275</f>
        <v>1666.25</v>
      </c>
      <c r="W272" s="9">
        <f>Sheet1!G275</f>
        <v>1664.24</v>
      </c>
      <c r="X272" s="14">
        <f t="shared" si="44"/>
        <v>1665.14</v>
      </c>
      <c r="Y272" s="9"/>
    </row>
    <row r="273" spans="2:25">
      <c r="B273" s="9"/>
      <c r="C273" s="10">
        <f>Sheet1!C276</f>
        <v>10550</v>
      </c>
      <c r="D273" s="9">
        <f t="shared" si="42"/>
        <v>3.75</v>
      </c>
      <c r="E273" s="9">
        <v>3</v>
      </c>
      <c r="F273" s="9">
        <f t="shared" si="45"/>
        <v>1.5</v>
      </c>
      <c r="G273" s="9">
        <v>1.41</v>
      </c>
      <c r="H273" s="9">
        <v>1</v>
      </c>
      <c r="I273" s="9">
        <v>0.9</v>
      </c>
      <c r="J273" s="9">
        <v>1.4E-2</v>
      </c>
      <c r="K273" s="9">
        <f>Sheet1!K275</f>
        <v>1E-3</v>
      </c>
      <c r="L273" s="9" t="str">
        <f t="shared" si="46"/>
        <v>1/1000</v>
      </c>
      <c r="M273" s="9">
        <v>1</v>
      </c>
      <c r="N273" s="9">
        <v>1.5</v>
      </c>
      <c r="O273" s="9">
        <f t="shared" si="47"/>
        <v>3.7</v>
      </c>
      <c r="P273" s="9">
        <f t="shared" si="48"/>
        <v>2.12</v>
      </c>
      <c r="Q273" s="9">
        <f t="shared" si="49"/>
        <v>4</v>
      </c>
      <c r="R273" s="9">
        <f t="shared" si="50"/>
        <v>2.5</v>
      </c>
      <c r="S273" s="9">
        <f t="shared" si="43"/>
        <v>0.5</v>
      </c>
      <c r="T273" s="9">
        <v>1.5</v>
      </c>
      <c r="U273" s="9">
        <f t="shared" ref="U273:U328" si="51">M273+T273*N273*2</f>
        <v>5.5</v>
      </c>
      <c r="V273" s="9">
        <f>Sheet1!E276</f>
        <v>1666.06</v>
      </c>
      <c r="W273" s="9">
        <f>Sheet1!G276</f>
        <v>1664.19</v>
      </c>
      <c r="X273" s="14">
        <f t="shared" si="44"/>
        <v>1665.0900000000001</v>
      </c>
      <c r="Y273" s="9"/>
    </row>
    <row r="274" spans="2:25">
      <c r="B274" s="9"/>
      <c r="C274" s="10">
        <f>Sheet1!C277</f>
        <v>10600</v>
      </c>
      <c r="D274" s="9">
        <f t="shared" si="42"/>
        <v>3.75</v>
      </c>
      <c r="E274" s="9">
        <v>3</v>
      </c>
      <c r="F274" s="9">
        <f t="shared" si="45"/>
        <v>1.5</v>
      </c>
      <c r="G274" s="9">
        <v>1.41</v>
      </c>
      <c r="H274" s="9">
        <v>1</v>
      </c>
      <c r="I274" s="9">
        <v>0.9</v>
      </c>
      <c r="J274" s="9">
        <v>1.4E-2</v>
      </c>
      <c r="K274" s="9">
        <f>Sheet1!K276</f>
        <v>1E-3</v>
      </c>
      <c r="L274" s="9" t="str">
        <f t="shared" si="46"/>
        <v>1/1000</v>
      </c>
      <c r="M274" s="9">
        <v>1</v>
      </c>
      <c r="N274" s="9">
        <v>1.5</v>
      </c>
      <c r="O274" s="9">
        <f t="shared" si="47"/>
        <v>3.7</v>
      </c>
      <c r="P274" s="9">
        <f t="shared" si="48"/>
        <v>2.12</v>
      </c>
      <c r="Q274" s="9">
        <f t="shared" si="49"/>
        <v>4</v>
      </c>
      <c r="R274" s="9">
        <f t="shared" si="50"/>
        <v>2.5</v>
      </c>
      <c r="S274" s="9">
        <f t="shared" si="43"/>
        <v>0.5</v>
      </c>
      <c r="T274" s="9">
        <v>1.5</v>
      </c>
      <c r="U274" s="9">
        <f t="shared" si="51"/>
        <v>5.5</v>
      </c>
      <c r="V274" s="9">
        <f>Sheet1!E277</f>
        <v>1666.02</v>
      </c>
      <c r="W274" s="9">
        <f>Sheet1!G277</f>
        <v>1664.14</v>
      </c>
      <c r="X274" s="14">
        <f t="shared" si="44"/>
        <v>1665.0400000000002</v>
      </c>
      <c r="Y274" s="9"/>
    </row>
    <row r="275" spans="2:25">
      <c r="B275" s="9"/>
      <c r="C275" s="10">
        <f>Sheet1!C278</f>
        <v>10650</v>
      </c>
      <c r="D275" s="9">
        <f t="shared" si="42"/>
        <v>3.75</v>
      </c>
      <c r="E275" s="9">
        <v>3</v>
      </c>
      <c r="F275" s="9">
        <f t="shared" si="45"/>
        <v>1.5</v>
      </c>
      <c r="G275" s="9">
        <v>1.41</v>
      </c>
      <c r="H275" s="9">
        <v>1</v>
      </c>
      <c r="I275" s="9">
        <v>0.9</v>
      </c>
      <c r="J275" s="9">
        <v>1.4E-2</v>
      </c>
      <c r="K275" s="9">
        <f>Sheet1!K277</f>
        <v>1E-3</v>
      </c>
      <c r="L275" s="9" t="str">
        <f t="shared" si="46"/>
        <v>1/1000</v>
      </c>
      <c r="M275" s="9">
        <v>1</v>
      </c>
      <c r="N275" s="9">
        <v>1.5</v>
      </c>
      <c r="O275" s="9">
        <f t="shared" si="47"/>
        <v>3.7</v>
      </c>
      <c r="P275" s="9">
        <f t="shared" si="48"/>
        <v>2.12</v>
      </c>
      <c r="Q275" s="9">
        <f t="shared" si="49"/>
        <v>4</v>
      </c>
      <c r="R275" s="9">
        <f t="shared" si="50"/>
        <v>2.5</v>
      </c>
      <c r="S275" s="9">
        <f t="shared" si="43"/>
        <v>0.5</v>
      </c>
      <c r="T275" s="9">
        <v>1.5</v>
      </c>
      <c r="U275" s="9">
        <f t="shared" si="51"/>
        <v>5.5</v>
      </c>
      <c r="V275" s="9">
        <f>Sheet1!E278</f>
        <v>1666.15</v>
      </c>
      <c r="W275" s="9">
        <f>Sheet1!G278</f>
        <v>1664.09</v>
      </c>
      <c r="X275" s="14">
        <f t="shared" si="44"/>
        <v>1664.99</v>
      </c>
      <c r="Y275" s="9"/>
    </row>
    <row r="276" spans="2:25">
      <c r="B276" s="9"/>
      <c r="C276" s="10">
        <f>Sheet1!C279</f>
        <v>10700</v>
      </c>
      <c r="D276" s="9">
        <f t="shared" si="42"/>
        <v>3.75</v>
      </c>
      <c r="E276" s="9">
        <v>3</v>
      </c>
      <c r="F276" s="9">
        <f t="shared" si="45"/>
        <v>1.5</v>
      </c>
      <c r="G276" s="9">
        <v>1.41</v>
      </c>
      <c r="H276" s="9">
        <v>1</v>
      </c>
      <c r="I276" s="9">
        <v>0.9</v>
      </c>
      <c r="J276" s="9">
        <v>1.4E-2</v>
      </c>
      <c r="K276" s="9">
        <f>Sheet1!K278</f>
        <v>1E-3</v>
      </c>
      <c r="L276" s="9" t="str">
        <f t="shared" si="46"/>
        <v>1/1000</v>
      </c>
      <c r="M276" s="9">
        <v>1</v>
      </c>
      <c r="N276" s="9">
        <v>1.5</v>
      </c>
      <c r="O276" s="9">
        <f t="shared" si="47"/>
        <v>3.7</v>
      </c>
      <c r="P276" s="9">
        <f t="shared" si="48"/>
        <v>2.12</v>
      </c>
      <c r="Q276" s="9">
        <f t="shared" si="49"/>
        <v>4</v>
      </c>
      <c r="R276" s="9">
        <f t="shared" si="50"/>
        <v>2.5</v>
      </c>
      <c r="S276" s="9">
        <f t="shared" si="43"/>
        <v>0.5</v>
      </c>
      <c r="T276" s="9">
        <v>1.5</v>
      </c>
      <c r="U276" s="9">
        <f t="shared" si="51"/>
        <v>5.5</v>
      </c>
      <c r="V276" s="9">
        <f>Sheet1!E279</f>
        <v>1665.88</v>
      </c>
      <c r="W276" s="9">
        <f>Sheet1!G279</f>
        <v>1664.04</v>
      </c>
      <c r="X276" s="14">
        <f t="shared" si="44"/>
        <v>1664.94</v>
      </c>
      <c r="Y276" s="9"/>
    </row>
    <row r="277" spans="2:25">
      <c r="B277" s="9" t="s">
        <v>371</v>
      </c>
      <c r="C277" s="10">
        <f>Sheet1!C280</f>
        <v>10750</v>
      </c>
      <c r="D277" s="9">
        <f t="shared" si="42"/>
        <v>3.75</v>
      </c>
      <c r="E277" s="9">
        <v>3</v>
      </c>
      <c r="F277" s="9">
        <f t="shared" si="45"/>
        <v>1.5</v>
      </c>
      <c r="G277" s="9">
        <v>1.41</v>
      </c>
      <c r="H277" s="9">
        <v>1</v>
      </c>
      <c r="I277" s="9">
        <v>0.9</v>
      </c>
      <c r="J277" s="9">
        <v>1.4E-2</v>
      </c>
      <c r="K277" s="9">
        <f>Sheet1!K279</f>
        <v>1E-3</v>
      </c>
      <c r="L277" s="9" t="str">
        <f t="shared" si="46"/>
        <v>1/1000</v>
      </c>
      <c r="M277" s="9">
        <v>1</v>
      </c>
      <c r="N277" s="9">
        <v>1.5</v>
      </c>
      <c r="O277" s="9">
        <f t="shared" si="47"/>
        <v>3.7</v>
      </c>
      <c r="P277" s="9">
        <f t="shared" si="48"/>
        <v>2.12</v>
      </c>
      <c r="Q277" s="9">
        <f t="shared" si="49"/>
        <v>4</v>
      </c>
      <c r="R277" s="9">
        <f t="shared" si="50"/>
        <v>2.5</v>
      </c>
      <c r="S277" s="9">
        <f t="shared" si="43"/>
        <v>0.5</v>
      </c>
      <c r="T277" s="9">
        <v>1.5</v>
      </c>
      <c r="U277" s="9">
        <f t="shared" si="51"/>
        <v>5.5</v>
      </c>
      <c r="V277" s="9">
        <f>Sheet1!E280</f>
        <v>1665.98</v>
      </c>
      <c r="W277" s="9">
        <f>Sheet1!G280</f>
        <v>1663.99</v>
      </c>
      <c r="X277" s="14">
        <f t="shared" si="44"/>
        <v>1664.89</v>
      </c>
      <c r="Y277" s="9" t="s">
        <v>371</v>
      </c>
    </row>
    <row r="278" spans="2:25">
      <c r="B278" s="9"/>
      <c r="C278" s="10">
        <f>Sheet1!C281</f>
        <v>10800</v>
      </c>
      <c r="D278" s="9">
        <f t="shared" si="42"/>
        <v>3.75</v>
      </c>
      <c r="E278" s="9">
        <v>3</v>
      </c>
      <c r="F278" s="9">
        <f t="shared" si="45"/>
        <v>1.5</v>
      </c>
      <c r="G278" s="9">
        <v>1.41</v>
      </c>
      <c r="H278" s="9">
        <v>1</v>
      </c>
      <c r="I278" s="9">
        <v>0.9</v>
      </c>
      <c r="J278" s="9">
        <v>1.4E-2</v>
      </c>
      <c r="K278" s="9">
        <f>Sheet1!K280</f>
        <v>1E-3</v>
      </c>
      <c r="L278" s="9" t="str">
        <f t="shared" si="46"/>
        <v>1/1000</v>
      </c>
      <c r="M278" s="9">
        <v>1</v>
      </c>
      <c r="N278" s="9">
        <v>1.5</v>
      </c>
      <c r="O278" s="9">
        <f t="shared" si="47"/>
        <v>3.7</v>
      </c>
      <c r="P278" s="9">
        <f t="shared" si="48"/>
        <v>2.12</v>
      </c>
      <c r="Q278" s="9">
        <f t="shared" si="49"/>
        <v>4</v>
      </c>
      <c r="R278" s="9">
        <f t="shared" si="50"/>
        <v>2.5</v>
      </c>
      <c r="S278" s="9">
        <f t="shared" si="43"/>
        <v>0.5</v>
      </c>
      <c r="T278" s="9">
        <v>1.5</v>
      </c>
      <c r="U278" s="9">
        <f t="shared" si="51"/>
        <v>5.5</v>
      </c>
      <c r="V278" s="9">
        <f>Sheet1!E281</f>
        <v>1665.78</v>
      </c>
      <c r="W278" s="9">
        <f>Sheet1!G281</f>
        <v>1663.94</v>
      </c>
      <c r="X278" s="14">
        <f t="shared" si="44"/>
        <v>1664.8400000000001</v>
      </c>
      <c r="Y278" s="9"/>
    </row>
    <row r="279" spans="2:25">
      <c r="B279" s="9"/>
      <c r="C279" s="10">
        <f>Sheet1!C282</f>
        <v>10850</v>
      </c>
      <c r="D279" s="9">
        <f t="shared" si="42"/>
        <v>3.75</v>
      </c>
      <c r="E279" s="9">
        <v>3</v>
      </c>
      <c r="F279" s="9">
        <f t="shared" si="45"/>
        <v>1.5</v>
      </c>
      <c r="G279" s="9">
        <v>1.41</v>
      </c>
      <c r="H279" s="9">
        <v>1</v>
      </c>
      <c r="I279" s="9">
        <v>0.9</v>
      </c>
      <c r="J279" s="9">
        <v>1.4E-2</v>
      </c>
      <c r="K279" s="9">
        <f>Sheet1!K281</f>
        <v>1E-3</v>
      </c>
      <c r="L279" s="9" t="str">
        <f t="shared" si="46"/>
        <v>1/1000</v>
      </c>
      <c r="M279" s="9">
        <v>1</v>
      </c>
      <c r="N279" s="9">
        <v>1.5</v>
      </c>
      <c r="O279" s="9">
        <f t="shared" si="47"/>
        <v>3.7</v>
      </c>
      <c r="P279" s="9">
        <f t="shared" si="48"/>
        <v>2.12</v>
      </c>
      <c r="Q279" s="9">
        <f t="shared" si="49"/>
        <v>4</v>
      </c>
      <c r="R279" s="9">
        <f t="shared" si="50"/>
        <v>2.5</v>
      </c>
      <c r="S279" s="9">
        <f t="shared" si="43"/>
        <v>0.5</v>
      </c>
      <c r="T279" s="9">
        <v>1.5</v>
      </c>
      <c r="U279" s="9">
        <f t="shared" si="51"/>
        <v>5.5</v>
      </c>
      <c r="V279" s="9">
        <f>Sheet1!E282</f>
        <v>1665.64</v>
      </c>
      <c r="W279" s="9">
        <f>Sheet1!G282</f>
        <v>1663.89</v>
      </c>
      <c r="X279" s="14">
        <f t="shared" si="44"/>
        <v>1664.7900000000002</v>
      </c>
      <c r="Y279" s="9"/>
    </row>
    <row r="280" spans="2:25">
      <c r="B280" s="9"/>
      <c r="C280" s="10">
        <f>Sheet1!C283</f>
        <v>10900</v>
      </c>
      <c r="D280" s="9">
        <f t="shared" si="42"/>
        <v>3.75</v>
      </c>
      <c r="E280" s="9">
        <v>3</v>
      </c>
      <c r="F280" s="9">
        <f t="shared" si="45"/>
        <v>1.5</v>
      </c>
      <c r="G280" s="9">
        <v>1.41</v>
      </c>
      <c r="H280" s="9">
        <v>1</v>
      </c>
      <c r="I280" s="9">
        <v>0.9</v>
      </c>
      <c r="J280" s="9">
        <v>1.4E-2</v>
      </c>
      <c r="K280" s="9">
        <f>Sheet1!K282</f>
        <v>1E-3</v>
      </c>
      <c r="L280" s="9" t="str">
        <f t="shared" si="46"/>
        <v>1/1000</v>
      </c>
      <c r="M280" s="9">
        <v>1</v>
      </c>
      <c r="N280" s="9">
        <v>1.5</v>
      </c>
      <c r="O280" s="9">
        <f t="shared" si="47"/>
        <v>3.7</v>
      </c>
      <c r="P280" s="9">
        <f t="shared" si="48"/>
        <v>2.12</v>
      </c>
      <c r="Q280" s="9">
        <f t="shared" si="49"/>
        <v>4</v>
      </c>
      <c r="R280" s="9">
        <f t="shared" si="50"/>
        <v>2.5</v>
      </c>
      <c r="S280" s="9">
        <f t="shared" si="43"/>
        <v>0.5</v>
      </c>
      <c r="T280" s="9">
        <v>1.5</v>
      </c>
      <c r="U280" s="9">
        <f t="shared" si="51"/>
        <v>5.5</v>
      </c>
      <c r="V280" s="9">
        <f>Sheet1!E283</f>
        <v>1665.57</v>
      </c>
      <c r="W280" s="9">
        <f>Sheet1!G283</f>
        <v>1663.84</v>
      </c>
      <c r="X280" s="14">
        <f t="shared" si="44"/>
        <v>1664.74</v>
      </c>
      <c r="Y280" s="9"/>
    </row>
    <row r="281" spans="2:25">
      <c r="B281" s="9"/>
      <c r="C281" s="10">
        <f>Sheet1!C284</f>
        <v>10950</v>
      </c>
      <c r="D281" s="9">
        <f t="shared" si="42"/>
        <v>3.75</v>
      </c>
      <c r="E281" s="9">
        <v>3</v>
      </c>
      <c r="F281" s="9">
        <f t="shared" si="45"/>
        <v>1.5</v>
      </c>
      <c r="G281" s="9">
        <v>1.41</v>
      </c>
      <c r="H281" s="9">
        <v>1</v>
      </c>
      <c r="I281" s="9">
        <v>0.9</v>
      </c>
      <c r="J281" s="9">
        <v>1.4E-2</v>
      </c>
      <c r="K281" s="9">
        <f>Sheet1!K283</f>
        <v>1E-3</v>
      </c>
      <c r="L281" s="9" t="str">
        <f t="shared" si="46"/>
        <v>1/1000</v>
      </c>
      <c r="M281" s="9">
        <v>1</v>
      </c>
      <c r="N281" s="9">
        <v>1.5</v>
      </c>
      <c r="O281" s="9">
        <f t="shared" si="47"/>
        <v>3.7</v>
      </c>
      <c r="P281" s="9">
        <f t="shared" si="48"/>
        <v>2.12</v>
      </c>
      <c r="Q281" s="9">
        <f t="shared" si="49"/>
        <v>4</v>
      </c>
      <c r="R281" s="9">
        <f t="shared" si="50"/>
        <v>2.5</v>
      </c>
      <c r="S281" s="9">
        <f t="shared" si="43"/>
        <v>0.5</v>
      </c>
      <c r="T281" s="9">
        <v>1.5</v>
      </c>
      <c r="U281" s="9">
        <f t="shared" si="51"/>
        <v>5.5</v>
      </c>
      <c r="V281" s="9">
        <f>Sheet1!E284</f>
        <v>1665.42</v>
      </c>
      <c r="W281" s="9">
        <f>Sheet1!G284</f>
        <v>1663.79</v>
      </c>
      <c r="X281" s="14">
        <f t="shared" si="44"/>
        <v>1664.69</v>
      </c>
      <c r="Y281" s="9"/>
    </row>
    <row r="282" spans="2:25">
      <c r="B282" s="9"/>
      <c r="C282" s="10">
        <f>Sheet1!C285</f>
        <v>11000</v>
      </c>
      <c r="D282" s="9">
        <f t="shared" si="42"/>
        <v>3.75</v>
      </c>
      <c r="E282" s="9">
        <v>3</v>
      </c>
      <c r="F282" s="9">
        <f t="shared" si="45"/>
        <v>1.5</v>
      </c>
      <c r="G282" s="9">
        <v>1.41</v>
      </c>
      <c r="H282" s="9">
        <v>1</v>
      </c>
      <c r="I282" s="9">
        <v>0.9</v>
      </c>
      <c r="J282" s="9">
        <v>1.4E-2</v>
      </c>
      <c r="K282" s="9">
        <f>Sheet1!K284</f>
        <v>1E-3</v>
      </c>
      <c r="L282" s="9" t="str">
        <f t="shared" si="46"/>
        <v>1/1000</v>
      </c>
      <c r="M282" s="9">
        <v>1</v>
      </c>
      <c r="N282" s="9">
        <v>1.5</v>
      </c>
      <c r="O282" s="9">
        <f t="shared" si="47"/>
        <v>3.7</v>
      </c>
      <c r="P282" s="9">
        <f t="shared" si="48"/>
        <v>2.12</v>
      </c>
      <c r="Q282" s="9">
        <f t="shared" si="49"/>
        <v>4</v>
      </c>
      <c r="R282" s="9">
        <f t="shared" si="50"/>
        <v>2.5</v>
      </c>
      <c r="S282" s="9">
        <f t="shared" si="43"/>
        <v>0.5</v>
      </c>
      <c r="T282" s="9">
        <v>1.5</v>
      </c>
      <c r="U282" s="9">
        <f t="shared" si="51"/>
        <v>5.5</v>
      </c>
      <c r="V282" s="9">
        <f>Sheet1!E285</f>
        <v>1665.11</v>
      </c>
      <c r="W282" s="9">
        <f>Sheet1!G285</f>
        <v>1663.74</v>
      </c>
      <c r="X282" s="14">
        <f t="shared" si="44"/>
        <v>1664.64</v>
      </c>
      <c r="Y282" s="9"/>
    </row>
    <row r="283" spans="2:25">
      <c r="B283" s="9"/>
      <c r="C283" s="10">
        <f>Sheet1!C286</f>
        <v>11050</v>
      </c>
      <c r="D283" s="9">
        <f t="shared" si="42"/>
        <v>3.75</v>
      </c>
      <c r="E283" s="9">
        <v>3</v>
      </c>
      <c r="F283" s="9">
        <f t="shared" si="45"/>
        <v>1.5</v>
      </c>
      <c r="G283" s="9">
        <v>1.41</v>
      </c>
      <c r="H283" s="9">
        <v>1</v>
      </c>
      <c r="I283" s="9">
        <v>0.9</v>
      </c>
      <c r="J283" s="9">
        <v>1.4E-2</v>
      </c>
      <c r="K283" s="9">
        <f>Sheet1!K285</f>
        <v>1E-3</v>
      </c>
      <c r="L283" s="9" t="str">
        <f t="shared" si="46"/>
        <v>1/1000</v>
      </c>
      <c r="M283" s="9">
        <v>1</v>
      </c>
      <c r="N283" s="9">
        <v>1.5</v>
      </c>
      <c r="O283" s="9">
        <f t="shared" si="47"/>
        <v>3.7</v>
      </c>
      <c r="P283" s="9">
        <f t="shared" si="48"/>
        <v>2.12</v>
      </c>
      <c r="Q283" s="9">
        <f t="shared" si="49"/>
        <v>4</v>
      </c>
      <c r="R283" s="9">
        <f t="shared" si="50"/>
        <v>2.5</v>
      </c>
      <c r="S283" s="9">
        <f t="shared" si="43"/>
        <v>0.5</v>
      </c>
      <c r="T283" s="9">
        <v>1.5</v>
      </c>
      <c r="U283" s="9">
        <f t="shared" si="51"/>
        <v>5.5</v>
      </c>
      <c r="V283" s="9">
        <f>Sheet1!E286</f>
        <v>1665</v>
      </c>
      <c r="W283" s="9">
        <f>Sheet1!G286</f>
        <v>1663.69</v>
      </c>
      <c r="X283" s="14">
        <f t="shared" si="44"/>
        <v>1664.5900000000001</v>
      </c>
      <c r="Y283" s="9"/>
    </row>
    <row r="284" spans="2:25">
      <c r="B284" s="9"/>
      <c r="C284" s="10">
        <f>Sheet1!C287</f>
        <v>11100</v>
      </c>
      <c r="D284" s="9">
        <f t="shared" si="42"/>
        <v>3.75</v>
      </c>
      <c r="E284" s="9">
        <v>3</v>
      </c>
      <c r="F284" s="9">
        <f t="shared" si="45"/>
        <v>1.5</v>
      </c>
      <c r="G284" s="9">
        <v>1.41</v>
      </c>
      <c r="H284" s="9">
        <v>1</v>
      </c>
      <c r="I284" s="9">
        <v>0.9</v>
      </c>
      <c r="J284" s="9">
        <v>1.4E-2</v>
      </c>
      <c r="K284" s="9">
        <f>Sheet1!K286</f>
        <v>1E-3</v>
      </c>
      <c r="L284" s="9" t="str">
        <f t="shared" si="46"/>
        <v>1/1000</v>
      </c>
      <c r="M284" s="9">
        <v>1</v>
      </c>
      <c r="N284" s="9">
        <v>1.5</v>
      </c>
      <c r="O284" s="9">
        <f t="shared" si="47"/>
        <v>3.7</v>
      </c>
      <c r="P284" s="9">
        <f t="shared" si="48"/>
        <v>2.12</v>
      </c>
      <c r="Q284" s="9">
        <f t="shared" si="49"/>
        <v>4</v>
      </c>
      <c r="R284" s="9">
        <f t="shared" si="50"/>
        <v>2.5</v>
      </c>
      <c r="S284" s="9">
        <f t="shared" si="43"/>
        <v>0.5</v>
      </c>
      <c r="T284" s="9">
        <v>1.5</v>
      </c>
      <c r="U284" s="9">
        <f t="shared" si="51"/>
        <v>5.5</v>
      </c>
      <c r="V284" s="9">
        <f>Sheet1!E287</f>
        <v>1664.81</v>
      </c>
      <c r="W284" s="9">
        <f>Sheet1!G287</f>
        <v>1663.64</v>
      </c>
      <c r="X284" s="14">
        <f t="shared" si="44"/>
        <v>1664.5400000000002</v>
      </c>
      <c r="Y284" s="9"/>
    </row>
    <row r="285" spans="2:25">
      <c r="B285" s="9"/>
      <c r="C285" s="10">
        <f>Sheet1!C288</f>
        <v>11150</v>
      </c>
      <c r="D285" s="9">
        <f t="shared" si="42"/>
        <v>3.75</v>
      </c>
      <c r="E285" s="9">
        <v>3</v>
      </c>
      <c r="F285" s="9">
        <f t="shared" si="45"/>
        <v>1.5</v>
      </c>
      <c r="G285" s="9">
        <v>1.41</v>
      </c>
      <c r="H285" s="9">
        <v>1</v>
      </c>
      <c r="I285" s="9">
        <v>0.9</v>
      </c>
      <c r="J285" s="9">
        <v>1.4E-2</v>
      </c>
      <c r="K285" s="9">
        <f>Sheet1!K287</f>
        <v>1E-3</v>
      </c>
      <c r="L285" s="9" t="str">
        <f t="shared" si="46"/>
        <v>1/1000</v>
      </c>
      <c r="M285" s="9">
        <v>1</v>
      </c>
      <c r="N285" s="9">
        <v>1.5</v>
      </c>
      <c r="O285" s="9">
        <f t="shared" si="47"/>
        <v>3.7</v>
      </c>
      <c r="P285" s="9">
        <f t="shared" si="48"/>
        <v>2.12</v>
      </c>
      <c r="Q285" s="9">
        <f t="shared" si="49"/>
        <v>4</v>
      </c>
      <c r="R285" s="9">
        <f t="shared" si="50"/>
        <v>2.5</v>
      </c>
      <c r="S285" s="9">
        <f t="shared" si="43"/>
        <v>0.5</v>
      </c>
      <c r="T285" s="9">
        <v>1.5</v>
      </c>
      <c r="U285" s="9">
        <f t="shared" si="51"/>
        <v>5.5</v>
      </c>
      <c r="V285" s="9">
        <f>Sheet1!E288</f>
        <v>1664.77</v>
      </c>
      <c r="W285" s="9">
        <f>Sheet1!G288</f>
        <v>1663.59</v>
      </c>
      <c r="X285" s="14">
        <f t="shared" si="44"/>
        <v>1664.49</v>
      </c>
      <c r="Y285" s="9"/>
    </row>
    <row r="286" spans="2:25">
      <c r="B286" s="9"/>
      <c r="C286" s="10">
        <f>Sheet1!C289</f>
        <v>11200</v>
      </c>
      <c r="D286" s="9">
        <f t="shared" si="42"/>
        <v>3.75</v>
      </c>
      <c r="E286" s="9">
        <v>3</v>
      </c>
      <c r="F286" s="9">
        <f t="shared" si="45"/>
        <v>1.5</v>
      </c>
      <c r="G286" s="9">
        <v>1.41</v>
      </c>
      <c r="H286" s="9">
        <v>1</v>
      </c>
      <c r="I286" s="9">
        <v>0.9</v>
      </c>
      <c r="J286" s="9">
        <v>1.4E-2</v>
      </c>
      <c r="K286" s="9">
        <f>Sheet1!K288</f>
        <v>1E-3</v>
      </c>
      <c r="L286" s="9" t="str">
        <f t="shared" si="46"/>
        <v>1/1000</v>
      </c>
      <c r="M286" s="9">
        <v>1</v>
      </c>
      <c r="N286" s="9">
        <v>1.5</v>
      </c>
      <c r="O286" s="9">
        <f t="shared" si="47"/>
        <v>3.7</v>
      </c>
      <c r="P286" s="9">
        <f t="shared" si="48"/>
        <v>2.12</v>
      </c>
      <c r="Q286" s="9">
        <f t="shared" si="49"/>
        <v>4</v>
      </c>
      <c r="R286" s="9">
        <f t="shared" si="50"/>
        <v>2.5</v>
      </c>
      <c r="S286" s="9">
        <f t="shared" si="43"/>
        <v>0.5</v>
      </c>
      <c r="T286" s="9">
        <v>1.5</v>
      </c>
      <c r="U286" s="9">
        <f t="shared" si="51"/>
        <v>5.5</v>
      </c>
      <c r="V286" s="9">
        <f>Sheet1!E289</f>
        <v>1664.69</v>
      </c>
      <c r="W286" s="9">
        <f>Sheet1!G289</f>
        <v>1663.54</v>
      </c>
      <c r="X286" s="14">
        <f t="shared" si="44"/>
        <v>1664.44</v>
      </c>
      <c r="Y286" s="9"/>
    </row>
    <row r="287" spans="2:25">
      <c r="B287" s="9"/>
      <c r="C287" s="10">
        <f>Sheet1!C290</f>
        <v>11250</v>
      </c>
      <c r="D287" s="9">
        <f t="shared" si="42"/>
        <v>3.75</v>
      </c>
      <c r="E287" s="9">
        <v>3</v>
      </c>
      <c r="F287" s="9">
        <f t="shared" si="45"/>
        <v>1.5</v>
      </c>
      <c r="G287" s="9">
        <v>1.41</v>
      </c>
      <c r="H287" s="9">
        <v>1</v>
      </c>
      <c r="I287" s="9">
        <v>0.9</v>
      </c>
      <c r="J287" s="9">
        <v>1.4E-2</v>
      </c>
      <c r="K287" s="9">
        <f>Sheet1!K289</f>
        <v>1E-3</v>
      </c>
      <c r="L287" s="9" t="str">
        <f t="shared" si="46"/>
        <v>1/1000</v>
      </c>
      <c r="M287" s="9">
        <v>1</v>
      </c>
      <c r="N287" s="9">
        <v>1.5</v>
      </c>
      <c r="O287" s="9">
        <f t="shared" si="47"/>
        <v>3.7</v>
      </c>
      <c r="P287" s="9">
        <f t="shared" si="48"/>
        <v>2.12</v>
      </c>
      <c r="Q287" s="9">
        <f t="shared" si="49"/>
        <v>4</v>
      </c>
      <c r="R287" s="9">
        <f t="shared" si="50"/>
        <v>2.5</v>
      </c>
      <c r="S287" s="9">
        <f t="shared" si="43"/>
        <v>0.5</v>
      </c>
      <c r="T287" s="9">
        <v>1.5</v>
      </c>
      <c r="U287" s="9">
        <f t="shared" si="51"/>
        <v>5.5</v>
      </c>
      <c r="V287" s="9">
        <f>Sheet1!E290</f>
        <v>1664.65</v>
      </c>
      <c r="W287" s="9">
        <f>Sheet1!G290</f>
        <v>1663.49</v>
      </c>
      <c r="X287" s="14">
        <f t="shared" si="44"/>
        <v>1664.39</v>
      </c>
      <c r="Y287" s="9"/>
    </row>
    <row r="288" spans="2:25">
      <c r="B288" s="9"/>
      <c r="C288" s="10">
        <f>Sheet1!C291</f>
        <v>11300</v>
      </c>
      <c r="D288" s="9">
        <f t="shared" si="42"/>
        <v>3.75</v>
      </c>
      <c r="E288" s="9">
        <v>3</v>
      </c>
      <c r="F288" s="9">
        <f t="shared" si="45"/>
        <v>1.5</v>
      </c>
      <c r="G288" s="9">
        <v>1.41</v>
      </c>
      <c r="H288" s="9">
        <v>1</v>
      </c>
      <c r="I288" s="9">
        <v>0.9</v>
      </c>
      <c r="J288" s="9">
        <v>1.4E-2</v>
      </c>
      <c r="K288" s="9">
        <f>Sheet1!K290</f>
        <v>1E-3</v>
      </c>
      <c r="L288" s="9" t="str">
        <f t="shared" si="46"/>
        <v>1/1000</v>
      </c>
      <c r="M288" s="9">
        <v>1</v>
      </c>
      <c r="N288" s="9">
        <v>1.5</v>
      </c>
      <c r="O288" s="9">
        <f t="shared" si="47"/>
        <v>3.7</v>
      </c>
      <c r="P288" s="9">
        <f t="shared" si="48"/>
        <v>2.12</v>
      </c>
      <c r="Q288" s="9">
        <f t="shared" si="49"/>
        <v>4</v>
      </c>
      <c r="R288" s="9">
        <f t="shared" si="50"/>
        <v>2.5</v>
      </c>
      <c r="S288" s="9">
        <f t="shared" si="43"/>
        <v>0.5</v>
      </c>
      <c r="T288" s="9">
        <v>1.5</v>
      </c>
      <c r="U288" s="9">
        <f t="shared" si="51"/>
        <v>5.5</v>
      </c>
      <c r="V288" s="9">
        <f>Sheet1!E291</f>
        <v>1664.39</v>
      </c>
      <c r="W288" s="9">
        <f>Sheet1!G291</f>
        <v>1663.44</v>
      </c>
      <c r="X288" s="14">
        <f t="shared" si="44"/>
        <v>1664.3400000000001</v>
      </c>
      <c r="Y288" s="9"/>
    </row>
    <row r="289" spans="2:25">
      <c r="B289" s="9"/>
      <c r="C289" s="10">
        <f>Sheet1!C292</f>
        <v>11350</v>
      </c>
      <c r="D289" s="9">
        <f t="shared" si="42"/>
        <v>3.75</v>
      </c>
      <c r="E289" s="9">
        <v>3</v>
      </c>
      <c r="F289" s="9">
        <f t="shared" si="45"/>
        <v>1.5</v>
      </c>
      <c r="G289" s="9">
        <v>1.41</v>
      </c>
      <c r="H289" s="9">
        <v>1</v>
      </c>
      <c r="I289" s="9">
        <v>0.9</v>
      </c>
      <c r="J289" s="9">
        <v>1.4E-2</v>
      </c>
      <c r="K289" s="9">
        <f>Sheet1!K291</f>
        <v>1E-3</v>
      </c>
      <c r="L289" s="9" t="str">
        <f t="shared" si="46"/>
        <v>1/1000</v>
      </c>
      <c r="M289" s="9">
        <v>1</v>
      </c>
      <c r="N289" s="9">
        <v>1.5</v>
      </c>
      <c r="O289" s="9">
        <f t="shared" si="47"/>
        <v>3.7</v>
      </c>
      <c r="P289" s="9">
        <f t="shared" si="48"/>
        <v>2.12</v>
      </c>
      <c r="Q289" s="9">
        <f t="shared" si="49"/>
        <v>4</v>
      </c>
      <c r="R289" s="9">
        <f t="shared" si="50"/>
        <v>2.5</v>
      </c>
      <c r="S289" s="9">
        <f t="shared" si="43"/>
        <v>0.5</v>
      </c>
      <c r="T289" s="9">
        <v>1.5</v>
      </c>
      <c r="U289" s="9">
        <f t="shared" si="51"/>
        <v>5.5</v>
      </c>
      <c r="V289" s="9">
        <f>Sheet1!E292</f>
        <v>1664.29</v>
      </c>
      <c r="W289" s="9">
        <f>Sheet1!G292</f>
        <v>1663.39</v>
      </c>
      <c r="X289" s="14">
        <f t="shared" si="44"/>
        <v>1664.2900000000002</v>
      </c>
      <c r="Y289" s="9"/>
    </row>
    <row r="290" spans="2:25">
      <c r="B290" s="9"/>
      <c r="C290" s="10">
        <f>Sheet1!C293</f>
        <v>11400</v>
      </c>
      <c r="D290" s="9">
        <f t="shared" si="42"/>
        <v>3.75</v>
      </c>
      <c r="E290" s="9">
        <v>3</v>
      </c>
      <c r="F290" s="9">
        <f t="shared" si="45"/>
        <v>1.5</v>
      </c>
      <c r="G290" s="9">
        <v>1.41</v>
      </c>
      <c r="H290" s="9">
        <v>1</v>
      </c>
      <c r="I290" s="9">
        <v>0.9</v>
      </c>
      <c r="J290" s="9">
        <v>1.4E-2</v>
      </c>
      <c r="K290" s="9">
        <f>Sheet1!K292</f>
        <v>1E-3</v>
      </c>
      <c r="L290" s="9" t="str">
        <f t="shared" si="46"/>
        <v>1/1000</v>
      </c>
      <c r="M290" s="9">
        <v>1</v>
      </c>
      <c r="N290" s="9">
        <v>1.5</v>
      </c>
      <c r="O290" s="9">
        <f t="shared" si="47"/>
        <v>3.7</v>
      </c>
      <c r="P290" s="9">
        <f t="shared" si="48"/>
        <v>2.12</v>
      </c>
      <c r="Q290" s="9">
        <f t="shared" si="49"/>
        <v>4</v>
      </c>
      <c r="R290" s="9">
        <f t="shared" si="50"/>
        <v>2.5</v>
      </c>
      <c r="S290" s="9">
        <f t="shared" si="43"/>
        <v>0.5</v>
      </c>
      <c r="T290" s="9">
        <v>1.5</v>
      </c>
      <c r="U290" s="9">
        <f t="shared" si="51"/>
        <v>5.5</v>
      </c>
      <c r="V290" s="9">
        <f>Sheet1!E293</f>
        <v>1664.47</v>
      </c>
      <c r="W290" s="9">
        <f>Sheet1!G293</f>
        <v>1663.34</v>
      </c>
      <c r="X290" s="14">
        <f t="shared" si="44"/>
        <v>1664.24</v>
      </c>
      <c r="Y290" s="9"/>
    </row>
    <row r="291" spans="2:25">
      <c r="B291" s="9"/>
      <c r="C291" s="10">
        <f>Sheet1!C294</f>
        <v>11450</v>
      </c>
      <c r="D291" s="9">
        <f t="shared" si="42"/>
        <v>3.75</v>
      </c>
      <c r="E291" s="9">
        <v>3</v>
      </c>
      <c r="F291" s="9">
        <f t="shared" si="45"/>
        <v>1.5</v>
      </c>
      <c r="G291" s="9">
        <v>1.41</v>
      </c>
      <c r="H291" s="9">
        <v>1</v>
      </c>
      <c r="I291" s="9">
        <v>0.9</v>
      </c>
      <c r="J291" s="9">
        <v>1.4E-2</v>
      </c>
      <c r="K291" s="9">
        <f>Sheet1!K293</f>
        <v>1E-3</v>
      </c>
      <c r="L291" s="9" t="str">
        <f t="shared" si="46"/>
        <v>1/1000</v>
      </c>
      <c r="M291" s="9">
        <v>1</v>
      </c>
      <c r="N291" s="9">
        <v>1.5</v>
      </c>
      <c r="O291" s="9">
        <f t="shared" si="47"/>
        <v>3.7</v>
      </c>
      <c r="P291" s="9">
        <f t="shared" si="48"/>
        <v>2.12</v>
      </c>
      <c r="Q291" s="9">
        <f t="shared" si="49"/>
        <v>4</v>
      </c>
      <c r="R291" s="9">
        <f t="shared" si="50"/>
        <v>2.5</v>
      </c>
      <c r="S291" s="9">
        <f t="shared" si="43"/>
        <v>0.5</v>
      </c>
      <c r="T291" s="9">
        <v>1.5</v>
      </c>
      <c r="U291" s="9">
        <f t="shared" si="51"/>
        <v>5.5</v>
      </c>
      <c r="V291" s="9">
        <f>Sheet1!E294</f>
        <v>1664.51</v>
      </c>
      <c r="W291" s="9">
        <f>Sheet1!G294</f>
        <v>1663.29</v>
      </c>
      <c r="X291" s="14">
        <f t="shared" si="44"/>
        <v>1664.19</v>
      </c>
      <c r="Y291" s="9"/>
    </row>
    <row r="292" spans="2:25">
      <c r="B292" s="9"/>
      <c r="C292" s="10">
        <f>Sheet1!C295</f>
        <v>11500</v>
      </c>
      <c r="D292" s="9">
        <f t="shared" si="42"/>
        <v>3.75</v>
      </c>
      <c r="E292" s="9">
        <v>3</v>
      </c>
      <c r="F292" s="9">
        <f t="shared" si="45"/>
        <v>1.5</v>
      </c>
      <c r="G292" s="9">
        <v>1.41</v>
      </c>
      <c r="H292" s="9">
        <v>1</v>
      </c>
      <c r="I292" s="9">
        <v>0.9</v>
      </c>
      <c r="J292" s="9">
        <v>1.4E-2</v>
      </c>
      <c r="K292" s="9">
        <f>Sheet1!K294</f>
        <v>1E-3</v>
      </c>
      <c r="L292" s="9" t="str">
        <f t="shared" si="46"/>
        <v>1/1000</v>
      </c>
      <c r="M292" s="9">
        <v>1</v>
      </c>
      <c r="N292" s="9">
        <v>1.5</v>
      </c>
      <c r="O292" s="9">
        <f t="shared" si="47"/>
        <v>3.7</v>
      </c>
      <c r="P292" s="9">
        <f t="shared" si="48"/>
        <v>2.12</v>
      </c>
      <c r="Q292" s="9">
        <f t="shared" si="49"/>
        <v>4</v>
      </c>
      <c r="R292" s="9">
        <f t="shared" si="50"/>
        <v>2.5</v>
      </c>
      <c r="S292" s="9">
        <f t="shared" si="43"/>
        <v>0.5</v>
      </c>
      <c r="T292" s="9">
        <v>1.5</v>
      </c>
      <c r="U292" s="9">
        <f t="shared" si="51"/>
        <v>5.5</v>
      </c>
      <c r="V292" s="9">
        <f>Sheet1!E295</f>
        <v>1664.54</v>
      </c>
      <c r="W292" s="9">
        <f>Sheet1!G295</f>
        <v>1663.24</v>
      </c>
      <c r="X292" s="14">
        <f t="shared" si="44"/>
        <v>1664.14</v>
      </c>
      <c r="Y292" s="9"/>
    </row>
    <row r="293" spans="2:25">
      <c r="B293" s="9"/>
      <c r="C293" s="10">
        <f>Sheet1!C296</f>
        <v>11550</v>
      </c>
      <c r="D293" s="9">
        <f t="shared" si="42"/>
        <v>3.75</v>
      </c>
      <c r="E293" s="9">
        <v>3</v>
      </c>
      <c r="F293" s="9">
        <f t="shared" si="45"/>
        <v>1.5</v>
      </c>
      <c r="G293" s="9">
        <v>1.41</v>
      </c>
      <c r="H293" s="9">
        <v>1</v>
      </c>
      <c r="I293" s="9">
        <v>0.9</v>
      </c>
      <c r="J293" s="9">
        <v>1.4E-2</v>
      </c>
      <c r="K293" s="9">
        <f>Sheet1!K295</f>
        <v>1E-3</v>
      </c>
      <c r="L293" s="9" t="str">
        <f t="shared" si="46"/>
        <v>1/1000</v>
      </c>
      <c r="M293" s="9">
        <v>1</v>
      </c>
      <c r="N293" s="9">
        <v>1.5</v>
      </c>
      <c r="O293" s="9">
        <f t="shared" si="47"/>
        <v>3.7</v>
      </c>
      <c r="P293" s="9">
        <f t="shared" si="48"/>
        <v>2.12</v>
      </c>
      <c r="Q293" s="9">
        <f t="shared" si="49"/>
        <v>4</v>
      </c>
      <c r="R293" s="9">
        <f t="shared" si="50"/>
        <v>2.5</v>
      </c>
      <c r="S293" s="9">
        <f t="shared" si="43"/>
        <v>0.5</v>
      </c>
      <c r="T293" s="9">
        <v>1.5</v>
      </c>
      <c r="U293" s="9">
        <f t="shared" si="51"/>
        <v>5.5</v>
      </c>
      <c r="V293" s="9">
        <f>Sheet1!E296</f>
        <v>1664.47</v>
      </c>
      <c r="W293" s="9">
        <f>Sheet1!G296</f>
        <v>1663.19</v>
      </c>
      <c r="X293" s="14">
        <f t="shared" si="44"/>
        <v>1664.0900000000001</v>
      </c>
      <c r="Y293" s="9"/>
    </row>
    <row r="294" spans="2:25">
      <c r="B294" s="9"/>
      <c r="C294" s="10">
        <f>Sheet1!C297</f>
        <v>11600</v>
      </c>
      <c r="D294" s="9">
        <f t="shared" si="42"/>
        <v>3.75</v>
      </c>
      <c r="E294" s="9">
        <v>3</v>
      </c>
      <c r="F294" s="9">
        <f t="shared" si="45"/>
        <v>1.5</v>
      </c>
      <c r="G294" s="9">
        <v>1.41</v>
      </c>
      <c r="H294" s="9">
        <v>1</v>
      </c>
      <c r="I294" s="9">
        <v>0.9</v>
      </c>
      <c r="J294" s="9">
        <v>1.4E-2</v>
      </c>
      <c r="K294" s="9">
        <f>Sheet1!K296</f>
        <v>1E-3</v>
      </c>
      <c r="L294" s="9" t="str">
        <f t="shared" si="46"/>
        <v>1/1000</v>
      </c>
      <c r="M294" s="9">
        <v>1</v>
      </c>
      <c r="N294" s="9">
        <v>1.5</v>
      </c>
      <c r="O294" s="9">
        <f t="shared" si="47"/>
        <v>3.7</v>
      </c>
      <c r="P294" s="9">
        <f t="shared" si="48"/>
        <v>2.12</v>
      </c>
      <c r="Q294" s="9">
        <f t="shared" si="49"/>
        <v>4</v>
      </c>
      <c r="R294" s="9">
        <f t="shared" si="50"/>
        <v>2.5</v>
      </c>
      <c r="S294" s="9">
        <f t="shared" si="43"/>
        <v>0.5</v>
      </c>
      <c r="T294" s="9">
        <v>1.5</v>
      </c>
      <c r="U294" s="9">
        <f t="shared" si="51"/>
        <v>5.5</v>
      </c>
      <c r="V294" s="9">
        <f>Sheet1!E297</f>
        <v>1664.47</v>
      </c>
      <c r="W294" s="9">
        <f>Sheet1!G297</f>
        <v>1663.14</v>
      </c>
      <c r="X294" s="14">
        <f t="shared" si="44"/>
        <v>1664.0400000000002</v>
      </c>
      <c r="Y294" s="9"/>
    </row>
    <row r="295" spans="2:25">
      <c r="B295" s="9"/>
      <c r="C295" s="10">
        <f>Sheet1!C298</f>
        <v>11650</v>
      </c>
      <c r="D295" s="9">
        <f t="shared" si="42"/>
        <v>3.75</v>
      </c>
      <c r="E295" s="9">
        <v>3</v>
      </c>
      <c r="F295" s="9">
        <f t="shared" si="45"/>
        <v>1.5</v>
      </c>
      <c r="G295" s="9">
        <v>1.41</v>
      </c>
      <c r="H295" s="9">
        <v>1</v>
      </c>
      <c r="I295" s="9">
        <v>0.9</v>
      </c>
      <c r="J295" s="9">
        <v>1.4E-2</v>
      </c>
      <c r="K295" s="9">
        <f>Sheet1!K297</f>
        <v>1E-3</v>
      </c>
      <c r="L295" s="9" t="str">
        <f t="shared" si="46"/>
        <v>1/1000</v>
      </c>
      <c r="M295" s="9">
        <v>1</v>
      </c>
      <c r="N295" s="9">
        <v>1.5</v>
      </c>
      <c r="O295" s="9">
        <f t="shared" si="47"/>
        <v>3.7</v>
      </c>
      <c r="P295" s="9">
        <f t="shared" si="48"/>
        <v>2.12</v>
      </c>
      <c r="Q295" s="9">
        <f t="shared" si="49"/>
        <v>4</v>
      </c>
      <c r="R295" s="9">
        <f t="shared" si="50"/>
        <v>2.5</v>
      </c>
      <c r="S295" s="9">
        <f t="shared" si="43"/>
        <v>0.5</v>
      </c>
      <c r="T295" s="9">
        <v>1.5</v>
      </c>
      <c r="U295" s="9">
        <f t="shared" si="51"/>
        <v>5.5</v>
      </c>
      <c r="V295" s="9">
        <f>Sheet1!E298</f>
        <v>1664.47</v>
      </c>
      <c r="W295" s="9">
        <f>Sheet1!G298</f>
        <v>1663.09</v>
      </c>
      <c r="X295" s="14">
        <f t="shared" si="44"/>
        <v>1663.99</v>
      </c>
      <c r="Y295" s="9"/>
    </row>
    <row r="296" spans="2:25">
      <c r="B296" s="9"/>
      <c r="C296" s="10">
        <f>Sheet1!C299</f>
        <v>11700</v>
      </c>
      <c r="D296" s="9">
        <f t="shared" si="42"/>
        <v>3.75</v>
      </c>
      <c r="E296" s="9">
        <v>3</v>
      </c>
      <c r="F296" s="9">
        <f t="shared" si="45"/>
        <v>1.5</v>
      </c>
      <c r="G296" s="9">
        <v>1.41</v>
      </c>
      <c r="H296" s="9">
        <v>1</v>
      </c>
      <c r="I296" s="9">
        <v>0.9</v>
      </c>
      <c r="J296" s="9">
        <v>1.4E-2</v>
      </c>
      <c r="K296" s="9">
        <f>Sheet1!K298</f>
        <v>1E-3</v>
      </c>
      <c r="L296" s="9" t="str">
        <f t="shared" si="46"/>
        <v>1/1000</v>
      </c>
      <c r="M296" s="9">
        <v>1</v>
      </c>
      <c r="N296" s="9">
        <v>1.5</v>
      </c>
      <c r="O296" s="9">
        <f t="shared" si="47"/>
        <v>3.7</v>
      </c>
      <c r="P296" s="9">
        <f t="shared" si="48"/>
        <v>2.12</v>
      </c>
      <c r="Q296" s="9">
        <f t="shared" si="49"/>
        <v>4</v>
      </c>
      <c r="R296" s="9">
        <f t="shared" si="50"/>
        <v>2.5</v>
      </c>
      <c r="S296" s="9">
        <f t="shared" si="43"/>
        <v>0.5</v>
      </c>
      <c r="T296" s="9">
        <v>1.5</v>
      </c>
      <c r="U296" s="9">
        <f t="shared" si="51"/>
        <v>5.5</v>
      </c>
      <c r="V296" s="9">
        <f>Sheet1!E299</f>
        <v>1664.26</v>
      </c>
      <c r="W296" s="9">
        <f>Sheet1!G299</f>
        <v>1663.04</v>
      </c>
      <c r="X296" s="14">
        <f t="shared" si="44"/>
        <v>1663.94</v>
      </c>
      <c r="Y296" s="9"/>
    </row>
    <row r="297" spans="2:25">
      <c r="B297" s="9"/>
      <c r="C297" s="10">
        <f>Sheet1!C300</f>
        <v>11750</v>
      </c>
      <c r="D297" s="9">
        <f t="shared" si="42"/>
        <v>3.75</v>
      </c>
      <c r="E297" s="9">
        <v>3</v>
      </c>
      <c r="F297" s="9">
        <f t="shared" si="45"/>
        <v>1.5</v>
      </c>
      <c r="G297" s="9">
        <v>1.41</v>
      </c>
      <c r="H297" s="9">
        <v>1</v>
      </c>
      <c r="I297" s="9">
        <v>0.9</v>
      </c>
      <c r="J297" s="9">
        <v>1.4E-2</v>
      </c>
      <c r="K297" s="9">
        <f>Sheet1!K299</f>
        <v>1E-3</v>
      </c>
      <c r="L297" s="9" t="str">
        <f t="shared" si="46"/>
        <v>1/1000</v>
      </c>
      <c r="M297" s="9">
        <v>1</v>
      </c>
      <c r="N297" s="9">
        <v>1.5</v>
      </c>
      <c r="O297" s="9">
        <f t="shared" si="47"/>
        <v>3.7</v>
      </c>
      <c r="P297" s="9">
        <f t="shared" si="48"/>
        <v>2.12</v>
      </c>
      <c r="Q297" s="9">
        <f t="shared" si="49"/>
        <v>4</v>
      </c>
      <c r="R297" s="9">
        <f t="shared" si="50"/>
        <v>2.5</v>
      </c>
      <c r="S297" s="9">
        <f t="shared" si="43"/>
        <v>0.5</v>
      </c>
      <c r="T297" s="9">
        <v>1.5</v>
      </c>
      <c r="U297" s="9">
        <f t="shared" si="51"/>
        <v>5.5</v>
      </c>
      <c r="V297" s="9">
        <f>Sheet1!E300</f>
        <v>1664.12</v>
      </c>
      <c r="W297" s="9">
        <f>Sheet1!G300</f>
        <v>1662.99</v>
      </c>
      <c r="X297" s="14">
        <f t="shared" si="44"/>
        <v>1663.89</v>
      </c>
      <c r="Y297" s="9"/>
    </row>
    <row r="298" spans="2:25">
      <c r="B298" s="9"/>
      <c r="C298" s="10">
        <f>Sheet1!C301</f>
        <v>11800</v>
      </c>
      <c r="D298" s="9">
        <f t="shared" si="42"/>
        <v>3.75</v>
      </c>
      <c r="E298" s="9">
        <v>3</v>
      </c>
      <c r="F298" s="9">
        <f t="shared" si="45"/>
        <v>1.94</v>
      </c>
      <c r="G298" s="9">
        <v>1.83</v>
      </c>
      <c r="H298" s="9">
        <v>0.85</v>
      </c>
      <c r="I298" s="9">
        <v>0.76</v>
      </c>
      <c r="J298" s="9">
        <v>1.4E-2</v>
      </c>
      <c r="K298" s="9">
        <f>Sheet1!K300</f>
        <v>2E-3</v>
      </c>
      <c r="L298" s="9" t="str">
        <f t="shared" si="46"/>
        <v>1/500</v>
      </c>
      <c r="M298" s="9">
        <v>1</v>
      </c>
      <c r="N298" s="9">
        <v>1.5</v>
      </c>
      <c r="O298" s="9">
        <f t="shared" si="47"/>
        <v>3.28</v>
      </c>
      <c r="P298" s="9">
        <f t="shared" si="48"/>
        <v>1.63</v>
      </c>
      <c r="Q298" s="9">
        <f t="shared" si="49"/>
        <v>3.55</v>
      </c>
      <c r="R298" s="9">
        <f t="shared" si="50"/>
        <v>1.93</v>
      </c>
      <c r="S298" s="9">
        <f t="shared" si="43"/>
        <v>0.45000000000000007</v>
      </c>
      <c r="T298" s="9">
        <v>1.3</v>
      </c>
      <c r="U298" s="9">
        <f t="shared" si="51"/>
        <v>4.9000000000000004</v>
      </c>
      <c r="V298" s="9">
        <f>Sheet1!E301</f>
        <v>1664.14</v>
      </c>
      <c r="W298" s="9">
        <f>Sheet1!G301</f>
        <v>1662.89</v>
      </c>
      <c r="X298" s="14">
        <f t="shared" si="44"/>
        <v>1663.65</v>
      </c>
      <c r="Y298" s="9"/>
    </row>
    <row r="299" spans="2:25">
      <c r="B299" s="9" t="s">
        <v>372</v>
      </c>
      <c r="C299" s="10">
        <f>Sheet1!C302</f>
        <v>11850</v>
      </c>
      <c r="D299" s="9">
        <f t="shared" si="42"/>
        <v>3.75</v>
      </c>
      <c r="E299" s="9">
        <v>3</v>
      </c>
      <c r="F299" s="9">
        <f t="shared" si="45"/>
        <v>1.94</v>
      </c>
      <c r="G299" s="9">
        <v>1.83</v>
      </c>
      <c r="H299" s="9">
        <v>0.85</v>
      </c>
      <c r="I299" s="9">
        <v>0.76</v>
      </c>
      <c r="J299" s="9">
        <v>1.4E-2</v>
      </c>
      <c r="K299" s="9">
        <f>Sheet1!K301</f>
        <v>2E-3</v>
      </c>
      <c r="L299" s="9" t="str">
        <f t="shared" si="46"/>
        <v>1/500</v>
      </c>
      <c r="M299" s="9">
        <v>1</v>
      </c>
      <c r="N299" s="9">
        <v>1.5</v>
      </c>
      <c r="O299" s="9">
        <f t="shared" si="47"/>
        <v>3.28</v>
      </c>
      <c r="P299" s="9">
        <f t="shared" si="48"/>
        <v>1.63</v>
      </c>
      <c r="Q299" s="9">
        <f t="shared" si="49"/>
        <v>3.55</v>
      </c>
      <c r="R299" s="9">
        <f t="shared" si="50"/>
        <v>1.93</v>
      </c>
      <c r="S299" s="9">
        <f t="shared" si="43"/>
        <v>0.45000000000000007</v>
      </c>
      <c r="T299" s="9">
        <v>1.3</v>
      </c>
      <c r="U299" s="9">
        <f t="shared" si="51"/>
        <v>4.9000000000000004</v>
      </c>
      <c r="V299" s="9">
        <f>Sheet1!E302</f>
        <v>1663.83</v>
      </c>
      <c r="W299" s="9">
        <f>Sheet1!G302</f>
        <v>1662.79</v>
      </c>
      <c r="X299" s="14">
        <f t="shared" si="44"/>
        <v>1663.55</v>
      </c>
      <c r="Y299" s="9" t="s">
        <v>372</v>
      </c>
    </row>
    <row r="300" spans="2:25">
      <c r="B300" s="9"/>
      <c r="C300" s="10">
        <f>Sheet1!C303</f>
        <v>11900</v>
      </c>
      <c r="D300" s="9">
        <f t="shared" si="42"/>
        <v>3.75</v>
      </c>
      <c r="E300" s="9">
        <v>3</v>
      </c>
      <c r="F300" s="9">
        <f t="shared" si="45"/>
        <v>1.94</v>
      </c>
      <c r="G300" s="9">
        <v>1.83</v>
      </c>
      <c r="H300" s="9">
        <v>0.85</v>
      </c>
      <c r="I300" s="9">
        <v>0.76</v>
      </c>
      <c r="J300" s="9">
        <v>1.4E-2</v>
      </c>
      <c r="K300" s="9">
        <f>Sheet1!K302</f>
        <v>2E-3</v>
      </c>
      <c r="L300" s="9" t="str">
        <f t="shared" si="46"/>
        <v>1/500</v>
      </c>
      <c r="M300" s="9">
        <v>1</v>
      </c>
      <c r="N300" s="9">
        <v>1.5</v>
      </c>
      <c r="O300" s="9">
        <f t="shared" si="47"/>
        <v>3.28</v>
      </c>
      <c r="P300" s="9">
        <f t="shared" si="48"/>
        <v>1.63</v>
      </c>
      <c r="Q300" s="9">
        <f t="shared" si="49"/>
        <v>3.55</v>
      </c>
      <c r="R300" s="9">
        <f t="shared" si="50"/>
        <v>1.93</v>
      </c>
      <c r="S300" s="9">
        <f t="shared" si="43"/>
        <v>0.45000000000000007</v>
      </c>
      <c r="T300" s="9">
        <v>1.3</v>
      </c>
      <c r="U300" s="9">
        <f t="shared" si="51"/>
        <v>4.9000000000000004</v>
      </c>
      <c r="V300" s="9">
        <f>Sheet1!E303</f>
        <v>1663.69</v>
      </c>
      <c r="W300" s="9">
        <f>Sheet1!G303</f>
        <v>1662.69</v>
      </c>
      <c r="X300" s="14">
        <f t="shared" si="44"/>
        <v>1663.45</v>
      </c>
      <c r="Y300" s="9"/>
    </row>
    <row r="301" spans="2:25">
      <c r="B301" s="9"/>
      <c r="C301" s="10">
        <f>Sheet1!C304</f>
        <v>11950</v>
      </c>
      <c r="D301" s="9">
        <f t="shared" si="42"/>
        <v>3.75</v>
      </c>
      <c r="E301" s="9">
        <v>3</v>
      </c>
      <c r="F301" s="9">
        <f t="shared" si="45"/>
        <v>1.94</v>
      </c>
      <c r="G301" s="9">
        <v>1.83</v>
      </c>
      <c r="H301" s="9">
        <v>0.85</v>
      </c>
      <c r="I301" s="9">
        <v>0.76</v>
      </c>
      <c r="J301" s="9">
        <v>1.4E-2</v>
      </c>
      <c r="K301" s="9">
        <f>Sheet1!K303</f>
        <v>2E-3</v>
      </c>
      <c r="L301" s="9" t="str">
        <f t="shared" si="46"/>
        <v>1/500</v>
      </c>
      <c r="M301" s="9">
        <v>1</v>
      </c>
      <c r="N301" s="9">
        <v>1.5</v>
      </c>
      <c r="O301" s="9">
        <f t="shared" si="47"/>
        <v>3.28</v>
      </c>
      <c r="P301" s="9">
        <f t="shared" si="48"/>
        <v>1.63</v>
      </c>
      <c r="Q301" s="9">
        <f t="shared" si="49"/>
        <v>3.55</v>
      </c>
      <c r="R301" s="9">
        <f t="shared" si="50"/>
        <v>1.93</v>
      </c>
      <c r="S301" s="9">
        <f t="shared" si="43"/>
        <v>0.45000000000000007</v>
      </c>
      <c r="T301" s="9">
        <v>1.3</v>
      </c>
      <c r="U301" s="9">
        <f t="shared" si="51"/>
        <v>4.9000000000000004</v>
      </c>
      <c r="V301" s="9">
        <f>Sheet1!E304</f>
        <v>1663.56</v>
      </c>
      <c r="W301" s="9">
        <f>Sheet1!G304</f>
        <v>1662.59</v>
      </c>
      <c r="X301" s="14">
        <f t="shared" si="44"/>
        <v>1663.35</v>
      </c>
      <c r="Y301" s="9"/>
    </row>
    <row r="302" spans="2:25">
      <c r="B302" s="9"/>
      <c r="C302" s="10">
        <f>Sheet1!C305</f>
        <v>12000</v>
      </c>
      <c r="D302" s="9">
        <f t="shared" si="42"/>
        <v>3.75</v>
      </c>
      <c r="E302" s="9">
        <v>3</v>
      </c>
      <c r="F302" s="9">
        <f t="shared" si="45"/>
        <v>1.94</v>
      </c>
      <c r="G302" s="9">
        <v>1.83</v>
      </c>
      <c r="H302" s="9">
        <v>0.85</v>
      </c>
      <c r="I302" s="9">
        <v>0.76</v>
      </c>
      <c r="J302" s="9">
        <v>1.4E-2</v>
      </c>
      <c r="K302" s="9">
        <f>Sheet1!K304</f>
        <v>2E-3</v>
      </c>
      <c r="L302" s="9" t="str">
        <f t="shared" si="46"/>
        <v>1/500</v>
      </c>
      <c r="M302" s="9">
        <v>1</v>
      </c>
      <c r="N302" s="9">
        <v>1.5</v>
      </c>
      <c r="O302" s="9">
        <f t="shared" si="47"/>
        <v>3.28</v>
      </c>
      <c r="P302" s="9">
        <f t="shared" si="48"/>
        <v>1.63</v>
      </c>
      <c r="Q302" s="9">
        <f t="shared" si="49"/>
        <v>3.55</v>
      </c>
      <c r="R302" s="9">
        <f t="shared" si="50"/>
        <v>1.93</v>
      </c>
      <c r="S302" s="9">
        <f t="shared" si="43"/>
        <v>0.45000000000000007</v>
      </c>
      <c r="T302" s="9">
        <v>1.3</v>
      </c>
      <c r="U302" s="9">
        <f t="shared" si="51"/>
        <v>4.9000000000000004</v>
      </c>
      <c r="V302" s="9">
        <f>Sheet1!E305</f>
        <v>1663.76</v>
      </c>
      <c r="W302" s="9">
        <f>Sheet1!G305</f>
        <v>1662.49</v>
      </c>
      <c r="X302" s="14">
        <f t="shared" si="44"/>
        <v>1663.25</v>
      </c>
      <c r="Y302" s="9"/>
    </row>
    <row r="303" spans="2:25">
      <c r="B303" s="9"/>
      <c r="C303" s="10">
        <f>Sheet1!C306</f>
        <v>12050</v>
      </c>
      <c r="D303" s="9">
        <f t="shared" si="42"/>
        <v>3.75</v>
      </c>
      <c r="E303" s="9">
        <v>3</v>
      </c>
      <c r="F303" s="9">
        <f t="shared" si="45"/>
        <v>1.94</v>
      </c>
      <c r="G303" s="9">
        <v>1.83</v>
      </c>
      <c r="H303" s="9">
        <v>0.85</v>
      </c>
      <c r="I303" s="9">
        <v>0.76</v>
      </c>
      <c r="J303" s="9">
        <v>1.4E-2</v>
      </c>
      <c r="K303" s="9">
        <f>Sheet1!K305</f>
        <v>2E-3</v>
      </c>
      <c r="L303" s="9" t="str">
        <f t="shared" si="46"/>
        <v>1/500</v>
      </c>
      <c r="M303" s="9">
        <v>1</v>
      </c>
      <c r="N303" s="9">
        <v>1.5</v>
      </c>
      <c r="O303" s="9">
        <f t="shared" si="47"/>
        <v>3.28</v>
      </c>
      <c r="P303" s="9">
        <f t="shared" si="48"/>
        <v>1.63</v>
      </c>
      <c r="Q303" s="9">
        <f t="shared" si="49"/>
        <v>3.55</v>
      </c>
      <c r="R303" s="9">
        <f t="shared" si="50"/>
        <v>1.93</v>
      </c>
      <c r="S303" s="9">
        <f t="shared" si="43"/>
        <v>0.45000000000000007</v>
      </c>
      <c r="T303" s="9">
        <v>1.3</v>
      </c>
      <c r="U303" s="9">
        <f t="shared" si="51"/>
        <v>4.9000000000000004</v>
      </c>
      <c r="V303" s="9">
        <f>Sheet1!E306</f>
        <v>1664.15</v>
      </c>
      <c r="W303" s="9">
        <f>Sheet1!G306</f>
        <v>1662.39</v>
      </c>
      <c r="X303" s="14">
        <f t="shared" si="44"/>
        <v>1663.15</v>
      </c>
      <c r="Y303" s="9"/>
    </row>
    <row r="304" spans="2:25">
      <c r="B304" s="9"/>
      <c r="C304" s="10">
        <f>Sheet1!C307</f>
        <v>12100</v>
      </c>
      <c r="D304" s="9">
        <f t="shared" si="42"/>
        <v>3.75</v>
      </c>
      <c r="E304" s="9">
        <v>3</v>
      </c>
      <c r="F304" s="9">
        <f t="shared" si="45"/>
        <v>1.94</v>
      </c>
      <c r="G304" s="9">
        <v>1.83</v>
      </c>
      <c r="H304" s="9">
        <v>0.85</v>
      </c>
      <c r="I304" s="9">
        <v>0.76</v>
      </c>
      <c r="J304" s="9">
        <v>1.4E-2</v>
      </c>
      <c r="K304" s="9">
        <f>Sheet1!K306</f>
        <v>2E-3</v>
      </c>
      <c r="L304" s="9" t="str">
        <f t="shared" si="46"/>
        <v>1/500</v>
      </c>
      <c r="M304" s="9">
        <v>1</v>
      </c>
      <c r="N304" s="9">
        <v>1.5</v>
      </c>
      <c r="O304" s="9">
        <f t="shared" si="47"/>
        <v>3.28</v>
      </c>
      <c r="P304" s="9">
        <f t="shared" si="48"/>
        <v>1.63</v>
      </c>
      <c r="Q304" s="9">
        <f t="shared" si="49"/>
        <v>3.55</v>
      </c>
      <c r="R304" s="9">
        <f t="shared" si="50"/>
        <v>1.93</v>
      </c>
      <c r="S304" s="9">
        <f t="shared" si="43"/>
        <v>0.45000000000000007</v>
      </c>
      <c r="T304" s="9">
        <v>1.3</v>
      </c>
      <c r="U304" s="9">
        <f t="shared" si="51"/>
        <v>4.9000000000000004</v>
      </c>
      <c r="V304" s="9">
        <f>Sheet1!E307</f>
        <v>1663.8</v>
      </c>
      <c r="W304" s="9">
        <f>Sheet1!G307</f>
        <v>1662.29</v>
      </c>
      <c r="X304" s="14">
        <f t="shared" si="44"/>
        <v>1663.05</v>
      </c>
      <c r="Y304" s="9"/>
    </row>
    <row r="305" spans="2:25">
      <c r="B305" s="9"/>
      <c r="C305" s="10">
        <f>Sheet1!C308</f>
        <v>12150</v>
      </c>
      <c r="D305" s="9">
        <f t="shared" si="42"/>
        <v>3.75</v>
      </c>
      <c r="E305" s="9">
        <v>3</v>
      </c>
      <c r="F305" s="9">
        <f t="shared" si="45"/>
        <v>1.94</v>
      </c>
      <c r="G305" s="9">
        <v>1.83</v>
      </c>
      <c r="H305" s="9">
        <v>0.85</v>
      </c>
      <c r="I305" s="9">
        <v>0.76</v>
      </c>
      <c r="J305" s="9">
        <v>1.4E-2</v>
      </c>
      <c r="K305" s="9">
        <f>Sheet1!K307</f>
        <v>2E-3</v>
      </c>
      <c r="L305" s="9" t="str">
        <f t="shared" si="46"/>
        <v>1/500</v>
      </c>
      <c r="M305" s="9">
        <v>1</v>
      </c>
      <c r="N305" s="9">
        <v>1.5</v>
      </c>
      <c r="O305" s="9">
        <f t="shared" si="47"/>
        <v>3.28</v>
      </c>
      <c r="P305" s="9">
        <f t="shared" si="48"/>
        <v>1.63</v>
      </c>
      <c r="Q305" s="9">
        <f t="shared" si="49"/>
        <v>3.55</v>
      </c>
      <c r="R305" s="9">
        <f t="shared" si="50"/>
        <v>1.93</v>
      </c>
      <c r="S305" s="9">
        <f t="shared" si="43"/>
        <v>0.45000000000000007</v>
      </c>
      <c r="T305" s="9">
        <v>1.3</v>
      </c>
      <c r="U305" s="9">
        <f t="shared" si="51"/>
        <v>4.9000000000000004</v>
      </c>
      <c r="V305" s="9">
        <f>Sheet1!E308</f>
        <v>1663.45</v>
      </c>
      <c r="W305" s="9">
        <f>Sheet1!G308</f>
        <v>1662.19</v>
      </c>
      <c r="X305" s="14">
        <f t="shared" si="44"/>
        <v>1662.95</v>
      </c>
      <c r="Y305" s="9"/>
    </row>
    <row r="306" spans="2:25">
      <c r="B306" s="9"/>
      <c r="C306" s="10">
        <f>Sheet1!C309</f>
        <v>12200</v>
      </c>
      <c r="D306" s="9">
        <f t="shared" si="42"/>
        <v>3.75</v>
      </c>
      <c r="E306" s="9">
        <v>3</v>
      </c>
      <c r="F306" s="9">
        <f t="shared" si="45"/>
        <v>1.94</v>
      </c>
      <c r="G306" s="9">
        <v>1.83</v>
      </c>
      <c r="H306" s="9">
        <v>0.85</v>
      </c>
      <c r="I306" s="9">
        <v>0.76</v>
      </c>
      <c r="J306" s="9">
        <v>1.4E-2</v>
      </c>
      <c r="K306" s="9">
        <f>Sheet1!K308</f>
        <v>2E-3</v>
      </c>
      <c r="L306" s="9" t="str">
        <f t="shared" si="46"/>
        <v>1/500</v>
      </c>
      <c r="M306" s="9">
        <v>1</v>
      </c>
      <c r="N306" s="9">
        <v>1.5</v>
      </c>
      <c r="O306" s="9">
        <f t="shared" si="47"/>
        <v>3.28</v>
      </c>
      <c r="P306" s="9">
        <f t="shared" si="48"/>
        <v>1.63</v>
      </c>
      <c r="Q306" s="9">
        <f t="shared" si="49"/>
        <v>3.55</v>
      </c>
      <c r="R306" s="9">
        <f t="shared" si="50"/>
        <v>1.93</v>
      </c>
      <c r="S306" s="9">
        <f t="shared" si="43"/>
        <v>0.45000000000000007</v>
      </c>
      <c r="T306" s="9">
        <v>1.3</v>
      </c>
      <c r="U306" s="9">
        <f t="shared" si="51"/>
        <v>4.9000000000000004</v>
      </c>
      <c r="V306" s="9">
        <f>Sheet1!E309</f>
        <v>1663.23</v>
      </c>
      <c r="W306" s="9">
        <f>Sheet1!G309</f>
        <v>1662.09</v>
      </c>
      <c r="X306" s="14">
        <f t="shared" si="44"/>
        <v>1662.85</v>
      </c>
      <c r="Y306" s="9"/>
    </row>
    <row r="307" spans="2:25">
      <c r="B307" s="9"/>
      <c r="C307" s="10">
        <f>Sheet1!C310</f>
        <v>12250</v>
      </c>
      <c r="D307" s="9">
        <f t="shared" si="42"/>
        <v>3.75</v>
      </c>
      <c r="E307" s="9">
        <v>3</v>
      </c>
      <c r="F307" s="9">
        <f t="shared" si="45"/>
        <v>1.94</v>
      </c>
      <c r="G307" s="9">
        <v>1.83</v>
      </c>
      <c r="H307" s="9">
        <v>0.85</v>
      </c>
      <c r="I307" s="9">
        <v>0.76</v>
      </c>
      <c r="J307" s="9">
        <v>1.4E-2</v>
      </c>
      <c r="K307" s="9">
        <f>Sheet1!K309</f>
        <v>2E-3</v>
      </c>
      <c r="L307" s="9" t="str">
        <f t="shared" si="46"/>
        <v>1/500</v>
      </c>
      <c r="M307" s="9">
        <v>1</v>
      </c>
      <c r="N307" s="9">
        <v>1.5</v>
      </c>
      <c r="O307" s="9">
        <f t="shared" si="47"/>
        <v>3.28</v>
      </c>
      <c r="P307" s="9">
        <f t="shared" si="48"/>
        <v>1.63</v>
      </c>
      <c r="Q307" s="9">
        <f t="shared" si="49"/>
        <v>3.55</v>
      </c>
      <c r="R307" s="9">
        <f t="shared" si="50"/>
        <v>1.93</v>
      </c>
      <c r="S307" s="9">
        <f t="shared" si="43"/>
        <v>0.45000000000000007</v>
      </c>
      <c r="T307" s="9">
        <v>1.3</v>
      </c>
      <c r="U307" s="9">
        <f t="shared" si="51"/>
        <v>4.9000000000000004</v>
      </c>
      <c r="V307" s="9">
        <f>Sheet1!E310</f>
        <v>1663.01</v>
      </c>
      <c r="W307" s="9">
        <f>Sheet1!G310</f>
        <v>1661.99</v>
      </c>
      <c r="X307" s="14">
        <f t="shared" si="44"/>
        <v>1662.75</v>
      </c>
      <c r="Y307" s="9"/>
    </row>
    <row r="308" spans="2:25">
      <c r="B308" s="9"/>
      <c r="C308" s="10">
        <f>Sheet1!C311</f>
        <v>12300</v>
      </c>
      <c r="D308" s="9">
        <f t="shared" si="42"/>
        <v>3.75</v>
      </c>
      <c r="E308" s="9">
        <v>3</v>
      </c>
      <c r="F308" s="9">
        <f t="shared" si="45"/>
        <v>1.94</v>
      </c>
      <c r="G308" s="9">
        <v>1.83</v>
      </c>
      <c r="H308" s="9">
        <v>0.85</v>
      </c>
      <c r="I308" s="9">
        <v>0.76</v>
      </c>
      <c r="J308" s="9">
        <v>1.4E-2</v>
      </c>
      <c r="K308" s="9">
        <f>Sheet1!K310</f>
        <v>2E-3</v>
      </c>
      <c r="L308" s="9" t="str">
        <f t="shared" si="46"/>
        <v>1/500</v>
      </c>
      <c r="M308" s="9">
        <v>1</v>
      </c>
      <c r="N308" s="9">
        <v>1.5</v>
      </c>
      <c r="O308" s="9">
        <f t="shared" si="47"/>
        <v>3.28</v>
      </c>
      <c r="P308" s="9">
        <f t="shared" si="48"/>
        <v>1.63</v>
      </c>
      <c r="Q308" s="9">
        <f t="shared" si="49"/>
        <v>3.55</v>
      </c>
      <c r="R308" s="9">
        <f t="shared" si="50"/>
        <v>1.93</v>
      </c>
      <c r="S308" s="9">
        <f t="shared" si="43"/>
        <v>0.45000000000000007</v>
      </c>
      <c r="T308" s="9">
        <v>1.3</v>
      </c>
      <c r="U308" s="9">
        <f t="shared" si="51"/>
        <v>4.9000000000000004</v>
      </c>
      <c r="V308" s="9">
        <f>Sheet1!E311</f>
        <v>1662.95</v>
      </c>
      <c r="W308" s="9">
        <f>Sheet1!G311</f>
        <v>1661.89</v>
      </c>
      <c r="X308" s="14">
        <f t="shared" si="44"/>
        <v>1662.65</v>
      </c>
      <c r="Y308" s="9"/>
    </row>
    <row r="309" spans="2:25">
      <c r="B309" s="9"/>
      <c r="C309" s="10">
        <f>Sheet1!C312</f>
        <v>12350</v>
      </c>
      <c r="D309" s="9">
        <f t="shared" si="42"/>
        <v>3.75</v>
      </c>
      <c r="E309" s="9">
        <v>3</v>
      </c>
      <c r="F309" s="9">
        <f t="shared" si="45"/>
        <v>1.94</v>
      </c>
      <c r="G309" s="9">
        <v>1.83</v>
      </c>
      <c r="H309" s="9">
        <v>0.85</v>
      </c>
      <c r="I309" s="9">
        <v>0.76</v>
      </c>
      <c r="J309" s="9">
        <v>1.4E-2</v>
      </c>
      <c r="K309" s="9">
        <f>Sheet1!K311</f>
        <v>2E-3</v>
      </c>
      <c r="L309" s="9" t="str">
        <f t="shared" si="46"/>
        <v>1/500</v>
      </c>
      <c r="M309" s="9">
        <v>1</v>
      </c>
      <c r="N309" s="9">
        <v>1.5</v>
      </c>
      <c r="O309" s="9">
        <f t="shared" si="47"/>
        <v>3.28</v>
      </c>
      <c r="P309" s="9">
        <f t="shared" si="48"/>
        <v>1.63</v>
      </c>
      <c r="Q309" s="9">
        <f t="shared" si="49"/>
        <v>3.55</v>
      </c>
      <c r="R309" s="9">
        <f t="shared" si="50"/>
        <v>1.93</v>
      </c>
      <c r="S309" s="9">
        <f t="shared" si="43"/>
        <v>0.45000000000000007</v>
      </c>
      <c r="T309" s="9">
        <v>1.3</v>
      </c>
      <c r="U309" s="9">
        <f t="shared" si="51"/>
        <v>4.9000000000000004</v>
      </c>
      <c r="V309" s="9">
        <f>Sheet1!E312</f>
        <v>1662.66</v>
      </c>
      <c r="W309" s="9">
        <f>Sheet1!G312</f>
        <v>1661.79</v>
      </c>
      <c r="X309" s="14">
        <f t="shared" si="44"/>
        <v>1662.55</v>
      </c>
      <c r="Y309" s="9"/>
    </row>
    <row r="310" spans="2:25">
      <c r="B310" s="9"/>
      <c r="C310" s="10">
        <f>Sheet1!C313</f>
        <v>12400</v>
      </c>
      <c r="D310" s="9">
        <f t="shared" si="42"/>
        <v>3.75</v>
      </c>
      <c r="E310" s="9">
        <v>3</v>
      </c>
      <c r="F310" s="9">
        <f t="shared" si="45"/>
        <v>1.94</v>
      </c>
      <c r="G310" s="9">
        <v>1.83</v>
      </c>
      <c r="H310" s="9">
        <v>0.85</v>
      </c>
      <c r="I310" s="9">
        <v>0.76</v>
      </c>
      <c r="J310" s="9">
        <v>1.4E-2</v>
      </c>
      <c r="K310" s="9">
        <f>Sheet1!K312</f>
        <v>2E-3</v>
      </c>
      <c r="L310" s="9" t="str">
        <f t="shared" si="46"/>
        <v>1/500</v>
      </c>
      <c r="M310" s="9">
        <v>1</v>
      </c>
      <c r="N310" s="9">
        <v>1.5</v>
      </c>
      <c r="O310" s="9">
        <f t="shared" si="47"/>
        <v>3.28</v>
      </c>
      <c r="P310" s="9">
        <f t="shared" si="48"/>
        <v>1.63</v>
      </c>
      <c r="Q310" s="9">
        <f t="shared" si="49"/>
        <v>3.55</v>
      </c>
      <c r="R310" s="9">
        <f t="shared" si="50"/>
        <v>1.93</v>
      </c>
      <c r="S310" s="9">
        <f t="shared" si="43"/>
        <v>0.45000000000000007</v>
      </c>
      <c r="T310" s="9">
        <v>1.3</v>
      </c>
      <c r="U310" s="9">
        <f t="shared" si="51"/>
        <v>4.9000000000000004</v>
      </c>
      <c r="V310" s="9">
        <f>Sheet1!E313</f>
        <v>1662.33</v>
      </c>
      <c r="W310" s="9">
        <f>Sheet1!G313</f>
        <v>1661.69</v>
      </c>
      <c r="X310" s="14">
        <f t="shared" si="44"/>
        <v>1662.45</v>
      </c>
      <c r="Y310" s="9"/>
    </row>
    <row r="311" spans="2:25">
      <c r="B311" s="9"/>
      <c r="C311" s="10">
        <f>Sheet1!C314</f>
        <v>12450</v>
      </c>
      <c r="D311" s="9">
        <f t="shared" si="42"/>
        <v>3.75</v>
      </c>
      <c r="E311" s="9">
        <v>3</v>
      </c>
      <c r="F311" s="9">
        <f t="shared" si="45"/>
        <v>1.94</v>
      </c>
      <c r="G311" s="9">
        <v>1.83</v>
      </c>
      <c r="H311" s="9">
        <v>0.85</v>
      </c>
      <c r="I311" s="9">
        <v>0.76</v>
      </c>
      <c r="J311" s="9">
        <v>1.4E-2</v>
      </c>
      <c r="K311" s="9">
        <f>Sheet1!K313</f>
        <v>2E-3</v>
      </c>
      <c r="L311" s="9" t="str">
        <f t="shared" si="46"/>
        <v>1/500</v>
      </c>
      <c r="M311" s="9">
        <v>1</v>
      </c>
      <c r="N311" s="9">
        <v>1.5</v>
      </c>
      <c r="O311" s="9">
        <f t="shared" si="47"/>
        <v>3.28</v>
      </c>
      <c r="P311" s="9">
        <f t="shared" si="48"/>
        <v>1.63</v>
      </c>
      <c r="Q311" s="9">
        <f t="shared" si="49"/>
        <v>3.55</v>
      </c>
      <c r="R311" s="9">
        <f t="shared" si="50"/>
        <v>1.93</v>
      </c>
      <c r="S311" s="9">
        <f t="shared" si="43"/>
        <v>0.45000000000000007</v>
      </c>
      <c r="T311" s="9">
        <v>1.3</v>
      </c>
      <c r="U311" s="9">
        <f t="shared" si="51"/>
        <v>4.9000000000000004</v>
      </c>
      <c r="V311" s="9">
        <f>Sheet1!E314</f>
        <v>1662.26</v>
      </c>
      <c r="W311" s="9">
        <f>Sheet1!G314</f>
        <v>1661.59</v>
      </c>
      <c r="X311" s="14">
        <f t="shared" si="44"/>
        <v>1662.35</v>
      </c>
      <c r="Y311" s="9"/>
    </row>
    <row r="312" spans="2:25">
      <c r="B312" s="9"/>
      <c r="C312" s="10">
        <f>Sheet1!C315</f>
        <v>12500</v>
      </c>
      <c r="D312" s="9">
        <f t="shared" si="42"/>
        <v>3.75</v>
      </c>
      <c r="E312" s="9">
        <v>3</v>
      </c>
      <c r="F312" s="9">
        <f t="shared" si="45"/>
        <v>1.94</v>
      </c>
      <c r="G312" s="9">
        <v>1.83</v>
      </c>
      <c r="H312" s="9">
        <v>0.85</v>
      </c>
      <c r="I312" s="9">
        <v>0.76</v>
      </c>
      <c r="J312" s="9">
        <v>1.4E-2</v>
      </c>
      <c r="K312" s="9">
        <f>Sheet1!K314</f>
        <v>2E-3</v>
      </c>
      <c r="L312" s="9" t="str">
        <f t="shared" si="46"/>
        <v>1/500</v>
      </c>
      <c r="M312" s="9">
        <v>1</v>
      </c>
      <c r="N312" s="9">
        <v>1.5</v>
      </c>
      <c r="O312" s="9">
        <f t="shared" si="47"/>
        <v>3.28</v>
      </c>
      <c r="P312" s="9">
        <f t="shared" si="48"/>
        <v>1.63</v>
      </c>
      <c r="Q312" s="9">
        <f t="shared" si="49"/>
        <v>3.55</v>
      </c>
      <c r="R312" s="9">
        <f t="shared" si="50"/>
        <v>1.93</v>
      </c>
      <c r="S312" s="9">
        <f t="shared" si="43"/>
        <v>0.45000000000000007</v>
      </c>
      <c r="T312" s="9">
        <v>1.3</v>
      </c>
      <c r="U312" s="9">
        <f t="shared" si="51"/>
        <v>4.9000000000000004</v>
      </c>
      <c r="V312" s="9">
        <f>Sheet1!E315</f>
        <v>1662.11</v>
      </c>
      <c r="W312" s="9">
        <f>Sheet1!G315</f>
        <v>1661.49</v>
      </c>
      <c r="X312" s="14">
        <f t="shared" si="44"/>
        <v>1662.25</v>
      </c>
      <c r="Y312" s="9"/>
    </row>
    <row r="313" spans="2:25">
      <c r="B313" s="9"/>
      <c r="C313" s="10">
        <f>Sheet1!C316</f>
        <v>12550</v>
      </c>
      <c r="D313" s="9">
        <f t="shared" si="42"/>
        <v>3.75</v>
      </c>
      <c r="E313" s="9">
        <v>3</v>
      </c>
      <c r="F313" s="9">
        <f t="shared" si="45"/>
        <v>1.94</v>
      </c>
      <c r="G313" s="9">
        <v>1.83</v>
      </c>
      <c r="H313" s="9">
        <v>0.85</v>
      </c>
      <c r="I313" s="9">
        <v>0.76</v>
      </c>
      <c r="J313" s="9">
        <v>1.4E-2</v>
      </c>
      <c r="K313" s="9">
        <f>Sheet1!K315</f>
        <v>2E-3</v>
      </c>
      <c r="L313" s="9" t="str">
        <f t="shared" si="46"/>
        <v>1/500</v>
      </c>
      <c r="M313" s="9">
        <v>1</v>
      </c>
      <c r="N313" s="9">
        <v>1.5</v>
      </c>
      <c r="O313" s="9">
        <f t="shared" si="47"/>
        <v>3.28</v>
      </c>
      <c r="P313" s="9">
        <f t="shared" si="48"/>
        <v>1.63</v>
      </c>
      <c r="Q313" s="9">
        <f t="shared" si="49"/>
        <v>3.55</v>
      </c>
      <c r="R313" s="9">
        <f t="shared" si="50"/>
        <v>1.93</v>
      </c>
      <c r="S313" s="9">
        <f t="shared" si="43"/>
        <v>0.45000000000000007</v>
      </c>
      <c r="T313" s="9">
        <v>1.3</v>
      </c>
      <c r="U313" s="9">
        <f t="shared" si="51"/>
        <v>4.9000000000000004</v>
      </c>
      <c r="V313" s="9">
        <f>Sheet1!E316</f>
        <v>1662.03</v>
      </c>
      <c r="W313" s="9">
        <f>Sheet1!G316</f>
        <v>1661.39</v>
      </c>
      <c r="X313" s="14">
        <f t="shared" si="44"/>
        <v>1662.15</v>
      </c>
      <c r="Y313" s="9"/>
    </row>
    <row r="314" spans="2:25">
      <c r="B314" s="9"/>
      <c r="C314" s="10">
        <f>Sheet1!C317</f>
        <v>12600</v>
      </c>
      <c r="D314" s="9">
        <f t="shared" si="42"/>
        <v>3.75</v>
      </c>
      <c r="E314" s="9">
        <v>3</v>
      </c>
      <c r="F314" s="9">
        <f t="shared" si="45"/>
        <v>1.94</v>
      </c>
      <c r="G314" s="9">
        <v>1.83</v>
      </c>
      <c r="H314" s="9">
        <v>0.85</v>
      </c>
      <c r="I314" s="9">
        <v>0.76</v>
      </c>
      <c r="J314" s="9">
        <v>1.4E-2</v>
      </c>
      <c r="K314" s="9">
        <f>Sheet1!K316</f>
        <v>2E-3</v>
      </c>
      <c r="L314" s="9" t="str">
        <f t="shared" si="46"/>
        <v>1/500</v>
      </c>
      <c r="M314" s="9">
        <v>1</v>
      </c>
      <c r="N314" s="9">
        <v>1.5</v>
      </c>
      <c r="O314" s="9">
        <f t="shared" si="47"/>
        <v>3.28</v>
      </c>
      <c r="P314" s="9">
        <f t="shared" si="48"/>
        <v>1.63</v>
      </c>
      <c r="Q314" s="9">
        <f t="shared" si="49"/>
        <v>3.55</v>
      </c>
      <c r="R314" s="9">
        <f t="shared" si="50"/>
        <v>1.93</v>
      </c>
      <c r="S314" s="9">
        <f t="shared" si="43"/>
        <v>0.45000000000000007</v>
      </c>
      <c r="T314" s="9">
        <v>1.3</v>
      </c>
      <c r="U314" s="9">
        <f t="shared" si="51"/>
        <v>4.9000000000000004</v>
      </c>
      <c r="V314" s="9">
        <f>Sheet1!E317</f>
        <v>1661.95</v>
      </c>
      <c r="W314" s="9">
        <f>Sheet1!G317</f>
        <v>1661.29</v>
      </c>
      <c r="X314" s="14">
        <f t="shared" si="44"/>
        <v>1662.05</v>
      </c>
      <c r="Y314" s="9"/>
    </row>
    <row r="315" spans="2:25">
      <c r="B315" s="9"/>
      <c r="C315" s="10">
        <f>Sheet1!C318</f>
        <v>12650</v>
      </c>
      <c r="D315" s="9">
        <f t="shared" si="42"/>
        <v>3.75</v>
      </c>
      <c r="E315" s="9">
        <v>3</v>
      </c>
      <c r="F315" s="9">
        <f t="shared" si="45"/>
        <v>1.94</v>
      </c>
      <c r="G315" s="9">
        <v>1.83</v>
      </c>
      <c r="H315" s="9">
        <v>0.85</v>
      </c>
      <c r="I315" s="9">
        <v>0.76</v>
      </c>
      <c r="J315" s="9">
        <v>1.4E-2</v>
      </c>
      <c r="K315" s="9">
        <f>Sheet1!K317</f>
        <v>2E-3</v>
      </c>
      <c r="L315" s="9" t="str">
        <f t="shared" si="46"/>
        <v>1/500</v>
      </c>
      <c r="M315" s="9">
        <v>1</v>
      </c>
      <c r="N315" s="9">
        <v>1.5</v>
      </c>
      <c r="O315" s="9">
        <f t="shared" si="47"/>
        <v>3.28</v>
      </c>
      <c r="P315" s="9">
        <f t="shared" si="48"/>
        <v>1.63</v>
      </c>
      <c r="Q315" s="9">
        <f t="shared" si="49"/>
        <v>3.55</v>
      </c>
      <c r="R315" s="9">
        <f t="shared" si="50"/>
        <v>1.93</v>
      </c>
      <c r="S315" s="9">
        <f t="shared" si="43"/>
        <v>0.45000000000000007</v>
      </c>
      <c r="T315" s="9">
        <v>1.3</v>
      </c>
      <c r="U315" s="9">
        <f t="shared" si="51"/>
        <v>4.9000000000000004</v>
      </c>
      <c r="V315" s="9">
        <f>Sheet1!E318</f>
        <v>1661.9</v>
      </c>
      <c r="W315" s="9">
        <f>Sheet1!G318</f>
        <v>1661.19</v>
      </c>
      <c r="X315" s="14">
        <f t="shared" si="44"/>
        <v>1661.95</v>
      </c>
      <c r="Y315" s="9"/>
    </row>
    <row r="316" spans="2:25">
      <c r="B316" s="9"/>
      <c r="C316" s="10">
        <f>Sheet1!C319</f>
        <v>12700</v>
      </c>
      <c r="D316" s="9">
        <f t="shared" si="42"/>
        <v>3.75</v>
      </c>
      <c r="E316" s="9">
        <v>3</v>
      </c>
      <c r="F316" s="9">
        <f t="shared" si="45"/>
        <v>1.94</v>
      </c>
      <c r="G316" s="9">
        <v>1.83</v>
      </c>
      <c r="H316" s="9">
        <v>0.85</v>
      </c>
      <c r="I316" s="9">
        <v>0.76</v>
      </c>
      <c r="J316" s="9">
        <v>1.4E-2</v>
      </c>
      <c r="K316" s="9">
        <f>Sheet1!K318</f>
        <v>2E-3</v>
      </c>
      <c r="L316" s="9" t="str">
        <f t="shared" si="46"/>
        <v>1/500</v>
      </c>
      <c r="M316" s="9">
        <v>1</v>
      </c>
      <c r="N316" s="9">
        <v>1.5</v>
      </c>
      <c r="O316" s="9">
        <f t="shared" si="47"/>
        <v>3.28</v>
      </c>
      <c r="P316" s="9">
        <f t="shared" si="48"/>
        <v>1.63</v>
      </c>
      <c r="Q316" s="9">
        <f t="shared" si="49"/>
        <v>3.55</v>
      </c>
      <c r="R316" s="9">
        <f t="shared" si="50"/>
        <v>1.93</v>
      </c>
      <c r="S316" s="9">
        <f t="shared" si="43"/>
        <v>0.45000000000000007</v>
      </c>
      <c r="T316" s="9">
        <v>1.3</v>
      </c>
      <c r="U316" s="9">
        <f t="shared" si="51"/>
        <v>4.9000000000000004</v>
      </c>
      <c r="V316" s="9">
        <f>Sheet1!E319</f>
        <v>1661.85</v>
      </c>
      <c r="W316" s="9">
        <f>Sheet1!G319</f>
        <v>1661.09</v>
      </c>
      <c r="X316" s="14">
        <f t="shared" si="44"/>
        <v>1661.85</v>
      </c>
      <c r="Y316" s="9"/>
    </row>
    <row r="317" spans="2:25">
      <c r="B317" s="9"/>
      <c r="C317" s="10">
        <f>Sheet1!C320</f>
        <v>12750</v>
      </c>
      <c r="D317" s="9">
        <f t="shared" si="42"/>
        <v>3.75</v>
      </c>
      <c r="E317" s="9">
        <v>3</v>
      </c>
      <c r="F317" s="9">
        <f t="shared" si="45"/>
        <v>1.94</v>
      </c>
      <c r="G317" s="9">
        <v>1.83</v>
      </c>
      <c r="H317" s="9">
        <v>0.85</v>
      </c>
      <c r="I317" s="9">
        <v>0.76</v>
      </c>
      <c r="J317" s="9">
        <v>1.4E-2</v>
      </c>
      <c r="K317" s="9">
        <f>Sheet1!K319</f>
        <v>2E-3</v>
      </c>
      <c r="L317" s="9" t="str">
        <f t="shared" si="46"/>
        <v>1/500</v>
      </c>
      <c r="M317" s="9">
        <v>1</v>
      </c>
      <c r="N317" s="9">
        <v>1.5</v>
      </c>
      <c r="O317" s="9">
        <f t="shared" si="47"/>
        <v>3.28</v>
      </c>
      <c r="P317" s="9">
        <f t="shared" si="48"/>
        <v>1.63</v>
      </c>
      <c r="Q317" s="9">
        <f t="shared" si="49"/>
        <v>3.55</v>
      </c>
      <c r="R317" s="9">
        <f t="shared" si="50"/>
        <v>1.93</v>
      </c>
      <c r="S317" s="9">
        <f t="shared" si="43"/>
        <v>0.45000000000000007</v>
      </c>
      <c r="T317" s="9">
        <v>1.3</v>
      </c>
      <c r="U317" s="9">
        <f t="shared" si="51"/>
        <v>4.9000000000000004</v>
      </c>
      <c r="V317" s="9">
        <f>Sheet1!E320</f>
        <v>1661.81</v>
      </c>
      <c r="W317" s="9">
        <f>Sheet1!G320</f>
        <v>1660.99</v>
      </c>
      <c r="X317" s="14">
        <f t="shared" si="44"/>
        <v>1661.75</v>
      </c>
      <c r="Y317" s="9"/>
    </row>
    <row r="318" spans="2:25">
      <c r="B318" s="9"/>
      <c r="C318" s="10">
        <f>Sheet1!C321</f>
        <v>12800</v>
      </c>
      <c r="D318" s="9">
        <f t="shared" si="42"/>
        <v>3.75</v>
      </c>
      <c r="E318" s="9">
        <v>3</v>
      </c>
      <c r="F318" s="9">
        <f t="shared" si="45"/>
        <v>1.94</v>
      </c>
      <c r="G318" s="9">
        <v>1.83</v>
      </c>
      <c r="H318" s="9">
        <v>0.85</v>
      </c>
      <c r="I318" s="9">
        <v>0.76</v>
      </c>
      <c r="J318" s="9">
        <v>1.4E-2</v>
      </c>
      <c r="K318" s="9">
        <f>Sheet1!K320</f>
        <v>2E-3</v>
      </c>
      <c r="L318" s="9" t="str">
        <f t="shared" si="46"/>
        <v>1/500</v>
      </c>
      <c r="M318" s="9">
        <v>1</v>
      </c>
      <c r="N318" s="9">
        <v>1.5</v>
      </c>
      <c r="O318" s="9">
        <f t="shared" si="47"/>
        <v>3.28</v>
      </c>
      <c r="P318" s="9">
        <f t="shared" si="48"/>
        <v>1.63</v>
      </c>
      <c r="Q318" s="9">
        <f t="shared" si="49"/>
        <v>3.55</v>
      </c>
      <c r="R318" s="9">
        <f t="shared" si="50"/>
        <v>1.93</v>
      </c>
      <c r="S318" s="9">
        <f t="shared" si="43"/>
        <v>0.45000000000000007</v>
      </c>
      <c r="T318" s="9">
        <v>1.3</v>
      </c>
      <c r="U318" s="9">
        <f t="shared" si="51"/>
        <v>4.9000000000000004</v>
      </c>
      <c r="V318" s="9">
        <f>Sheet1!E321</f>
        <v>1661.83</v>
      </c>
      <c r="W318" s="9">
        <f>Sheet1!G321</f>
        <v>1660.89</v>
      </c>
      <c r="X318" s="14">
        <f t="shared" si="44"/>
        <v>1661.65</v>
      </c>
      <c r="Y318" s="9"/>
    </row>
    <row r="319" spans="2:25">
      <c r="B319" s="9"/>
      <c r="C319" s="10">
        <f>Sheet1!C322</f>
        <v>12850</v>
      </c>
      <c r="D319" s="9">
        <f t="shared" si="42"/>
        <v>3.75</v>
      </c>
      <c r="E319" s="9">
        <v>3</v>
      </c>
      <c r="F319" s="9">
        <f t="shared" si="45"/>
        <v>1.94</v>
      </c>
      <c r="G319" s="9">
        <v>1.83</v>
      </c>
      <c r="H319" s="9">
        <v>0.85</v>
      </c>
      <c r="I319" s="9">
        <v>0.76</v>
      </c>
      <c r="J319" s="9">
        <v>1.4E-2</v>
      </c>
      <c r="K319" s="9">
        <f>Sheet1!K321</f>
        <v>2E-3</v>
      </c>
      <c r="L319" s="9" t="str">
        <f t="shared" si="46"/>
        <v>1/500</v>
      </c>
      <c r="M319" s="9">
        <v>1</v>
      </c>
      <c r="N319" s="9">
        <v>1.5</v>
      </c>
      <c r="O319" s="9">
        <f t="shared" si="47"/>
        <v>3.28</v>
      </c>
      <c r="P319" s="9">
        <f t="shared" si="48"/>
        <v>1.63</v>
      </c>
      <c r="Q319" s="9">
        <f t="shared" si="49"/>
        <v>3.55</v>
      </c>
      <c r="R319" s="9">
        <f t="shared" si="50"/>
        <v>1.93</v>
      </c>
      <c r="S319" s="9">
        <f t="shared" si="43"/>
        <v>0.45000000000000007</v>
      </c>
      <c r="T319" s="9">
        <v>1.3</v>
      </c>
      <c r="U319" s="9">
        <f t="shared" si="51"/>
        <v>4.9000000000000004</v>
      </c>
      <c r="V319" s="9">
        <f>Sheet1!E322</f>
        <v>1661.94</v>
      </c>
      <c r="W319" s="9">
        <f>Sheet1!G322</f>
        <v>1660.79</v>
      </c>
      <c r="X319" s="14">
        <f t="shared" si="44"/>
        <v>1661.55</v>
      </c>
      <c r="Y319" s="9"/>
    </row>
    <row r="320" spans="2:25">
      <c r="B320" s="9"/>
      <c r="C320" s="10">
        <f>Sheet1!C323</f>
        <v>12900</v>
      </c>
      <c r="D320" s="9">
        <f t="shared" si="42"/>
        <v>3.75</v>
      </c>
      <c r="E320" s="9">
        <v>3</v>
      </c>
      <c r="F320" s="9">
        <f t="shared" si="45"/>
        <v>1.94</v>
      </c>
      <c r="G320" s="9">
        <v>1.83</v>
      </c>
      <c r="H320" s="9">
        <v>0.85</v>
      </c>
      <c r="I320" s="9">
        <v>0.76</v>
      </c>
      <c r="J320" s="9">
        <v>1.4E-2</v>
      </c>
      <c r="K320" s="9">
        <f>Sheet1!K322</f>
        <v>2E-3</v>
      </c>
      <c r="L320" s="9" t="str">
        <f t="shared" si="46"/>
        <v>1/500</v>
      </c>
      <c r="M320" s="9">
        <v>1</v>
      </c>
      <c r="N320" s="9">
        <v>1.5</v>
      </c>
      <c r="O320" s="9">
        <f t="shared" si="47"/>
        <v>3.28</v>
      </c>
      <c r="P320" s="9">
        <f t="shared" si="48"/>
        <v>1.63</v>
      </c>
      <c r="Q320" s="9">
        <f t="shared" si="49"/>
        <v>3.55</v>
      </c>
      <c r="R320" s="9">
        <f t="shared" si="50"/>
        <v>1.93</v>
      </c>
      <c r="S320" s="9">
        <f t="shared" si="43"/>
        <v>0.45000000000000007</v>
      </c>
      <c r="T320" s="9">
        <v>1.3</v>
      </c>
      <c r="U320" s="9">
        <f t="shared" si="51"/>
        <v>4.9000000000000004</v>
      </c>
      <c r="V320" s="9">
        <f>Sheet1!E323</f>
        <v>1661.71</v>
      </c>
      <c r="W320" s="9">
        <f>Sheet1!G323</f>
        <v>1660.69</v>
      </c>
      <c r="X320" s="14">
        <f t="shared" si="44"/>
        <v>1661.45</v>
      </c>
      <c r="Y320" s="9"/>
    </row>
    <row r="321" spans="2:33">
      <c r="B321" s="9"/>
      <c r="C321" s="10">
        <f>Sheet1!C324</f>
        <v>12950</v>
      </c>
      <c r="D321" s="9">
        <f t="shared" si="42"/>
        <v>3.75</v>
      </c>
      <c r="E321" s="9">
        <v>3</v>
      </c>
      <c r="F321" s="9">
        <f t="shared" si="45"/>
        <v>1.94</v>
      </c>
      <c r="G321" s="9">
        <v>1.83</v>
      </c>
      <c r="H321" s="9">
        <v>0.85</v>
      </c>
      <c r="I321" s="9">
        <v>0.76</v>
      </c>
      <c r="J321" s="9">
        <v>1.4E-2</v>
      </c>
      <c r="K321" s="9">
        <f>Sheet1!K323</f>
        <v>2E-3</v>
      </c>
      <c r="L321" s="9" t="str">
        <f t="shared" si="46"/>
        <v>1/500</v>
      </c>
      <c r="M321" s="9">
        <v>1</v>
      </c>
      <c r="N321" s="9">
        <v>1.5</v>
      </c>
      <c r="O321" s="9">
        <f t="shared" si="47"/>
        <v>3.28</v>
      </c>
      <c r="P321" s="9">
        <f t="shared" si="48"/>
        <v>1.63</v>
      </c>
      <c r="Q321" s="9">
        <f t="shared" si="49"/>
        <v>3.55</v>
      </c>
      <c r="R321" s="9">
        <f t="shared" si="50"/>
        <v>1.93</v>
      </c>
      <c r="S321" s="9">
        <f t="shared" si="43"/>
        <v>0.45000000000000007</v>
      </c>
      <c r="T321" s="9">
        <v>1.3</v>
      </c>
      <c r="U321" s="9">
        <f t="shared" si="51"/>
        <v>4.9000000000000004</v>
      </c>
      <c r="V321" s="9">
        <f>Sheet1!E324</f>
        <v>1661.7</v>
      </c>
      <c r="W321" s="9">
        <f>Sheet1!G324</f>
        <v>1660.59</v>
      </c>
      <c r="X321" s="14">
        <f t="shared" si="44"/>
        <v>1661.35</v>
      </c>
      <c r="Y321" s="9"/>
    </row>
    <row r="322" spans="2:33">
      <c r="B322" s="9"/>
      <c r="C322" s="10">
        <f>Sheet1!C325</f>
        <v>13000</v>
      </c>
      <c r="D322" s="9">
        <f t="shared" si="42"/>
        <v>3.75</v>
      </c>
      <c r="E322" s="9">
        <v>3</v>
      </c>
      <c r="F322" s="9">
        <f t="shared" si="45"/>
        <v>1.94</v>
      </c>
      <c r="G322" s="9">
        <v>1.83</v>
      </c>
      <c r="H322" s="9">
        <v>0.85</v>
      </c>
      <c r="I322" s="9">
        <v>0.76</v>
      </c>
      <c r="J322" s="9">
        <v>1.4E-2</v>
      </c>
      <c r="K322" s="9">
        <f>Sheet1!K324</f>
        <v>2E-3</v>
      </c>
      <c r="L322" s="9" t="str">
        <f t="shared" si="46"/>
        <v>1/500</v>
      </c>
      <c r="M322" s="9">
        <v>1</v>
      </c>
      <c r="N322" s="9">
        <v>1.5</v>
      </c>
      <c r="O322" s="9">
        <f t="shared" si="47"/>
        <v>3.28</v>
      </c>
      <c r="P322" s="9">
        <f t="shared" si="48"/>
        <v>1.63</v>
      </c>
      <c r="Q322" s="9">
        <f t="shared" si="49"/>
        <v>3.55</v>
      </c>
      <c r="R322" s="9">
        <f t="shared" si="50"/>
        <v>1.93</v>
      </c>
      <c r="S322" s="9">
        <f t="shared" si="43"/>
        <v>0.45000000000000007</v>
      </c>
      <c r="T322" s="9">
        <v>1.3</v>
      </c>
      <c r="U322" s="9">
        <f t="shared" si="51"/>
        <v>4.9000000000000004</v>
      </c>
      <c r="V322" s="9">
        <f>Sheet1!E325</f>
        <v>1661.43</v>
      </c>
      <c r="W322" s="9">
        <f>Sheet1!G325</f>
        <v>1660.49</v>
      </c>
      <c r="X322" s="14">
        <f t="shared" si="44"/>
        <v>1661.25</v>
      </c>
      <c r="Y322" s="9"/>
    </row>
    <row r="323" spans="2:33">
      <c r="B323" s="9"/>
      <c r="C323" s="10">
        <f>Sheet1!C326</f>
        <v>13050</v>
      </c>
      <c r="D323" s="9">
        <f t="shared" si="42"/>
        <v>3.75</v>
      </c>
      <c r="E323" s="9">
        <v>3</v>
      </c>
      <c r="F323" s="9">
        <f t="shared" si="45"/>
        <v>1.94</v>
      </c>
      <c r="G323" s="9">
        <v>1.83</v>
      </c>
      <c r="H323" s="9">
        <v>0.85</v>
      </c>
      <c r="I323" s="9">
        <v>0.76</v>
      </c>
      <c r="J323" s="9">
        <v>1.4E-2</v>
      </c>
      <c r="K323" s="9">
        <f>Sheet1!K325</f>
        <v>2E-3</v>
      </c>
      <c r="L323" s="9" t="str">
        <f t="shared" si="46"/>
        <v>1/500</v>
      </c>
      <c r="M323" s="9">
        <v>1</v>
      </c>
      <c r="N323" s="9">
        <v>1.5</v>
      </c>
      <c r="O323" s="9">
        <f t="shared" si="47"/>
        <v>3.28</v>
      </c>
      <c r="P323" s="9">
        <f t="shared" si="48"/>
        <v>1.63</v>
      </c>
      <c r="Q323" s="9">
        <f t="shared" si="49"/>
        <v>3.55</v>
      </c>
      <c r="R323" s="9">
        <f t="shared" si="50"/>
        <v>1.93</v>
      </c>
      <c r="S323" s="9">
        <f t="shared" si="43"/>
        <v>0.45000000000000007</v>
      </c>
      <c r="T323" s="9">
        <v>1.3</v>
      </c>
      <c r="U323" s="9">
        <f t="shared" si="51"/>
        <v>4.9000000000000004</v>
      </c>
      <c r="V323" s="9">
        <f>Sheet1!E326</f>
        <v>1661.07</v>
      </c>
      <c r="W323" s="9">
        <f>Sheet1!G326</f>
        <v>1660.39</v>
      </c>
      <c r="X323" s="14">
        <f t="shared" si="44"/>
        <v>1661.15</v>
      </c>
      <c r="Y323" s="9"/>
    </row>
    <row r="324" spans="2:33">
      <c r="B324" s="9"/>
      <c r="C324" s="10">
        <f>Sheet1!C327</f>
        <v>13100</v>
      </c>
      <c r="D324" s="9">
        <f t="shared" ref="D324:D328" si="52">E324*1.25</f>
        <v>3.75</v>
      </c>
      <c r="E324" s="9">
        <v>3</v>
      </c>
      <c r="F324" s="9">
        <f t="shared" si="45"/>
        <v>1.94</v>
      </c>
      <c r="G324" s="9">
        <v>1.83</v>
      </c>
      <c r="H324" s="9">
        <v>0.85</v>
      </c>
      <c r="I324" s="9">
        <v>0.76</v>
      </c>
      <c r="J324" s="9">
        <v>1.4E-2</v>
      </c>
      <c r="K324" s="9">
        <f>Sheet1!K326</f>
        <v>2E-3</v>
      </c>
      <c r="L324" s="9" t="str">
        <f t="shared" si="46"/>
        <v>1/500</v>
      </c>
      <c r="M324" s="9">
        <v>1</v>
      </c>
      <c r="N324" s="9">
        <v>1.5</v>
      </c>
      <c r="O324" s="9">
        <f t="shared" si="47"/>
        <v>3.28</v>
      </c>
      <c r="P324" s="9">
        <f t="shared" si="48"/>
        <v>1.63</v>
      </c>
      <c r="Q324" s="9">
        <f t="shared" si="49"/>
        <v>3.55</v>
      </c>
      <c r="R324" s="9">
        <f t="shared" si="50"/>
        <v>1.93</v>
      </c>
      <c r="S324" s="9">
        <f t="shared" si="43"/>
        <v>0.45000000000000007</v>
      </c>
      <c r="T324" s="9">
        <v>1.3</v>
      </c>
      <c r="U324" s="9">
        <f t="shared" si="51"/>
        <v>4.9000000000000004</v>
      </c>
      <c r="V324" s="9">
        <f>Sheet1!E327</f>
        <v>1661.02</v>
      </c>
      <c r="W324" s="9">
        <f>Sheet1!G327</f>
        <v>1660.29</v>
      </c>
      <c r="X324" s="14">
        <f t="shared" si="44"/>
        <v>1661.05</v>
      </c>
      <c r="Y324" s="9"/>
    </row>
    <row r="325" spans="2:33">
      <c r="B325" s="9"/>
      <c r="C325" s="10">
        <f>Sheet1!C328</f>
        <v>13150</v>
      </c>
      <c r="D325" s="9">
        <f t="shared" si="52"/>
        <v>3.75</v>
      </c>
      <c r="E325" s="9">
        <v>3</v>
      </c>
      <c r="F325" s="9">
        <f t="shared" si="45"/>
        <v>1.94</v>
      </c>
      <c r="G325" s="9">
        <v>1.83</v>
      </c>
      <c r="H325" s="9">
        <v>0.85</v>
      </c>
      <c r="I325" s="9">
        <v>0.76</v>
      </c>
      <c r="J325" s="9">
        <v>1.4E-2</v>
      </c>
      <c r="K325" s="9">
        <f>Sheet1!K327</f>
        <v>2E-3</v>
      </c>
      <c r="L325" s="9" t="str">
        <f t="shared" si="46"/>
        <v>1/500</v>
      </c>
      <c r="M325" s="9">
        <v>1</v>
      </c>
      <c r="N325" s="9">
        <v>1.5</v>
      </c>
      <c r="O325" s="9">
        <f t="shared" si="47"/>
        <v>3.28</v>
      </c>
      <c r="P325" s="9">
        <f t="shared" si="48"/>
        <v>1.63</v>
      </c>
      <c r="Q325" s="9">
        <f t="shared" si="49"/>
        <v>3.55</v>
      </c>
      <c r="R325" s="9">
        <f t="shared" si="50"/>
        <v>1.93</v>
      </c>
      <c r="S325" s="9">
        <f t="shared" ref="S325:S328" si="53">T325-H325</f>
        <v>0.45000000000000007</v>
      </c>
      <c r="T325" s="9">
        <v>1.3</v>
      </c>
      <c r="U325" s="9">
        <f t="shared" si="51"/>
        <v>4.9000000000000004</v>
      </c>
      <c r="V325" s="9">
        <f>Sheet1!E328</f>
        <v>1660.97</v>
      </c>
      <c r="W325" s="9">
        <f>Sheet1!G328</f>
        <v>1660.19</v>
      </c>
      <c r="X325" s="14">
        <f t="shared" ref="X325:X328" si="54">W325+I325</f>
        <v>1660.95</v>
      </c>
      <c r="Y325" s="9"/>
    </row>
    <row r="326" spans="2:33">
      <c r="B326" s="9"/>
      <c r="C326" s="10">
        <f>Sheet1!C329</f>
        <v>13200</v>
      </c>
      <c r="D326" s="9">
        <f t="shared" si="52"/>
        <v>3.75</v>
      </c>
      <c r="E326" s="9">
        <v>3</v>
      </c>
      <c r="F326" s="9">
        <f t="shared" ref="F326:F328" si="55">ROUND(D326/R326,2)</f>
        <v>1.94</v>
      </c>
      <c r="G326" s="9">
        <v>1.83</v>
      </c>
      <c r="H326" s="9">
        <v>0.85</v>
      </c>
      <c r="I326" s="9">
        <v>0.76</v>
      </c>
      <c r="J326" s="9">
        <v>1.4E-2</v>
      </c>
      <c r="K326" s="9">
        <f>Sheet1!K328</f>
        <v>2E-3</v>
      </c>
      <c r="L326" s="9" t="str">
        <f t="shared" ref="L326:L328" si="56">"1/"&amp;ROUND(1/K326,0)</f>
        <v>1/500</v>
      </c>
      <c r="M326" s="9">
        <v>1</v>
      </c>
      <c r="N326" s="9">
        <v>1.5</v>
      </c>
      <c r="O326" s="9">
        <f t="shared" ref="O326:O328" si="57">ROUND(M326+2*N326*I326,2)</f>
        <v>3.28</v>
      </c>
      <c r="P326" s="9">
        <f t="shared" ref="P326:P328" si="58">ROUND((O326+M326)*I326/2,2)</f>
        <v>1.63</v>
      </c>
      <c r="Q326" s="9">
        <f t="shared" ref="Q326:Q328" si="59">ROUND(M326+N326*2*H326,2)</f>
        <v>3.55</v>
      </c>
      <c r="R326" s="9">
        <f t="shared" ref="R326:R328" si="60">ROUND((M326+Q326)*H326/2,2)</f>
        <v>1.93</v>
      </c>
      <c r="S326" s="9">
        <f t="shared" si="53"/>
        <v>0.45000000000000007</v>
      </c>
      <c r="T326" s="9">
        <v>1.3</v>
      </c>
      <c r="U326" s="9">
        <f t="shared" si="51"/>
        <v>4.9000000000000004</v>
      </c>
      <c r="V326" s="9">
        <f>Sheet1!E329</f>
        <v>1660.9</v>
      </c>
      <c r="W326" s="9">
        <f>Sheet1!G329</f>
        <v>1660.09</v>
      </c>
      <c r="X326" s="14">
        <f t="shared" si="54"/>
        <v>1660.85</v>
      </c>
      <c r="Y326" s="9"/>
    </row>
    <row r="327" spans="2:33">
      <c r="B327" s="9"/>
      <c r="C327" s="10">
        <f>Sheet1!C330</f>
        <v>13250</v>
      </c>
      <c r="D327" s="9">
        <f t="shared" si="52"/>
        <v>3.75</v>
      </c>
      <c r="E327" s="9">
        <v>3</v>
      </c>
      <c r="F327" s="9">
        <f t="shared" si="55"/>
        <v>1.94</v>
      </c>
      <c r="G327" s="9">
        <v>1.83</v>
      </c>
      <c r="H327" s="9">
        <v>0.85</v>
      </c>
      <c r="I327" s="9">
        <v>0.76</v>
      </c>
      <c r="J327" s="9">
        <v>1.4E-2</v>
      </c>
      <c r="K327" s="9">
        <f>Sheet1!K329</f>
        <v>2E-3</v>
      </c>
      <c r="L327" s="9" t="str">
        <f t="shared" si="56"/>
        <v>1/500</v>
      </c>
      <c r="M327" s="9">
        <v>1</v>
      </c>
      <c r="N327" s="9">
        <v>1.5</v>
      </c>
      <c r="O327" s="9">
        <f t="shared" si="57"/>
        <v>3.28</v>
      </c>
      <c r="P327" s="9">
        <f t="shared" si="58"/>
        <v>1.63</v>
      </c>
      <c r="Q327" s="9">
        <f t="shared" si="59"/>
        <v>3.55</v>
      </c>
      <c r="R327" s="9">
        <f t="shared" si="60"/>
        <v>1.93</v>
      </c>
      <c r="S327" s="9">
        <f t="shared" si="53"/>
        <v>0.45000000000000007</v>
      </c>
      <c r="T327" s="9">
        <v>1.3</v>
      </c>
      <c r="U327" s="9">
        <f t="shared" si="51"/>
        <v>4.9000000000000004</v>
      </c>
      <c r="V327" s="9">
        <f>Sheet1!E330</f>
        <v>1660.91</v>
      </c>
      <c r="W327" s="9">
        <f>Sheet1!G330</f>
        <v>1659.99</v>
      </c>
      <c r="X327" s="14">
        <f t="shared" si="54"/>
        <v>1660.75</v>
      </c>
      <c r="Y327" s="9"/>
    </row>
    <row r="328" spans="2:33">
      <c r="B328" s="12" t="s">
        <v>373</v>
      </c>
      <c r="C328" s="10">
        <f>Sheet1!C331</f>
        <v>13283</v>
      </c>
      <c r="D328" s="9">
        <f t="shared" si="52"/>
        <v>3.75</v>
      </c>
      <c r="E328" s="9">
        <v>3</v>
      </c>
      <c r="F328" s="9">
        <f t="shared" si="55"/>
        <v>1.94</v>
      </c>
      <c r="G328" s="9">
        <v>1.83</v>
      </c>
      <c r="H328" s="9">
        <v>0.85</v>
      </c>
      <c r="I328" s="9">
        <v>0.76</v>
      </c>
      <c r="J328" s="9">
        <v>1.014</v>
      </c>
      <c r="K328" s="9">
        <f>Sheet1!K330</f>
        <v>2E-3</v>
      </c>
      <c r="L328" s="9" t="str">
        <f t="shared" si="56"/>
        <v>1/500</v>
      </c>
      <c r="M328" s="9">
        <v>1</v>
      </c>
      <c r="N328" s="9">
        <v>1.5</v>
      </c>
      <c r="O328" s="9">
        <f t="shared" si="57"/>
        <v>3.28</v>
      </c>
      <c r="P328" s="9">
        <f t="shared" si="58"/>
        <v>1.63</v>
      </c>
      <c r="Q328" s="9">
        <f t="shared" si="59"/>
        <v>3.55</v>
      </c>
      <c r="R328" s="9">
        <f t="shared" si="60"/>
        <v>1.93</v>
      </c>
      <c r="S328" s="9">
        <f t="shared" si="53"/>
        <v>0.45000000000000007</v>
      </c>
      <c r="T328" s="9">
        <v>1.3</v>
      </c>
      <c r="U328" s="9">
        <f t="shared" si="51"/>
        <v>4.9000000000000004</v>
      </c>
      <c r="V328" s="9">
        <f>Sheet1!E331</f>
        <v>1660.9</v>
      </c>
      <c r="W328" s="9">
        <f>Sheet1!G331</f>
        <v>1659.92</v>
      </c>
      <c r="X328" s="14">
        <f t="shared" si="54"/>
        <v>1660.68</v>
      </c>
      <c r="Y328" s="12" t="s">
        <v>373</v>
      </c>
    </row>
    <row r="330" spans="2:33">
      <c r="C330" s="43" t="s">
        <v>336</v>
      </c>
      <c r="D330" s="43" t="s">
        <v>337</v>
      </c>
      <c r="E330" s="43"/>
      <c r="F330" s="43" t="s">
        <v>338</v>
      </c>
      <c r="G330" s="43"/>
      <c r="H330" s="43" t="s">
        <v>339</v>
      </c>
      <c r="I330" s="43"/>
      <c r="J330" s="9" t="s">
        <v>340</v>
      </c>
      <c r="K330" s="9" t="s">
        <v>289</v>
      </c>
      <c r="L330" s="9" t="s">
        <v>302</v>
      </c>
      <c r="M330" s="9" t="s">
        <v>342</v>
      </c>
      <c r="N330" s="43" t="s">
        <v>786</v>
      </c>
      <c r="O330" s="43"/>
      <c r="P330" s="43" t="s">
        <v>793</v>
      </c>
      <c r="Q330" s="43"/>
      <c r="R330" s="43" t="s">
        <v>794</v>
      </c>
      <c r="S330" s="43"/>
      <c r="T330" s="9" t="s">
        <v>789</v>
      </c>
      <c r="U330" s="9" t="s">
        <v>790</v>
      </c>
    </row>
    <row r="331" spans="2:33" ht="15.6">
      <c r="C331" s="43"/>
      <c r="D331" s="9" t="s">
        <v>349</v>
      </c>
      <c r="E331" s="9" t="s">
        <v>348</v>
      </c>
      <c r="F331" s="9" t="s">
        <v>351</v>
      </c>
      <c r="G331" s="9" t="s">
        <v>352</v>
      </c>
      <c r="H331" s="9" t="s">
        <v>353</v>
      </c>
      <c r="I331" s="9" t="s">
        <v>354</v>
      </c>
      <c r="J331" s="9" t="s">
        <v>309</v>
      </c>
      <c r="K331" s="9" t="s">
        <v>308</v>
      </c>
      <c r="L331" s="9" t="s">
        <v>306</v>
      </c>
      <c r="M331" s="9" t="s">
        <v>307</v>
      </c>
      <c r="N331" s="9" t="s">
        <v>787</v>
      </c>
      <c r="O331" s="9" t="s">
        <v>788</v>
      </c>
      <c r="P331" s="9" t="s">
        <v>798</v>
      </c>
      <c r="Q331" s="9" t="s">
        <v>799</v>
      </c>
      <c r="R331" s="9" t="s">
        <v>800</v>
      </c>
      <c r="S331" s="9" t="s">
        <v>801</v>
      </c>
      <c r="T331" s="9" t="s">
        <v>792</v>
      </c>
      <c r="U331" s="9" t="s">
        <v>791</v>
      </c>
      <c r="X331" s="43" t="s">
        <v>879</v>
      </c>
      <c r="Y331" s="43" t="s">
        <v>826</v>
      </c>
      <c r="Z331" s="43"/>
      <c r="AA331" s="43" t="s">
        <v>827</v>
      </c>
      <c r="AB331" s="43"/>
      <c r="AC331" s="43" t="s">
        <v>828</v>
      </c>
      <c r="AD331" s="43"/>
      <c r="AE331" s="43" t="s">
        <v>830</v>
      </c>
      <c r="AF331" s="43" t="s">
        <v>829</v>
      </c>
      <c r="AG331" s="40" t="s">
        <v>831</v>
      </c>
    </row>
    <row r="332" spans="2:33" ht="16.2">
      <c r="C332" s="9" t="s">
        <v>356</v>
      </c>
      <c r="D332" s="9" t="s">
        <v>358</v>
      </c>
      <c r="E332" s="9" t="s">
        <v>358</v>
      </c>
      <c r="F332" s="9" t="s">
        <v>357</v>
      </c>
      <c r="G332" s="9" t="s">
        <v>357</v>
      </c>
      <c r="H332" s="9" t="s">
        <v>307</v>
      </c>
      <c r="I332" s="9" t="s">
        <v>307</v>
      </c>
      <c r="J332" s="9"/>
      <c r="K332" s="9"/>
      <c r="L332" s="9" t="s">
        <v>795</v>
      </c>
      <c r="M332" s="9"/>
      <c r="N332" s="9" t="s">
        <v>796</v>
      </c>
      <c r="O332" s="9" t="s">
        <v>796</v>
      </c>
      <c r="P332" s="9" t="s">
        <v>797</v>
      </c>
      <c r="Q332" s="9"/>
      <c r="R332" s="9" t="s">
        <v>797</v>
      </c>
      <c r="S332" s="9"/>
      <c r="T332" s="9" t="s">
        <v>797</v>
      </c>
      <c r="U332" s="9" t="s">
        <v>797</v>
      </c>
      <c r="X332" s="43"/>
      <c r="Y332" s="43"/>
      <c r="Z332" s="43"/>
      <c r="AA332" s="9" t="s">
        <v>349</v>
      </c>
      <c r="AB332" s="9" t="s">
        <v>348</v>
      </c>
      <c r="AC332" s="9" t="s">
        <v>869</v>
      </c>
      <c r="AD332" s="9" t="s">
        <v>352</v>
      </c>
      <c r="AE332" s="43"/>
      <c r="AF332" s="43"/>
      <c r="AG332" s="42"/>
    </row>
    <row r="333" spans="2:33" ht="16.2">
      <c r="C333" s="10">
        <f>C5</f>
        <v>30</v>
      </c>
      <c r="D333" s="9">
        <f>D5</f>
        <v>3.75</v>
      </c>
      <c r="E333" s="9">
        <f t="shared" ref="E333:I333" si="61">E5</f>
        <v>3</v>
      </c>
      <c r="F333" s="9">
        <f t="shared" si="61"/>
        <v>1.97</v>
      </c>
      <c r="G333" s="9">
        <f t="shared" si="61"/>
        <v>1.88</v>
      </c>
      <c r="H333" s="9">
        <f t="shared" si="61"/>
        <v>1.1200000000000001</v>
      </c>
      <c r="I333" s="9">
        <f t="shared" si="61"/>
        <v>0.87</v>
      </c>
      <c r="J333" s="9">
        <f>J5</f>
        <v>1.4E-2</v>
      </c>
      <c r="K333" s="9" t="str">
        <f>L5</f>
        <v>1/500</v>
      </c>
      <c r="L333" s="9">
        <f>M5</f>
        <v>1.7</v>
      </c>
      <c r="M333" s="9">
        <f>N5</f>
        <v>0</v>
      </c>
      <c r="N333" s="9">
        <f>ROUND(D333/F333,2)</f>
        <v>1.9</v>
      </c>
      <c r="O333" s="9">
        <f>ROUND(E333/G333,2)</f>
        <v>1.6</v>
      </c>
      <c r="P333" s="9">
        <f>L333+2*H333*(1+M333*M333)^0.5</f>
        <v>3.9400000000000004</v>
      </c>
      <c r="Q333" s="9">
        <f>L333+2*I333*(1+M333*M333)^0.5</f>
        <v>3.44</v>
      </c>
      <c r="R333" s="9">
        <f>ROUND(N333/P333,2)</f>
        <v>0.48</v>
      </c>
      <c r="S333" s="9">
        <f>ROUND(O333/Q333,2)</f>
        <v>0.47</v>
      </c>
      <c r="T333" s="9">
        <f>S5</f>
        <v>0.48</v>
      </c>
      <c r="U333" s="9">
        <f>T5</f>
        <v>1.6</v>
      </c>
      <c r="X333" s="43"/>
      <c r="Y333" s="43" t="s">
        <v>871</v>
      </c>
      <c r="Z333" s="43"/>
      <c r="AA333" s="9" t="s">
        <v>866</v>
      </c>
      <c r="AB333" s="9" t="s">
        <v>866</v>
      </c>
      <c r="AC333" s="9" t="s">
        <v>867</v>
      </c>
      <c r="AD333" s="9" t="s">
        <v>867</v>
      </c>
      <c r="AE333" s="9" t="s">
        <v>867</v>
      </c>
      <c r="AF333" s="9" t="s">
        <v>867</v>
      </c>
      <c r="AG333" s="41"/>
    </row>
    <row r="334" spans="2:33">
      <c r="C334" s="10">
        <f t="shared" ref="C334:J334" si="62">C9</f>
        <v>200</v>
      </c>
      <c r="D334" s="9">
        <f t="shared" si="62"/>
        <v>3.75</v>
      </c>
      <c r="E334" s="9">
        <f t="shared" si="62"/>
        <v>3</v>
      </c>
      <c r="F334" s="9">
        <f t="shared" si="62"/>
        <v>1.97</v>
      </c>
      <c r="G334" s="9">
        <f t="shared" si="62"/>
        <v>1.88</v>
      </c>
      <c r="H334" s="9">
        <f t="shared" si="62"/>
        <v>1.1200000000000001</v>
      </c>
      <c r="I334" s="9">
        <f t="shared" si="62"/>
        <v>0.87</v>
      </c>
      <c r="J334" s="9">
        <f t="shared" si="62"/>
        <v>1.4E-2</v>
      </c>
      <c r="K334" s="9" t="str">
        <f>L9</f>
        <v>1/500</v>
      </c>
      <c r="L334" s="9">
        <f>M9</f>
        <v>1.7</v>
      </c>
      <c r="M334" s="9">
        <f>N9</f>
        <v>0</v>
      </c>
      <c r="N334" s="9">
        <f t="shared" ref="N334:N335" si="63">ROUND(D334/F334,2)</f>
        <v>1.9</v>
      </c>
      <c r="O334" s="9">
        <f t="shared" ref="O334:O335" si="64">ROUND(E334/G334,2)</f>
        <v>1.6</v>
      </c>
      <c r="P334" s="9">
        <f t="shared" ref="P334:P335" si="65">L334+2*H334*(1+M334*M334)^0.5</f>
        <v>3.9400000000000004</v>
      </c>
      <c r="Q334" s="9">
        <f t="shared" ref="Q334:Q335" si="66">L334+2*I334*(1+M334*M334)^0.5</f>
        <v>3.44</v>
      </c>
      <c r="R334" s="9">
        <f t="shared" ref="R334:R335" si="67">ROUND(N334/P334,2)</f>
        <v>0.48</v>
      </c>
      <c r="S334" s="9">
        <f t="shared" ref="S334:S335" si="68">ROUND(O334/Q334,2)</f>
        <v>0.47</v>
      </c>
      <c r="T334" s="9">
        <f t="shared" ref="T334:U334" si="69">S9</f>
        <v>0.48</v>
      </c>
      <c r="U334" s="9">
        <f t="shared" si="69"/>
        <v>1.6</v>
      </c>
      <c r="X334" s="9" t="s">
        <v>868</v>
      </c>
      <c r="Y334" s="10">
        <f>C4</f>
        <v>0</v>
      </c>
      <c r="Z334" s="10">
        <f>C328</f>
        <v>13283</v>
      </c>
      <c r="AA334" s="9">
        <v>3.75</v>
      </c>
      <c r="AB334" s="9">
        <v>3</v>
      </c>
      <c r="AC334" s="9">
        <v>1.97</v>
      </c>
      <c r="AD334" s="9">
        <v>1.41</v>
      </c>
      <c r="AE334" s="9">
        <v>3</v>
      </c>
      <c r="AF334" s="9">
        <f>ROUND(0.4*AB334^0.5,2)</f>
        <v>0.69</v>
      </c>
      <c r="AG334" s="9" t="s">
        <v>880</v>
      </c>
    </row>
    <row r="335" spans="2:33">
      <c r="C335" s="10">
        <f t="shared" ref="C335:J335" si="70">C15</f>
        <v>400</v>
      </c>
      <c r="D335" s="9">
        <f t="shared" si="70"/>
        <v>3.75</v>
      </c>
      <c r="E335" s="9">
        <f t="shared" si="70"/>
        <v>3</v>
      </c>
      <c r="F335" s="9">
        <f t="shared" si="70"/>
        <v>1.97</v>
      </c>
      <c r="G335" s="9">
        <f t="shared" si="70"/>
        <v>1.88</v>
      </c>
      <c r="H335" s="9">
        <f t="shared" si="70"/>
        <v>1.1200000000000001</v>
      </c>
      <c r="I335" s="9">
        <f t="shared" si="70"/>
        <v>0.87</v>
      </c>
      <c r="J335" s="9">
        <f t="shared" si="70"/>
        <v>1.4E-2</v>
      </c>
      <c r="K335" s="9" t="str">
        <f>L15</f>
        <v>1/500</v>
      </c>
      <c r="L335" s="9">
        <f>M15</f>
        <v>1.7</v>
      </c>
      <c r="M335" s="9">
        <f>N15</f>
        <v>0</v>
      </c>
      <c r="N335" s="9">
        <f t="shared" si="63"/>
        <v>1.9</v>
      </c>
      <c r="O335" s="9">
        <f t="shared" si="64"/>
        <v>1.6</v>
      </c>
      <c r="P335" s="9">
        <f t="shared" si="65"/>
        <v>3.9400000000000004</v>
      </c>
      <c r="Q335" s="9">
        <f t="shared" si="66"/>
        <v>3.44</v>
      </c>
      <c r="R335" s="9">
        <f t="shared" si="67"/>
        <v>0.48</v>
      </c>
      <c r="S335" s="9">
        <f t="shared" si="68"/>
        <v>0.47</v>
      </c>
      <c r="T335" s="9">
        <f t="shared" ref="T335:U335" si="71">S15</f>
        <v>0.48</v>
      </c>
      <c r="U335" s="9">
        <f t="shared" si="71"/>
        <v>1.6</v>
      </c>
      <c r="X335" s="43" t="s">
        <v>870</v>
      </c>
      <c r="Y335" s="10">
        <v>0</v>
      </c>
      <c r="Z335" s="10">
        <f>'1-1支渠'!K106</f>
        <v>4300</v>
      </c>
      <c r="AA335" s="9">
        <f>'1-1支渠'!L83</f>
        <v>0.61</v>
      </c>
      <c r="AB335" s="9">
        <f>'1-1支渠'!M83</f>
        <v>0.47</v>
      </c>
      <c r="AC335" s="9">
        <v>1.65</v>
      </c>
      <c r="AD335" s="9">
        <v>1.21</v>
      </c>
      <c r="AE335" s="9">
        <v>3</v>
      </c>
      <c r="AF335" s="9">
        <v>0.4</v>
      </c>
      <c r="AG335" s="9" t="s">
        <v>880</v>
      </c>
    </row>
    <row r="336" spans="2:33">
      <c r="C336" s="10">
        <f t="shared" ref="C336:J336" si="72">C23</f>
        <v>600</v>
      </c>
      <c r="D336" s="9">
        <f t="shared" si="72"/>
        <v>3.75</v>
      </c>
      <c r="E336" s="9">
        <f t="shared" si="72"/>
        <v>3</v>
      </c>
      <c r="F336" s="9">
        <f t="shared" si="72"/>
        <v>1.97</v>
      </c>
      <c r="G336" s="9">
        <f t="shared" si="72"/>
        <v>1.88</v>
      </c>
      <c r="H336" s="9">
        <f t="shared" si="72"/>
        <v>1.1200000000000001</v>
      </c>
      <c r="I336" s="9">
        <f t="shared" si="72"/>
        <v>0.87</v>
      </c>
      <c r="J336" s="9">
        <f t="shared" si="72"/>
        <v>1.4E-2</v>
      </c>
      <c r="K336" s="9" t="str">
        <f>L23</f>
        <v>1/500</v>
      </c>
      <c r="L336" s="9">
        <f>M23</f>
        <v>1.7</v>
      </c>
      <c r="M336" s="9">
        <f>N23</f>
        <v>0</v>
      </c>
      <c r="N336" s="9">
        <f t="shared" ref="N336" si="73">ROUND(D336/F336,2)</f>
        <v>1.9</v>
      </c>
      <c r="O336" s="9">
        <f t="shared" ref="O336" si="74">ROUND(E336/G336,2)</f>
        <v>1.6</v>
      </c>
      <c r="P336" s="9">
        <f t="shared" ref="P336" si="75">L336+2*H336*(1+M336*M336)^0.5</f>
        <v>3.9400000000000004</v>
      </c>
      <c r="Q336" s="9">
        <f t="shared" ref="Q336" si="76">L336+2*I336*(1+M336*M336)^0.5</f>
        <v>3.44</v>
      </c>
      <c r="R336" s="9">
        <f t="shared" ref="R336" si="77">ROUND(N336/P336,2)</f>
        <v>0.48</v>
      </c>
      <c r="S336" s="9">
        <f t="shared" ref="S336" si="78">ROUND(O336/Q336,2)</f>
        <v>0.47</v>
      </c>
      <c r="T336" s="9">
        <f>S23</f>
        <v>0.48</v>
      </c>
      <c r="U336" s="9">
        <f>T23</f>
        <v>1.6</v>
      </c>
      <c r="X336" s="43"/>
      <c r="Y336" s="10">
        <f>Z335</f>
        <v>4300</v>
      </c>
      <c r="Z336" s="10">
        <f>'1-1支渠'!K120</f>
        <v>6803</v>
      </c>
      <c r="AA336" s="9">
        <f>'1-1支渠'!L107</f>
        <v>0.46</v>
      </c>
      <c r="AB336" s="9">
        <f>'1-1支渠'!M107</f>
        <v>0.35</v>
      </c>
      <c r="AC336" s="9">
        <v>1.35</v>
      </c>
      <c r="AD336" s="9">
        <v>1.17</v>
      </c>
      <c r="AE336" s="9">
        <v>3</v>
      </c>
      <c r="AF336" s="9">
        <v>0.4</v>
      </c>
      <c r="AG336" s="9" t="s">
        <v>880</v>
      </c>
    </row>
    <row r="337" spans="3:33">
      <c r="C337" s="10">
        <f t="shared" ref="C337:J337" si="79">C31</f>
        <v>800</v>
      </c>
      <c r="D337" s="9">
        <f t="shared" si="79"/>
        <v>3.75</v>
      </c>
      <c r="E337" s="9">
        <f t="shared" si="79"/>
        <v>3</v>
      </c>
      <c r="F337" s="9">
        <f t="shared" si="79"/>
        <v>1.97</v>
      </c>
      <c r="G337" s="9">
        <f t="shared" si="79"/>
        <v>1.88</v>
      </c>
      <c r="H337" s="9">
        <f t="shared" si="79"/>
        <v>1.1200000000000001</v>
      </c>
      <c r="I337" s="9">
        <f t="shared" si="79"/>
        <v>0.87</v>
      </c>
      <c r="J337" s="9">
        <f t="shared" si="79"/>
        <v>1.4E-2</v>
      </c>
      <c r="K337" s="9" t="str">
        <f>L31</f>
        <v>1/500</v>
      </c>
      <c r="L337" s="9">
        <f>M31</f>
        <v>1.7</v>
      </c>
      <c r="M337" s="9">
        <f>N31</f>
        <v>0</v>
      </c>
      <c r="N337" s="9">
        <f t="shared" ref="N337:N338" si="80">ROUND(D337/F337,2)</f>
        <v>1.9</v>
      </c>
      <c r="O337" s="9">
        <f t="shared" ref="O337:O338" si="81">ROUND(E337/G337,2)</f>
        <v>1.6</v>
      </c>
      <c r="P337" s="9">
        <f t="shared" ref="P337:P338" si="82">L337+2*H337*(1+M337*M337)^0.5</f>
        <v>3.9400000000000004</v>
      </c>
      <c r="Q337" s="9">
        <f t="shared" ref="Q337:Q338" si="83">L337+2*I337*(1+M337*M337)^0.5</f>
        <v>3.44</v>
      </c>
      <c r="R337" s="9">
        <f t="shared" ref="R337:R338" si="84">ROUND(N337/P337,2)</f>
        <v>0.48</v>
      </c>
      <c r="S337" s="9">
        <f t="shared" ref="S337:S338" si="85">ROUND(O337/Q337,2)</f>
        <v>0.47</v>
      </c>
      <c r="T337" s="9">
        <f>S31</f>
        <v>0.48</v>
      </c>
      <c r="U337" s="9">
        <f>T31</f>
        <v>1.6</v>
      </c>
      <c r="X337" s="43" t="s">
        <v>872</v>
      </c>
      <c r="Y337" s="10">
        <v>0</v>
      </c>
      <c r="Z337" s="10">
        <f>'1-2支渠'!K103</f>
        <v>3600</v>
      </c>
      <c r="AA337" s="9">
        <f>'1-2支渠'!L83</f>
        <v>0.9</v>
      </c>
      <c r="AB337" s="9">
        <f>'1-2支渠'!M83</f>
        <v>0.69</v>
      </c>
      <c r="AC337" s="9">
        <v>1.96</v>
      </c>
      <c r="AD337" s="9">
        <v>1.5</v>
      </c>
      <c r="AE337" s="9">
        <v>3</v>
      </c>
      <c r="AF337" s="9">
        <v>0.4</v>
      </c>
      <c r="AG337" s="9" t="s">
        <v>880</v>
      </c>
    </row>
    <row r="338" spans="3:33">
      <c r="C338" s="10">
        <f t="shared" ref="C338:J338" si="86">C38</f>
        <v>1000</v>
      </c>
      <c r="D338" s="9">
        <f t="shared" si="86"/>
        <v>3.75</v>
      </c>
      <c r="E338" s="9">
        <f t="shared" si="86"/>
        <v>3</v>
      </c>
      <c r="F338" s="9">
        <f t="shared" si="86"/>
        <v>1.97</v>
      </c>
      <c r="G338" s="9">
        <f t="shared" si="86"/>
        <v>1.88</v>
      </c>
      <c r="H338" s="9">
        <f t="shared" si="86"/>
        <v>1.1200000000000001</v>
      </c>
      <c r="I338" s="9">
        <f t="shared" si="86"/>
        <v>0.87</v>
      </c>
      <c r="J338" s="9">
        <f t="shared" si="86"/>
        <v>1.4E-2</v>
      </c>
      <c r="K338" s="9" t="str">
        <f>L38</f>
        <v>1/500</v>
      </c>
      <c r="L338" s="9">
        <f>M38</f>
        <v>1.7</v>
      </c>
      <c r="M338" s="9">
        <f>N38</f>
        <v>0</v>
      </c>
      <c r="N338" s="9">
        <f t="shared" si="80"/>
        <v>1.9</v>
      </c>
      <c r="O338" s="9">
        <f t="shared" si="81"/>
        <v>1.6</v>
      </c>
      <c r="P338" s="9">
        <f t="shared" si="82"/>
        <v>3.9400000000000004</v>
      </c>
      <c r="Q338" s="9">
        <f t="shared" si="83"/>
        <v>3.44</v>
      </c>
      <c r="R338" s="9">
        <f t="shared" si="84"/>
        <v>0.48</v>
      </c>
      <c r="S338" s="9">
        <f t="shared" si="85"/>
        <v>0.47</v>
      </c>
      <c r="T338" s="9">
        <f>S38</f>
        <v>0.48</v>
      </c>
      <c r="U338" s="9">
        <f>T38</f>
        <v>1.6</v>
      </c>
      <c r="X338" s="43"/>
      <c r="Y338" s="10">
        <f>Z337</f>
        <v>3600</v>
      </c>
      <c r="Z338" s="10">
        <f>'1-2支渠'!K124</f>
        <v>7224</v>
      </c>
      <c r="AA338" s="9">
        <f>'1-2支渠'!L104</f>
        <v>0.61</v>
      </c>
      <c r="AB338" s="9">
        <f>'1-2支渠'!M104</f>
        <v>0.47</v>
      </c>
      <c r="AC338" s="9">
        <v>2.13</v>
      </c>
      <c r="AD338" s="9">
        <v>1.1399999999999999</v>
      </c>
      <c r="AE338" s="9">
        <v>3</v>
      </c>
      <c r="AF338" s="9">
        <v>0.4</v>
      </c>
      <c r="AG338" s="9" t="s">
        <v>880</v>
      </c>
    </row>
    <row r="339" spans="3:33">
      <c r="C339" s="10">
        <f t="shared" ref="C339:J339" si="87">C44</f>
        <v>1200</v>
      </c>
      <c r="D339" s="9">
        <f t="shared" si="87"/>
        <v>3.75</v>
      </c>
      <c r="E339" s="9">
        <f t="shared" si="87"/>
        <v>3</v>
      </c>
      <c r="F339" s="9">
        <f t="shared" si="87"/>
        <v>1.97</v>
      </c>
      <c r="G339" s="9">
        <f t="shared" si="87"/>
        <v>1.88</v>
      </c>
      <c r="H339" s="9">
        <f t="shared" si="87"/>
        <v>1.1200000000000001</v>
      </c>
      <c r="I339" s="9">
        <f t="shared" si="87"/>
        <v>0.87</v>
      </c>
      <c r="J339" s="9">
        <f t="shared" si="87"/>
        <v>1.4E-2</v>
      </c>
      <c r="K339" s="9" t="str">
        <f>L44</f>
        <v>1/500</v>
      </c>
      <c r="L339" s="9">
        <f>M44</f>
        <v>1.7</v>
      </c>
      <c r="M339" s="9">
        <f>N44</f>
        <v>0</v>
      </c>
      <c r="N339" s="9">
        <f t="shared" ref="N339" si="88">ROUND(D339/F339,2)</f>
        <v>1.9</v>
      </c>
      <c r="O339" s="9">
        <f t="shared" ref="O339" si="89">ROUND(E339/G339,2)</f>
        <v>1.6</v>
      </c>
      <c r="P339" s="9">
        <f t="shared" ref="P339" si="90">L339+2*H339*(1+M339*M339)^0.5</f>
        <v>3.9400000000000004</v>
      </c>
      <c r="Q339" s="9">
        <f t="shared" ref="Q339" si="91">L339+2*I339*(1+M339*M339)^0.5</f>
        <v>3.44</v>
      </c>
      <c r="R339" s="9">
        <f t="shared" ref="R339" si="92">ROUND(N339/P339,2)</f>
        <v>0.48</v>
      </c>
      <c r="S339" s="9">
        <f t="shared" ref="S339" si="93">ROUND(O339/Q339,2)</f>
        <v>0.47</v>
      </c>
      <c r="T339" s="9">
        <f>S44</f>
        <v>0.48</v>
      </c>
      <c r="U339" s="9">
        <f>T44</f>
        <v>1.6</v>
      </c>
      <c r="X339" s="43" t="s">
        <v>873</v>
      </c>
      <c r="Y339" s="10">
        <v>0</v>
      </c>
      <c r="Z339" s="10">
        <f>'1-3支渠'!K76</f>
        <v>3200</v>
      </c>
      <c r="AA339" s="9">
        <f>'1-3支渠'!L60</f>
        <v>0.51</v>
      </c>
      <c r="AB339" s="9">
        <f>'1-3支渠'!M60</f>
        <v>0.39</v>
      </c>
      <c r="AC339" s="9">
        <v>1.82</v>
      </c>
      <c r="AD339" s="9">
        <v>1.44</v>
      </c>
      <c r="AE339" s="9">
        <v>3</v>
      </c>
      <c r="AF339" s="9">
        <v>0.4</v>
      </c>
      <c r="AG339" s="9" t="s">
        <v>880</v>
      </c>
    </row>
    <row r="340" spans="3:33">
      <c r="C340" s="10">
        <f t="shared" ref="C340:J340" si="94">C51</f>
        <v>1400</v>
      </c>
      <c r="D340" s="9">
        <f t="shared" si="94"/>
        <v>3.75</v>
      </c>
      <c r="E340" s="9">
        <f t="shared" si="94"/>
        <v>3</v>
      </c>
      <c r="F340" s="9">
        <f t="shared" si="94"/>
        <v>1.97</v>
      </c>
      <c r="G340" s="9">
        <f t="shared" si="94"/>
        <v>1.88</v>
      </c>
      <c r="H340" s="9">
        <f t="shared" si="94"/>
        <v>1.1200000000000001</v>
      </c>
      <c r="I340" s="9">
        <f t="shared" si="94"/>
        <v>0.87</v>
      </c>
      <c r="J340" s="9">
        <f t="shared" si="94"/>
        <v>1.4E-2</v>
      </c>
      <c r="K340" s="9" t="str">
        <f>L51</f>
        <v>1/500</v>
      </c>
      <c r="L340" s="9">
        <f>M51</f>
        <v>1.7</v>
      </c>
      <c r="M340" s="9">
        <f>N51</f>
        <v>0</v>
      </c>
      <c r="N340" s="9">
        <f t="shared" ref="N340:N344" si="95">ROUND(D340/F340,2)</f>
        <v>1.9</v>
      </c>
      <c r="O340" s="9">
        <f t="shared" ref="O340:O344" si="96">ROUND(E340/G340,2)</f>
        <v>1.6</v>
      </c>
      <c r="P340" s="9">
        <f t="shared" ref="P340:P344" si="97">L340+2*H340*(1+M340*M340)^0.5</f>
        <v>3.9400000000000004</v>
      </c>
      <c r="Q340" s="9">
        <f t="shared" ref="Q340:Q344" si="98">L340+2*I340*(1+M340*M340)^0.5</f>
        <v>3.44</v>
      </c>
      <c r="R340" s="9">
        <f t="shared" ref="R340:R344" si="99">ROUND(N340/P340,2)</f>
        <v>0.48</v>
      </c>
      <c r="S340" s="9">
        <f t="shared" ref="S340:S344" si="100">ROUND(O340/Q340,2)</f>
        <v>0.47</v>
      </c>
      <c r="T340" s="9">
        <f>S51</f>
        <v>0.48</v>
      </c>
      <c r="U340" s="9">
        <f>T51</f>
        <v>1.6</v>
      </c>
      <c r="X340" s="43"/>
      <c r="Y340" s="10">
        <f>Z339</f>
        <v>3200</v>
      </c>
      <c r="Z340" s="10">
        <f>'1-3支渠'!K87</f>
        <v>4900</v>
      </c>
      <c r="AA340" s="9">
        <f>'1-3支渠'!L77</f>
        <v>0.25</v>
      </c>
      <c r="AB340" s="9">
        <f>'1-3支渠'!M77</f>
        <v>0.19</v>
      </c>
      <c r="AC340" s="9">
        <v>1.67</v>
      </c>
      <c r="AD340" s="9">
        <v>1.19</v>
      </c>
      <c r="AE340" s="9">
        <v>3</v>
      </c>
      <c r="AF340" s="9">
        <v>0.4</v>
      </c>
      <c r="AG340" s="9" t="s">
        <v>880</v>
      </c>
    </row>
    <row r="341" spans="3:33">
      <c r="C341" s="10">
        <f t="shared" ref="C341:J341" si="101">C55</f>
        <v>1600</v>
      </c>
      <c r="D341" s="9">
        <f t="shared" si="101"/>
        <v>3.75</v>
      </c>
      <c r="E341" s="9">
        <f t="shared" si="101"/>
        <v>3</v>
      </c>
      <c r="F341" s="9">
        <f t="shared" si="101"/>
        <v>1.97</v>
      </c>
      <c r="G341" s="9">
        <f t="shared" si="101"/>
        <v>1.88</v>
      </c>
      <c r="H341" s="9">
        <f t="shared" si="101"/>
        <v>1.1200000000000001</v>
      </c>
      <c r="I341" s="9">
        <f t="shared" si="101"/>
        <v>0.87</v>
      </c>
      <c r="J341" s="9">
        <f t="shared" si="101"/>
        <v>1.4E-2</v>
      </c>
      <c r="K341" s="9" t="str">
        <f>L55</f>
        <v>1/500</v>
      </c>
      <c r="L341" s="9">
        <f>M55</f>
        <v>1.7</v>
      </c>
      <c r="M341" s="9">
        <f>N55</f>
        <v>0</v>
      </c>
      <c r="N341" s="9">
        <f t="shared" si="95"/>
        <v>1.9</v>
      </c>
      <c r="O341" s="9">
        <f t="shared" si="96"/>
        <v>1.6</v>
      </c>
      <c r="P341" s="9">
        <f t="shared" si="97"/>
        <v>3.9400000000000004</v>
      </c>
      <c r="Q341" s="9">
        <f t="shared" si="98"/>
        <v>3.44</v>
      </c>
      <c r="R341" s="9">
        <f t="shared" si="99"/>
        <v>0.48</v>
      </c>
      <c r="S341" s="9">
        <f t="shared" si="100"/>
        <v>0.47</v>
      </c>
      <c r="T341" s="9">
        <f>S55</f>
        <v>0.48</v>
      </c>
      <c r="U341" s="9">
        <f>T55</f>
        <v>1.6</v>
      </c>
      <c r="X341" s="43" t="s">
        <v>874</v>
      </c>
      <c r="Y341" s="10">
        <v>0</v>
      </c>
      <c r="Z341" s="10">
        <f>'1-4支渠'!K84</f>
        <v>3000</v>
      </c>
      <c r="AA341" s="9">
        <f>'1-4支渠'!L66</f>
        <v>0.43</v>
      </c>
      <c r="AB341" s="9">
        <f>'1-4支渠'!M66</f>
        <v>0.33</v>
      </c>
      <c r="AC341" s="9">
        <v>1.72</v>
      </c>
      <c r="AD341" s="9">
        <v>0.87</v>
      </c>
      <c r="AE341" s="9">
        <v>3</v>
      </c>
      <c r="AF341" s="9">
        <v>0.4</v>
      </c>
      <c r="AG341" s="9" t="s">
        <v>880</v>
      </c>
    </row>
    <row r="342" spans="3:33">
      <c r="C342" s="10">
        <f t="shared" ref="C342:J342" si="102">C61</f>
        <v>1800</v>
      </c>
      <c r="D342" s="9">
        <f t="shared" si="102"/>
        <v>3.75</v>
      </c>
      <c r="E342" s="9">
        <f t="shared" si="102"/>
        <v>3</v>
      </c>
      <c r="F342" s="9">
        <f t="shared" si="102"/>
        <v>1.97</v>
      </c>
      <c r="G342" s="9">
        <f t="shared" si="102"/>
        <v>1.88</v>
      </c>
      <c r="H342" s="9">
        <f t="shared" si="102"/>
        <v>1.1200000000000001</v>
      </c>
      <c r="I342" s="9">
        <f t="shared" si="102"/>
        <v>0.87</v>
      </c>
      <c r="J342" s="9">
        <f t="shared" si="102"/>
        <v>1.4E-2</v>
      </c>
      <c r="K342" s="9" t="str">
        <f>L61</f>
        <v>1/500</v>
      </c>
      <c r="L342" s="9">
        <f>M61</f>
        <v>1.7</v>
      </c>
      <c r="M342" s="9">
        <f>N61</f>
        <v>0</v>
      </c>
      <c r="N342" s="9">
        <f t="shared" si="95"/>
        <v>1.9</v>
      </c>
      <c r="O342" s="9">
        <f t="shared" si="96"/>
        <v>1.6</v>
      </c>
      <c r="P342" s="9">
        <f t="shared" si="97"/>
        <v>3.9400000000000004</v>
      </c>
      <c r="Q342" s="9">
        <f t="shared" si="98"/>
        <v>3.44</v>
      </c>
      <c r="R342" s="9">
        <f t="shared" si="99"/>
        <v>0.48</v>
      </c>
      <c r="S342" s="9">
        <f t="shared" si="100"/>
        <v>0.47</v>
      </c>
      <c r="T342" s="9">
        <f>S61</f>
        <v>0.48</v>
      </c>
      <c r="U342" s="9">
        <f>T61</f>
        <v>1.6</v>
      </c>
      <c r="X342" s="43"/>
      <c r="Y342" s="10">
        <f>Z341</f>
        <v>3000</v>
      </c>
      <c r="Z342" s="10">
        <f>'1-4支渠'!K97</f>
        <v>5310</v>
      </c>
      <c r="AA342" s="9">
        <f>'1-4支渠'!L85</f>
        <v>0.22</v>
      </c>
      <c r="AB342" s="9">
        <f>'1-4支渠'!M85</f>
        <v>0.17</v>
      </c>
      <c r="AC342" s="9">
        <v>1.65</v>
      </c>
      <c r="AD342" s="9">
        <v>1</v>
      </c>
      <c r="AE342" s="9">
        <v>3</v>
      </c>
      <c r="AF342" s="9">
        <v>0.4</v>
      </c>
      <c r="AG342" s="9" t="s">
        <v>880</v>
      </c>
    </row>
    <row r="343" spans="3:33">
      <c r="C343" s="10">
        <f t="shared" ref="C343:J343" si="103">C66</f>
        <v>2000</v>
      </c>
      <c r="D343" s="9">
        <f t="shared" si="103"/>
        <v>3.75</v>
      </c>
      <c r="E343" s="9">
        <f t="shared" si="103"/>
        <v>3</v>
      </c>
      <c r="F343" s="9">
        <f t="shared" si="103"/>
        <v>1.97</v>
      </c>
      <c r="G343" s="9">
        <f t="shared" si="103"/>
        <v>1.88</v>
      </c>
      <c r="H343" s="9">
        <f t="shared" si="103"/>
        <v>1.1200000000000001</v>
      </c>
      <c r="I343" s="9">
        <f t="shared" si="103"/>
        <v>0.87</v>
      </c>
      <c r="J343" s="9">
        <f t="shared" si="103"/>
        <v>1.4E-2</v>
      </c>
      <c r="K343" s="9" t="str">
        <f>L66</f>
        <v>1/500</v>
      </c>
      <c r="L343" s="9">
        <f>M66</f>
        <v>1.7</v>
      </c>
      <c r="M343" s="9">
        <f>N66</f>
        <v>0</v>
      </c>
      <c r="N343" s="9">
        <f t="shared" si="95"/>
        <v>1.9</v>
      </c>
      <c r="O343" s="9">
        <f t="shared" si="96"/>
        <v>1.6</v>
      </c>
      <c r="P343" s="9">
        <f t="shared" si="97"/>
        <v>3.9400000000000004</v>
      </c>
      <c r="Q343" s="9">
        <f t="shared" si="98"/>
        <v>3.44</v>
      </c>
      <c r="R343" s="9">
        <f t="shared" si="99"/>
        <v>0.48</v>
      </c>
      <c r="S343" s="9">
        <f t="shared" si="100"/>
        <v>0.47</v>
      </c>
      <c r="T343" s="9">
        <f>S66</f>
        <v>0.48</v>
      </c>
      <c r="U343" s="9">
        <f>T66</f>
        <v>1.6</v>
      </c>
      <c r="X343" s="9" t="s">
        <v>875</v>
      </c>
      <c r="Y343" s="10">
        <v>0</v>
      </c>
      <c r="Z343" s="10">
        <f>'1-5支渠'!K52</f>
        <v>2545</v>
      </c>
      <c r="AA343" s="9">
        <f>'1-5支渠'!L37</f>
        <v>0.18</v>
      </c>
      <c r="AB343" s="9">
        <f>'1-5支渠'!M37</f>
        <v>0.14000000000000001</v>
      </c>
      <c r="AC343" s="9">
        <v>1.64</v>
      </c>
      <c r="AD343" s="9">
        <v>1.17</v>
      </c>
      <c r="AE343" s="9">
        <v>3</v>
      </c>
      <c r="AF343" s="9">
        <v>0.4</v>
      </c>
      <c r="AG343" s="9" t="s">
        <v>880</v>
      </c>
    </row>
    <row r="344" spans="3:33">
      <c r="C344" s="10">
        <f t="shared" ref="C344:J344" si="104">C72</f>
        <v>2200</v>
      </c>
      <c r="D344" s="9">
        <f t="shared" si="104"/>
        <v>3.75</v>
      </c>
      <c r="E344" s="9">
        <f t="shared" si="104"/>
        <v>3</v>
      </c>
      <c r="F344" s="9">
        <f t="shared" si="104"/>
        <v>1.97</v>
      </c>
      <c r="G344" s="9">
        <f t="shared" si="104"/>
        <v>1.88</v>
      </c>
      <c r="H344" s="9">
        <f t="shared" si="104"/>
        <v>1.1200000000000001</v>
      </c>
      <c r="I344" s="9">
        <f t="shared" si="104"/>
        <v>0.87</v>
      </c>
      <c r="J344" s="9">
        <f t="shared" si="104"/>
        <v>1.4E-2</v>
      </c>
      <c r="K344" s="9" t="str">
        <f>L72</f>
        <v>1/500</v>
      </c>
      <c r="L344" s="9">
        <f>M72</f>
        <v>1.7</v>
      </c>
      <c r="M344" s="9">
        <f>N72</f>
        <v>0</v>
      </c>
      <c r="N344" s="9">
        <f t="shared" si="95"/>
        <v>1.9</v>
      </c>
      <c r="O344" s="9">
        <f t="shared" si="96"/>
        <v>1.6</v>
      </c>
      <c r="P344" s="9">
        <f t="shared" si="97"/>
        <v>3.9400000000000004</v>
      </c>
      <c r="Q344" s="9">
        <f t="shared" si="98"/>
        <v>3.44</v>
      </c>
      <c r="R344" s="9">
        <f t="shared" si="99"/>
        <v>0.48</v>
      </c>
      <c r="S344" s="9">
        <f t="shared" si="100"/>
        <v>0.47</v>
      </c>
      <c r="T344" s="9">
        <f>S72</f>
        <v>0.48</v>
      </c>
      <c r="U344" s="9">
        <f>T72</f>
        <v>1.6</v>
      </c>
      <c r="X344" s="43" t="s">
        <v>862</v>
      </c>
      <c r="Y344" s="10">
        <v>0</v>
      </c>
      <c r="Z344" s="10">
        <f>'2-支渠'!B46</f>
        <v>2600</v>
      </c>
      <c r="AA344" s="9">
        <f>'2-支渠'!C33</f>
        <v>0.61</v>
      </c>
      <c r="AB344" s="9">
        <f>'2-支渠'!D33</f>
        <v>0.47</v>
      </c>
      <c r="AC344" s="9">
        <v>2.35</v>
      </c>
      <c r="AD344" s="9">
        <v>2.14</v>
      </c>
      <c r="AE344" s="9">
        <v>3</v>
      </c>
      <c r="AF344" s="9">
        <v>0.4</v>
      </c>
      <c r="AG344" s="9" t="s">
        <v>880</v>
      </c>
    </row>
    <row r="345" spans="3:33">
      <c r="C345" s="10">
        <f t="shared" ref="C345:J345" si="105">C81</f>
        <v>2400</v>
      </c>
      <c r="D345" s="9">
        <f t="shared" si="105"/>
        <v>3.75</v>
      </c>
      <c r="E345" s="9">
        <f t="shared" si="105"/>
        <v>3</v>
      </c>
      <c r="F345" s="9">
        <f t="shared" si="105"/>
        <v>1.97</v>
      </c>
      <c r="G345" s="9">
        <f t="shared" si="105"/>
        <v>1.88</v>
      </c>
      <c r="H345" s="9">
        <f t="shared" si="105"/>
        <v>1.1200000000000001</v>
      </c>
      <c r="I345" s="9">
        <f t="shared" si="105"/>
        <v>0.87</v>
      </c>
      <c r="J345" s="9">
        <f t="shared" si="105"/>
        <v>1.4E-2</v>
      </c>
      <c r="K345" s="9" t="str">
        <f>L81</f>
        <v>1/500</v>
      </c>
      <c r="L345" s="9">
        <f>M81</f>
        <v>1.7</v>
      </c>
      <c r="M345" s="9">
        <f>N81</f>
        <v>0</v>
      </c>
      <c r="N345" s="9">
        <f t="shared" ref="N345:N348" si="106">ROUND(D345/F345,2)</f>
        <v>1.9</v>
      </c>
      <c r="O345" s="9">
        <f t="shared" ref="O345:O348" si="107">ROUND(E345/G345,2)</f>
        <v>1.6</v>
      </c>
      <c r="P345" s="9">
        <f t="shared" ref="P345:P348" si="108">L345+2*H345*(1+M345*M345)^0.5</f>
        <v>3.9400000000000004</v>
      </c>
      <c r="Q345" s="9">
        <f t="shared" ref="Q345:Q348" si="109">L345+2*I345*(1+M345*M345)^0.5</f>
        <v>3.44</v>
      </c>
      <c r="R345" s="9">
        <f t="shared" ref="R345:R348" si="110">ROUND(N345/P345,2)</f>
        <v>0.48</v>
      </c>
      <c r="S345" s="9">
        <f t="shared" ref="S345:S348" si="111">ROUND(O345/Q345,2)</f>
        <v>0.47</v>
      </c>
      <c r="T345" s="9">
        <f>S81</f>
        <v>0.48</v>
      </c>
      <c r="U345" s="9">
        <f>T81</f>
        <v>1.6</v>
      </c>
      <c r="X345" s="43"/>
      <c r="Y345" s="10">
        <f>Z344</f>
        <v>2600</v>
      </c>
      <c r="Z345" s="10">
        <f>'2-支渠'!B55</f>
        <v>4150</v>
      </c>
      <c r="AA345" s="9">
        <f>'2-支渠'!C47</f>
        <v>0.3</v>
      </c>
      <c r="AB345" s="9">
        <f>'2-支渠'!D47</f>
        <v>0.23</v>
      </c>
      <c r="AC345" s="9">
        <v>2.14</v>
      </c>
      <c r="AD345" s="9">
        <v>1.92</v>
      </c>
      <c r="AE345" s="9">
        <v>3</v>
      </c>
      <c r="AF345" s="9">
        <v>0.4</v>
      </c>
      <c r="AG345" s="9" t="s">
        <v>880</v>
      </c>
    </row>
    <row r="346" spans="3:33">
      <c r="C346" s="10">
        <f t="shared" ref="C346:J346" si="112">C87</f>
        <v>2600</v>
      </c>
      <c r="D346" s="9">
        <f t="shared" si="112"/>
        <v>3.75</v>
      </c>
      <c r="E346" s="9">
        <f t="shared" si="112"/>
        <v>3</v>
      </c>
      <c r="F346" s="9">
        <f t="shared" si="112"/>
        <v>1.97</v>
      </c>
      <c r="G346" s="9">
        <f t="shared" si="112"/>
        <v>1.88</v>
      </c>
      <c r="H346" s="9">
        <f t="shared" si="112"/>
        <v>1.1200000000000001</v>
      </c>
      <c r="I346" s="9">
        <f t="shared" si="112"/>
        <v>0.87</v>
      </c>
      <c r="J346" s="9">
        <f t="shared" si="112"/>
        <v>1.4E-2</v>
      </c>
      <c r="K346" s="9" t="str">
        <f>L87</f>
        <v>1/500</v>
      </c>
      <c r="L346" s="9">
        <f>M87</f>
        <v>1.7</v>
      </c>
      <c r="M346" s="9">
        <f>N87</f>
        <v>0</v>
      </c>
      <c r="N346" s="9">
        <f t="shared" si="106"/>
        <v>1.9</v>
      </c>
      <c r="O346" s="9">
        <f t="shared" si="107"/>
        <v>1.6</v>
      </c>
      <c r="P346" s="9">
        <f t="shared" si="108"/>
        <v>3.9400000000000004</v>
      </c>
      <c r="Q346" s="9">
        <f t="shared" si="109"/>
        <v>3.44</v>
      </c>
      <c r="R346" s="9">
        <f t="shared" si="110"/>
        <v>0.48</v>
      </c>
      <c r="S346" s="9">
        <f t="shared" si="111"/>
        <v>0.47</v>
      </c>
      <c r="T346" s="9">
        <f>S87</f>
        <v>0.48</v>
      </c>
      <c r="U346" s="9">
        <f>T87</f>
        <v>1.6</v>
      </c>
      <c r="X346" s="25" t="s">
        <v>876</v>
      </c>
      <c r="Y346" s="10">
        <v>0</v>
      </c>
      <c r="Z346" s="10">
        <f>'2-支渠'!B145</f>
        <v>4800</v>
      </c>
      <c r="AA346" s="9">
        <f>'2-支渠'!C62</f>
        <v>0.61</v>
      </c>
      <c r="AB346" s="9">
        <f>'2-支渠'!D62</f>
        <v>0.47</v>
      </c>
      <c r="AC346" s="9">
        <v>1.93</v>
      </c>
      <c r="AD346" s="9">
        <v>1.75</v>
      </c>
      <c r="AE346" s="9">
        <v>3</v>
      </c>
      <c r="AF346" s="9">
        <v>0.4</v>
      </c>
      <c r="AG346" s="9" t="s">
        <v>880</v>
      </c>
    </row>
    <row r="347" spans="3:33">
      <c r="C347" s="10">
        <f t="shared" ref="C347:J347" si="113">C91</f>
        <v>2800</v>
      </c>
      <c r="D347" s="9">
        <f t="shared" si="113"/>
        <v>3.75</v>
      </c>
      <c r="E347" s="9">
        <f t="shared" si="113"/>
        <v>3</v>
      </c>
      <c r="F347" s="9">
        <f t="shared" si="113"/>
        <v>1.97</v>
      </c>
      <c r="G347" s="9">
        <f t="shared" si="113"/>
        <v>1.88</v>
      </c>
      <c r="H347" s="9">
        <f t="shared" si="113"/>
        <v>1.1200000000000001</v>
      </c>
      <c r="I347" s="9">
        <f t="shared" si="113"/>
        <v>0.87</v>
      </c>
      <c r="J347" s="9">
        <f t="shared" si="113"/>
        <v>1.4E-2</v>
      </c>
      <c r="K347" s="9" t="str">
        <f>L91</f>
        <v>1/500</v>
      </c>
      <c r="L347" s="9">
        <f>M91</f>
        <v>1.7</v>
      </c>
      <c r="M347" s="9">
        <f>N91</f>
        <v>0</v>
      </c>
      <c r="N347" s="9">
        <f t="shared" si="106"/>
        <v>1.9</v>
      </c>
      <c r="O347" s="9">
        <f t="shared" si="107"/>
        <v>1.6</v>
      </c>
      <c r="P347" s="9">
        <f t="shared" si="108"/>
        <v>3.9400000000000004</v>
      </c>
      <c r="Q347" s="9">
        <f t="shared" si="109"/>
        <v>3.44</v>
      </c>
      <c r="R347" s="9">
        <f t="shared" si="110"/>
        <v>0.48</v>
      </c>
      <c r="S347" s="9">
        <f t="shared" si="111"/>
        <v>0.47</v>
      </c>
      <c r="T347" s="9">
        <f>S91</f>
        <v>0.48</v>
      </c>
      <c r="U347" s="9">
        <f>T91</f>
        <v>1.6</v>
      </c>
      <c r="X347" s="9" t="s">
        <v>877</v>
      </c>
      <c r="Y347" s="10">
        <v>0</v>
      </c>
      <c r="Z347" s="10">
        <f>'2-支渠'!B145</f>
        <v>4800</v>
      </c>
      <c r="AA347" s="9">
        <f>'2-支渠'!C121</f>
        <v>0.27</v>
      </c>
      <c r="AB347" s="9">
        <f>'2-支渠'!D121</f>
        <v>0.21</v>
      </c>
      <c r="AC347" s="9">
        <v>1.83</v>
      </c>
      <c r="AD347" s="9">
        <v>1.7</v>
      </c>
      <c r="AE347" s="9">
        <v>3</v>
      </c>
      <c r="AF347" s="9">
        <v>0.4</v>
      </c>
      <c r="AG347" s="9" t="s">
        <v>880</v>
      </c>
    </row>
    <row r="348" spans="3:33">
      <c r="C348" s="10">
        <f t="shared" ref="C348:J348" si="114">C99</f>
        <v>3000</v>
      </c>
      <c r="D348" s="9">
        <f t="shared" si="114"/>
        <v>3.75</v>
      </c>
      <c r="E348" s="9">
        <f t="shared" si="114"/>
        <v>3</v>
      </c>
      <c r="F348" s="9">
        <f t="shared" si="114"/>
        <v>1.97</v>
      </c>
      <c r="G348" s="9">
        <f t="shared" si="114"/>
        <v>1.88</v>
      </c>
      <c r="H348" s="9">
        <f t="shared" si="114"/>
        <v>1.1200000000000001</v>
      </c>
      <c r="I348" s="9">
        <f t="shared" si="114"/>
        <v>0.87</v>
      </c>
      <c r="J348" s="9">
        <f t="shared" si="114"/>
        <v>1.4E-2</v>
      </c>
      <c r="K348" s="9" t="str">
        <f>L99</f>
        <v>1/500</v>
      </c>
      <c r="L348" s="9">
        <f>M99</f>
        <v>1.7</v>
      </c>
      <c r="M348" s="9">
        <f>N99</f>
        <v>0</v>
      </c>
      <c r="N348" s="9">
        <f t="shared" si="106"/>
        <v>1.9</v>
      </c>
      <c r="O348" s="9">
        <f t="shared" si="107"/>
        <v>1.6</v>
      </c>
      <c r="P348" s="9">
        <f t="shared" si="108"/>
        <v>3.9400000000000004</v>
      </c>
      <c r="Q348" s="9">
        <f t="shared" si="109"/>
        <v>3.44</v>
      </c>
      <c r="R348" s="9">
        <f t="shared" si="110"/>
        <v>0.48</v>
      </c>
      <c r="S348" s="9">
        <f t="shared" si="111"/>
        <v>0.47</v>
      </c>
      <c r="T348" s="9">
        <f>S99</f>
        <v>0.48</v>
      </c>
      <c r="U348" s="9">
        <f>T99</f>
        <v>1.6</v>
      </c>
      <c r="X348" s="9" t="s">
        <v>878</v>
      </c>
      <c r="Y348" s="10">
        <v>0</v>
      </c>
      <c r="Z348" s="10">
        <f>'2-支渠'!B230</f>
        <v>4000</v>
      </c>
      <c r="AA348" s="9">
        <f>'2-支渠'!C210</f>
        <v>0.22</v>
      </c>
      <c r="AB348" s="9">
        <f>'2-支渠'!D210</f>
        <v>0.17</v>
      </c>
      <c r="AC348" s="9">
        <v>1.83</v>
      </c>
      <c r="AD348" s="9">
        <v>1.7</v>
      </c>
      <c r="AE348" s="9">
        <v>3</v>
      </c>
      <c r="AF348" s="9">
        <v>0.4</v>
      </c>
      <c r="AG348" s="9" t="s">
        <v>880</v>
      </c>
    </row>
    <row r="349" spans="3:33">
      <c r="C349" s="10">
        <f t="shared" ref="C349:J349" si="115">C105</f>
        <v>3200</v>
      </c>
      <c r="D349" s="9">
        <f t="shared" si="115"/>
        <v>3.75</v>
      </c>
      <c r="E349" s="9">
        <f t="shared" si="115"/>
        <v>3</v>
      </c>
      <c r="F349" s="9">
        <f t="shared" si="115"/>
        <v>1.97</v>
      </c>
      <c r="G349" s="9">
        <f t="shared" si="115"/>
        <v>1.88</v>
      </c>
      <c r="H349" s="9">
        <f t="shared" si="115"/>
        <v>1.1200000000000001</v>
      </c>
      <c r="I349" s="9">
        <f t="shared" si="115"/>
        <v>0.87</v>
      </c>
      <c r="J349" s="9">
        <f t="shared" si="115"/>
        <v>1.4E-2</v>
      </c>
      <c r="K349" s="9" t="str">
        <f>L105</f>
        <v>1/500</v>
      </c>
      <c r="L349" s="9">
        <f>M105</f>
        <v>1.7</v>
      </c>
      <c r="M349" s="9">
        <f>N105</f>
        <v>0</v>
      </c>
      <c r="N349" s="9">
        <f t="shared" ref="N349:N353" si="116">ROUND(D349/F349,2)</f>
        <v>1.9</v>
      </c>
      <c r="O349" s="9">
        <f t="shared" ref="O349:O353" si="117">ROUND(E349/G349,2)</f>
        <v>1.6</v>
      </c>
      <c r="P349" s="9">
        <f t="shared" ref="P349:P353" si="118">L349+2*H349*(1+M349*M349)^0.5</f>
        <v>3.9400000000000004</v>
      </c>
      <c r="Q349" s="9">
        <f t="shared" ref="Q349:Q353" si="119">L349+2*I349*(1+M349*M349)^0.5</f>
        <v>3.44</v>
      </c>
      <c r="R349" s="9">
        <f t="shared" ref="R349:R353" si="120">ROUND(N349/P349,2)</f>
        <v>0.48</v>
      </c>
      <c r="S349" s="9">
        <f t="shared" ref="S349:S353" si="121">ROUND(O349/Q349,2)</f>
        <v>0.47</v>
      </c>
      <c r="T349" s="9">
        <f>S105</f>
        <v>0.48</v>
      </c>
      <c r="U349" s="9">
        <f>T105</f>
        <v>1.6</v>
      </c>
      <c r="X349" s="9" t="s">
        <v>406</v>
      </c>
      <c r="Y349" s="10">
        <v>0</v>
      </c>
      <c r="Z349" s="10">
        <f>'2-支渠'!B306</f>
        <v>3550</v>
      </c>
      <c r="AA349" s="9">
        <f>'2-支渠'!C288</f>
        <v>0.2</v>
      </c>
      <c r="AB349" s="9">
        <f>'2-支渠'!D288</f>
        <v>0.15</v>
      </c>
      <c r="AC349" s="9">
        <v>1.82</v>
      </c>
      <c r="AD349" s="9">
        <v>1.5</v>
      </c>
      <c r="AE349" s="9">
        <v>3</v>
      </c>
      <c r="AF349" s="9">
        <v>0.4</v>
      </c>
      <c r="AG349" s="9" t="s">
        <v>880</v>
      </c>
    </row>
    <row r="350" spans="3:33">
      <c r="C350" s="10">
        <f t="shared" ref="C350:J350" si="122">C109</f>
        <v>3400</v>
      </c>
      <c r="D350" s="9">
        <f t="shared" si="122"/>
        <v>3.75</v>
      </c>
      <c r="E350" s="9">
        <f t="shared" si="122"/>
        <v>3</v>
      </c>
      <c r="F350" s="9">
        <f t="shared" si="122"/>
        <v>1.97</v>
      </c>
      <c r="G350" s="9">
        <f t="shared" si="122"/>
        <v>1.88</v>
      </c>
      <c r="H350" s="9">
        <f t="shared" si="122"/>
        <v>1.1200000000000001</v>
      </c>
      <c r="I350" s="9">
        <f t="shared" si="122"/>
        <v>0.87</v>
      </c>
      <c r="J350" s="9">
        <f t="shared" si="122"/>
        <v>1.4E-2</v>
      </c>
      <c r="K350" s="9" t="str">
        <f>L109</f>
        <v>1/500</v>
      </c>
      <c r="L350" s="9">
        <f>M109</f>
        <v>1.7</v>
      </c>
      <c r="M350" s="9">
        <f>N109</f>
        <v>0</v>
      </c>
      <c r="N350" s="9">
        <f t="shared" si="116"/>
        <v>1.9</v>
      </c>
      <c r="O350" s="9">
        <f t="shared" si="117"/>
        <v>1.6</v>
      </c>
      <c r="P350" s="9">
        <f t="shared" si="118"/>
        <v>3.9400000000000004</v>
      </c>
      <c r="Q350" s="9">
        <f t="shared" si="119"/>
        <v>3.44</v>
      </c>
      <c r="R350" s="9">
        <f t="shared" si="120"/>
        <v>0.48</v>
      </c>
      <c r="S350" s="9">
        <f t="shared" si="121"/>
        <v>0.47</v>
      </c>
      <c r="T350" s="9">
        <f>S109</f>
        <v>0.48</v>
      </c>
      <c r="U350" s="9">
        <f>T109</f>
        <v>1.6</v>
      </c>
      <c r="X350" s="9" t="s">
        <v>407</v>
      </c>
      <c r="Y350" s="10">
        <v>0</v>
      </c>
      <c r="Z350" s="10">
        <f>'2-支渠'!B353</f>
        <v>3400</v>
      </c>
      <c r="AA350" s="9">
        <f>'2-支渠'!C336</f>
        <v>0.2</v>
      </c>
      <c r="AB350" s="9">
        <f>'2-支渠'!D336</f>
        <v>0.15</v>
      </c>
      <c r="AC350" s="9">
        <v>1.82</v>
      </c>
      <c r="AD350" s="9">
        <v>1.5</v>
      </c>
      <c r="AE350" s="9">
        <v>3</v>
      </c>
      <c r="AF350" s="9">
        <v>0.4</v>
      </c>
      <c r="AG350" s="9" t="s">
        <v>880</v>
      </c>
    </row>
    <row r="351" spans="3:33">
      <c r="C351" s="10">
        <f t="shared" ref="C351:J351" si="123">C116</f>
        <v>3600</v>
      </c>
      <c r="D351" s="9">
        <f t="shared" si="123"/>
        <v>3.75</v>
      </c>
      <c r="E351" s="9">
        <f t="shared" si="123"/>
        <v>3</v>
      </c>
      <c r="F351" s="9">
        <f t="shared" si="123"/>
        <v>1.97</v>
      </c>
      <c r="G351" s="9">
        <f t="shared" si="123"/>
        <v>1.88</v>
      </c>
      <c r="H351" s="9">
        <f t="shared" si="123"/>
        <v>1.1200000000000001</v>
      </c>
      <c r="I351" s="9">
        <f t="shared" si="123"/>
        <v>0.87</v>
      </c>
      <c r="J351" s="9">
        <f t="shared" si="123"/>
        <v>1.4E-2</v>
      </c>
      <c r="K351" s="9" t="str">
        <f>L116</f>
        <v>1/500</v>
      </c>
      <c r="L351" s="9">
        <f>M116</f>
        <v>1.7</v>
      </c>
      <c r="M351" s="9">
        <f>N116</f>
        <v>0</v>
      </c>
      <c r="N351" s="9">
        <f t="shared" si="116"/>
        <v>1.9</v>
      </c>
      <c r="O351" s="9">
        <f t="shared" si="117"/>
        <v>1.6</v>
      </c>
      <c r="P351" s="9">
        <f t="shared" si="118"/>
        <v>3.9400000000000004</v>
      </c>
      <c r="Q351" s="9">
        <f t="shared" si="119"/>
        <v>3.44</v>
      </c>
      <c r="R351" s="9">
        <f t="shared" si="120"/>
        <v>0.48</v>
      </c>
      <c r="S351" s="9">
        <f t="shared" si="121"/>
        <v>0.47</v>
      </c>
      <c r="T351" s="9">
        <f>S116</f>
        <v>0.48</v>
      </c>
      <c r="U351" s="9">
        <f>T116</f>
        <v>1.6</v>
      </c>
      <c r="X351" s="40" t="s">
        <v>408</v>
      </c>
      <c r="Y351" s="10">
        <v>0</v>
      </c>
      <c r="Z351" s="10">
        <f>'2-支渠'!B405</f>
        <v>2600</v>
      </c>
      <c r="AA351" s="9">
        <f>'2-支渠'!C392</f>
        <v>0.33</v>
      </c>
      <c r="AB351" s="9">
        <f>'2-支渠'!D392</f>
        <v>0.25</v>
      </c>
      <c r="AC351" s="9">
        <v>1.94</v>
      </c>
      <c r="AD351" s="9">
        <v>1.79</v>
      </c>
      <c r="AE351" s="9">
        <v>3</v>
      </c>
      <c r="AF351" s="9">
        <v>0.4</v>
      </c>
      <c r="AG351" s="9" t="s">
        <v>880</v>
      </c>
    </row>
    <row r="352" spans="3:33">
      <c r="C352" s="10">
        <f t="shared" ref="C352:J352" si="124">C122</f>
        <v>3800</v>
      </c>
      <c r="D352" s="9">
        <f t="shared" si="124"/>
        <v>3.75</v>
      </c>
      <c r="E352" s="9">
        <f t="shared" si="124"/>
        <v>3</v>
      </c>
      <c r="F352" s="9">
        <f t="shared" si="124"/>
        <v>1.97</v>
      </c>
      <c r="G352" s="9">
        <f t="shared" si="124"/>
        <v>1.88</v>
      </c>
      <c r="H352" s="9">
        <f t="shared" si="124"/>
        <v>1.1200000000000001</v>
      </c>
      <c r="I352" s="9">
        <f t="shared" si="124"/>
        <v>0.87</v>
      </c>
      <c r="J352" s="9">
        <f t="shared" si="124"/>
        <v>1.4E-2</v>
      </c>
      <c r="K352" s="9" t="str">
        <f>L122</f>
        <v>1/500</v>
      </c>
      <c r="L352" s="9">
        <f>M122</f>
        <v>1.7</v>
      </c>
      <c r="M352" s="9">
        <f>N122</f>
        <v>0</v>
      </c>
      <c r="N352" s="9">
        <f t="shared" si="116"/>
        <v>1.9</v>
      </c>
      <c r="O352" s="9">
        <f t="shared" si="117"/>
        <v>1.6</v>
      </c>
      <c r="P352" s="9">
        <f t="shared" si="118"/>
        <v>3.9400000000000004</v>
      </c>
      <c r="Q352" s="9">
        <f t="shared" si="119"/>
        <v>3.44</v>
      </c>
      <c r="R352" s="9">
        <f t="shared" si="120"/>
        <v>0.48</v>
      </c>
      <c r="S352" s="9">
        <f t="shared" si="121"/>
        <v>0.47</v>
      </c>
      <c r="T352" s="9">
        <f>S122</f>
        <v>0.48</v>
      </c>
      <c r="U352" s="9">
        <f>T122</f>
        <v>1.6</v>
      </c>
      <c r="X352" s="41"/>
      <c r="Y352" s="10">
        <f>Z351</f>
        <v>2600</v>
      </c>
      <c r="Z352" s="10">
        <f>'2-支渠'!B418</f>
        <v>5020</v>
      </c>
      <c r="AA352" s="9">
        <f>'2-支渠'!C406</f>
        <v>0.17</v>
      </c>
      <c r="AB352" s="9">
        <f>'2-支渠'!D406</f>
        <v>0.13</v>
      </c>
      <c r="AC352" s="9">
        <v>1.7</v>
      </c>
      <c r="AD352" s="9">
        <v>1.44</v>
      </c>
      <c r="AE352" s="9">
        <v>3</v>
      </c>
      <c r="AF352" s="9">
        <v>0.4</v>
      </c>
      <c r="AG352" s="9" t="s">
        <v>880</v>
      </c>
    </row>
    <row r="353" spans="3:21">
      <c r="C353" s="10">
        <f t="shared" ref="C353:J353" si="125">C126</f>
        <v>4000</v>
      </c>
      <c r="D353" s="9">
        <f t="shared" si="125"/>
        <v>3.75</v>
      </c>
      <c r="E353" s="9">
        <f t="shared" si="125"/>
        <v>3</v>
      </c>
      <c r="F353" s="9">
        <f t="shared" si="125"/>
        <v>1.97</v>
      </c>
      <c r="G353" s="9">
        <f t="shared" si="125"/>
        <v>1.88</v>
      </c>
      <c r="H353" s="9">
        <f t="shared" si="125"/>
        <v>1.1200000000000001</v>
      </c>
      <c r="I353" s="9">
        <f t="shared" si="125"/>
        <v>0.87</v>
      </c>
      <c r="J353" s="9">
        <f t="shared" si="125"/>
        <v>1.4E-2</v>
      </c>
      <c r="K353" s="9" t="str">
        <f>L126</f>
        <v>1/500</v>
      </c>
      <c r="L353" s="9">
        <f>M126</f>
        <v>1.7</v>
      </c>
      <c r="M353" s="9">
        <f>N126</f>
        <v>0</v>
      </c>
      <c r="N353" s="9">
        <f t="shared" si="116"/>
        <v>1.9</v>
      </c>
      <c r="O353" s="9">
        <f t="shared" si="117"/>
        <v>1.6</v>
      </c>
      <c r="P353" s="9">
        <f t="shared" si="118"/>
        <v>3.9400000000000004</v>
      </c>
      <c r="Q353" s="9">
        <f t="shared" si="119"/>
        <v>3.44</v>
      </c>
      <c r="R353" s="9">
        <f t="shared" si="120"/>
        <v>0.48</v>
      </c>
      <c r="S353" s="9">
        <f t="shared" si="121"/>
        <v>0.47</v>
      </c>
      <c r="T353" s="9">
        <f>S126</f>
        <v>0.48</v>
      </c>
      <c r="U353" s="9">
        <f>T126</f>
        <v>1.6</v>
      </c>
    </row>
    <row r="354" spans="3:21">
      <c r="C354" s="10">
        <f t="shared" ref="C354:J354" si="126">C132</f>
        <v>4200</v>
      </c>
      <c r="D354" s="9">
        <f t="shared" si="126"/>
        <v>3.75</v>
      </c>
      <c r="E354" s="9">
        <f t="shared" si="126"/>
        <v>3</v>
      </c>
      <c r="F354" s="9">
        <f t="shared" si="126"/>
        <v>1.97</v>
      </c>
      <c r="G354" s="9">
        <f t="shared" si="126"/>
        <v>1.88</v>
      </c>
      <c r="H354" s="9">
        <f t="shared" si="126"/>
        <v>1.1200000000000001</v>
      </c>
      <c r="I354" s="9">
        <f t="shared" si="126"/>
        <v>0.87</v>
      </c>
      <c r="J354" s="9">
        <f t="shared" si="126"/>
        <v>1.4E-2</v>
      </c>
      <c r="K354" s="9" t="str">
        <f>L132</f>
        <v>1/500</v>
      </c>
      <c r="L354" s="9">
        <f>M132</f>
        <v>1.7</v>
      </c>
      <c r="M354" s="9">
        <f>N132</f>
        <v>0</v>
      </c>
      <c r="N354" s="9">
        <f t="shared" ref="N354:N358" si="127">ROUND(D354/F354,2)</f>
        <v>1.9</v>
      </c>
      <c r="O354" s="9">
        <f t="shared" ref="O354:O358" si="128">ROUND(E354/G354,2)</f>
        <v>1.6</v>
      </c>
      <c r="P354" s="9">
        <f t="shared" ref="P354:P358" si="129">L354+2*H354*(1+M354*M354)^0.5</f>
        <v>3.9400000000000004</v>
      </c>
      <c r="Q354" s="9">
        <f t="shared" ref="Q354:Q358" si="130">L354+2*I354*(1+M354*M354)^0.5</f>
        <v>3.44</v>
      </c>
      <c r="R354" s="9">
        <f t="shared" ref="R354:R358" si="131">ROUND(N354/P354,2)</f>
        <v>0.48</v>
      </c>
      <c r="S354" s="9">
        <f t="shared" ref="S354:S358" si="132">ROUND(O354/Q354,2)</f>
        <v>0.47</v>
      </c>
      <c r="T354" s="9">
        <f>S132</f>
        <v>0.48</v>
      </c>
      <c r="U354" s="9">
        <f>T132</f>
        <v>1.6</v>
      </c>
    </row>
    <row r="355" spans="3:21">
      <c r="C355" s="10">
        <f t="shared" ref="C355:J355" si="133">C138</f>
        <v>4400</v>
      </c>
      <c r="D355" s="9">
        <f t="shared" si="133"/>
        <v>3.75</v>
      </c>
      <c r="E355" s="9">
        <f t="shared" si="133"/>
        <v>3</v>
      </c>
      <c r="F355" s="9">
        <f t="shared" si="133"/>
        <v>1.97</v>
      </c>
      <c r="G355" s="9">
        <f t="shared" si="133"/>
        <v>1.88</v>
      </c>
      <c r="H355" s="9">
        <f t="shared" si="133"/>
        <v>1.1200000000000001</v>
      </c>
      <c r="I355" s="9">
        <f t="shared" si="133"/>
        <v>0.87</v>
      </c>
      <c r="J355" s="9">
        <f t="shared" si="133"/>
        <v>1.4E-2</v>
      </c>
      <c r="K355" s="9" t="str">
        <f>L138</f>
        <v>1/500</v>
      </c>
      <c r="L355" s="9">
        <f>M138</f>
        <v>1.7</v>
      </c>
      <c r="M355" s="9">
        <f>N138</f>
        <v>0</v>
      </c>
      <c r="N355" s="9">
        <f t="shared" si="127"/>
        <v>1.9</v>
      </c>
      <c r="O355" s="9">
        <f t="shared" si="128"/>
        <v>1.6</v>
      </c>
      <c r="P355" s="9">
        <f t="shared" si="129"/>
        <v>3.9400000000000004</v>
      </c>
      <c r="Q355" s="9">
        <f t="shared" si="130"/>
        <v>3.44</v>
      </c>
      <c r="R355" s="9">
        <f t="shared" si="131"/>
        <v>0.48</v>
      </c>
      <c r="S355" s="9">
        <f t="shared" si="132"/>
        <v>0.47</v>
      </c>
      <c r="T355" s="9">
        <f>S138</f>
        <v>0.48</v>
      </c>
      <c r="U355" s="9">
        <f>T138</f>
        <v>1.6</v>
      </c>
    </row>
    <row r="356" spans="3:21">
      <c r="C356" s="10">
        <f t="shared" ref="C356:J356" si="134">C142</f>
        <v>4600</v>
      </c>
      <c r="D356" s="9">
        <f t="shared" si="134"/>
        <v>3.75</v>
      </c>
      <c r="E356" s="9">
        <f t="shared" si="134"/>
        <v>3</v>
      </c>
      <c r="F356" s="9">
        <f t="shared" si="134"/>
        <v>1.97</v>
      </c>
      <c r="G356" s="9">
        <f t="shared" si="134"/>
        <v>1.88</v>
      </c>
      <c r="H356" s="9">
        <f t="shared" si="134"/>
        <v>1.1200000000000001</v>
      </c>
      <c r="I356" s="9">
        <f t="shared" si="134"/>
        <v>0.87</v>
      </c>
      <c r="J356" s="9">
        <f t="shared" si="134"/>
        <v>1.4E-2</v>
      </c>
      <c r="K356" s="9" t="str">
        <f>L142</f>
        <v>1/500</v>
      </c>
      <c r="L356" s="9">
        <f>M142</f>
        <v>1.7</v>
      </c>
      <c r="M356" s="9">
        <f>N142</f>
        <v>0</v>
      </c>
      <c r="N356" s="9">
        <f t="shared" si="127"/>
        <v>1.9</v>
      </c>
      <c r="O356" s="9">
        <f t="shared" si="128"/>
        <v>1.6</v>
      </c>
      <c r="P356" s="9">
        <f t="shared" si="129"/>
        <v>3.9400000000000004</v>
      </c>
      <c r="Q356" s="9">
        <f t="shared" si="130"/>
        <v>3.44</v>
      </c>
      <c r="R356" s="9">
        <f t="shared" si="131"/>
        <v>0.48</v>
      </c>
      <c r="S356" s="9">
        <f t="shared" si="132"/>
        <v>0.47</v>
      </c>
      <c r="T356" s="9">
        <f>S142</f>
        <v>0.48</v>
      </c>
      <c r="U356" s="9">
        <f>T142</f>
        <v>1.6</v>
      </c>
    </row>
    <row r="357" spans="3:21">
      <c r="C357" s="10">
        <f t="shared" ref="C357:J357" si="135">C147</f>
        <v>4800</v>
      </c>
      <c r="D357" s="9">
        <f t="shared" si="135"/>
        <v>3.75</v>
      </c>
      <c r="E357" s="9">
        <f t="shared" si="135"/>
        <v>3</v>
      </c>
      <c r="F357" s="9">
        <f t="shared" si="135"/>
        <v>1.97</v>
      </c>
      <c r="G357" s="9">
        <f t="shared" si="135"/>
        <v>1.88</v>
      </c>
      <c r="H357" s="9">
        <f t="shared" si="135"/>
        <v>1.1200000000000001</v>
      </c>
      <c r="I357" s="9">
        <f t="shared" si="135"/>
        <v>0.87</v>
      </c>
      <c r="J357" s="9">
        <f t="shared" si="135"/>
        <v>1.4E-2</v>
      </c>
      <c r="K357" s="9" t="str">
        <f>L147</f>
        <v>1/500</v>
      </c>
      <c r="L357" s="9">
        <f>M147</f>
        <v>1.7</v>
      </c>
      <c r="M357" s="9">
        <f>N147</f>
        <v>0</v>
      </c>
      <c r="N357" s="9">
        <f t="shared" si="127"/>
        <v>1.9</v>
      </c>
      <c r="O357" s="9">
        <f t="shared" si="128"/>
        <v>1.6</v>
      </c>
      <c r="P357" s="9">
        <f t="shared" si="129"/>
        <v>3.9400000000000004</v>
      </c>
      <c r="Q357" s="9">
        <f t="shared" si="130"/>
        <v>3.44</v>
      </c>
      <c r="R357" s="9">
        <f t="shared" si="131"/>
        <v>0.48</v>
      </c>
      <c r="S357" s="9">
        <f t="shared" si="132"/>
        <v>0.47</v>
      </c>
      <c r="T357" s="9">
        <f>S147</f>
        <v>0.48</v>
      </c>
      <c r="U357" s="9">
        <f>T147</f>
        <v>1.6</v>
      </c>
    </row>
    <row r="358" spans="3:21">
      <c r="C358" s="10">
        <f t="shared" ref="C358:J358" si="136">C151</f>
        <v>5000</v>
      </c>
      <c r="D358" s="9">
        <f t="shared" si="136"/>
        <v>3.75</v>
      </c>
      <c r="E358" s="9">
        <f t="shared" si="136"/>
        <v>3</v>
      </c>
      <c r="F358" s="9">
        <f t="shared" si="136"/>
        <v>1.97</v>
      </c>
      <c r="G358" s="9">
        <f t="shared" si="136"/>
        <v>1.88</v>
      </c>
      <c r="H358" s="9">
        <f t="shared" si="136"/>
        <v>1.1200000000000001</v>
      </c>
      <c r="I358" s="9">
        <f t="shared" si="136"/>
        <v>0.87</v>
      </c>
      <c r="J358" s="9">
        <f t="shared" si="136"/>
        <v>1.4E-2</v>
      </c>
      <c r="K358" s="9" t="str">
        <f>L151</f>
        <v>1/500</v>
      </c>
      <c r="L358" s="9">
        <f>M151</f>
        <v>1.7</v>
      </c>
      <c r="M358" s="9">
        <f>N151</f>
        <v>0</v>
      </c>
      <c r="N358" s="9">
        <f t="shared" si="127"/>
        <v>1.9</v>
      </c>
      <c r="O358" s="9">
        <f t="shared" si="128"/>
        <v>1.6</v>
      </c>
      <c r="P358" s="9">
        <f t="shared" si="129"/>
        <v>3.9400000000000004</v>
      </c>
      <c r="Q358" s="9">
        <f t="shared" si="130"/>
        <v>3.44</v>
      </c>
      <c r="R358" s="9">
        <f t="shared" si="131"/>
        <v>0.48</v>
      </c>
      <c r="S358" s="9">
        <f t="shared" si="132"/>
        <v>0.47</v>
      </c>
      <c r="T358" s="9">
        <f>S151</f>
        <v>0.48</v>
      </c>
      <c r="U358" s="9">
        <f>T151</f>
        <v>1.6</v>
      </c>
    </row>
    <row r="359" spans="3:21">
      <c r="C359" s="10">
        <f t="shared" ref="C359:J359" si="137">C157</f>
        <v>5200</v>
      </c>
      <c r="D359" s="9">
        <f t="shared" si="137"/>
        <v>3.75</v>
      </c>
      <c r="E359" s="9">
        <f t="shared" si="137"/>
        <v>3</v>
      </c>
      <c r="F359" s="9">
        <f t="shared" si="137"/>
        <v>1.97</v>
      </c>
      <c r="G359" s="9">
        <f t="shared" si="137"/>
        <v>1.88</v>
      </c>
      <c r="H359" s="9">
        <f t="shared" si="137"/>
        <v>1.1200000000000001</v>
      </c>
      <c r="I359" s="9">
        <f t="shared" si="137"/>
        <v>0.87</v>
      </c>
      <c r="J359" s="9">
        <f t="shared" si="137"/>
        <v>1.4E-2</v>
      </c>
      <c r="K359" s="9" t="str">
        <f>L157</f>
        <v>1/500</v>
      </c>
      <c r="L359" s="9">
        <f>M157</f>
        <v>1.7</v>
      </c>
      <c r="M359" s="9">
        <f>N157</f>
        <v>0</v>
      </c>
      <c r="N359" s="9">
        <f t="shared" ref="N359:N373" si="138">ROUND(D359/F359,2)</f>
        <v>1.9</v>
      </c>
      <c r="O359" s="9">
        <f t="shared" ref="O359:O373" si="139">ROUND(E359/G359,2)</f>
        <v>1.6</v>
      </c>
      <c r="P359" s="9">
        <f t="shared" ref="P359:P373" si="140">L359+2*H359*(1+M359*M359)^0.5</f>
        <v>3.9400000000000004</v>
      </c>
      <c r="Q359" s="9">
        <f t="shared" ref="Q359:Q373" si="141">L359+2*I359*(1+M359*M359)^0.5</f>
        <v>3.44</v>
      </c>
      <c r="R359" s="9">
        <f t="shared" ref="R359:R373" si="142">ROUND(N359/P359,2)</f>
        <v>0.48</v>
      </c>
      <c r="S359" s="9">
        <f t="shared" ref="S359:S373" si="143">ROUND(O359/Q359,2)</f>
        <v>0.47</v>
      </c>
      <c r="T359" s="9">
        <f>S157</f>
        <v>0.48</v>
      </c>
      <c r="U359" s="9">
        <f>T157</f>
        <v>1.6</v>
      </c>
    </row>
    <row r="360" spans="3:21">
      <c r="C360" s="10">
        <f t="shared" ref="C360:J360" si="144">C164</f>
        <v>5400</v>
      </c>
      <c r="D360" s="9">
        <f t="shared" si="144"/>
        <v>3.75</v>
      </c>
      <c r="E360" s="9">
        <f t="shared" si="144"/>
        <v>3</v>
      </c>
      <c r="F360" s="9">
        <f t="shared" si="144"/>
        <v>1.97</v>
      </c>
      <c r="G360" s="9">
        <f t="shared" si="144"/>
        <v>1.88</v>
      </c>
      <c r="H360" s="9">
        <f t="shared" si="144"/>
        <v>1.1200000000000001</v>
      </c>
      <c r="I360" s="9">
        <f t="shared" si="144"/>
        <v>0.87</v>
      </c>
      <c r="J360" s="9">
        <f t="shared" si="144"/>
        <v>1.4E-2</v>
      </c>
      <c r="K360" s="9" t="str">
        <f>L164</f>
        <v>1/500</v>
      </c>
      <c r="L360" s="9">
        <f>M164</f>
        <v>1.7</v>
      </c>
      <c r="M360" s="9">
        <f>N164</f>
        <v>0</v>
      </c>
      <c r="N360" s="9">
        <f t="shared" si="138"/>
        <v>1.9</v>
      </c>
      <c r="O360" s="9">
        <f t="shared" si="139"/>
        <v>1.6</v>
      </c>
      <c r="P360" s="9">
        <f t="shared" si="140"/>
        <v>3.9400000000000004</v>
      </c>
      <c r="Q360" s="9">
        <f t="shared" si="141"/>
        <v>3.44</v>
      </c>
      <c r="R360" s="9">
        <f t="shared" si="142"/>
        <v>0.48</v>
      </c>
      <c r="S360" s="9">
        <f t="shared" si="143"/>
        <v>0.47</v>
      </c>
      <c r="T360" s="9">
        <f>S164</f>
        <v>0.48</v>
      </c>
      <c r="U360" s="9">
        <f>T164</f>
        <v>1.6</v>
      </c>
    </row>
    <row r="361" spans="3:21">
      <c r="C361" s="10">
        <f t="shared" ref="C361:J361" si="145">C168</f>
        <v>5600</v>
      </c>
      <c r="D361" s="9">
        <f t="shared" si="145"/>
        <v>3.75</v>
      </c>
      <c r="E361" s="9">
        <f t="shared" si="145"/>
        <v>3</v>
      </c>
      <c r="F361" s="9">
        <f t="shared" si="145"/>
        <v>1.97</v>
      </c>
      <c r="G361" s="9">
        <f t="shared" si="145"/>
        <v>1.88</v>
      </c>
      <c r="H361" s="9">
        <f t="shared" si="145"/>
        <v>1.1200000000000001</v>
      </c>
      <c r="I361" s="9">
        <f t="shared" si="145"/>
        <v>0.87</v>
      </c>
      <c r="J361" s="9">
        <f t="shared" si="145"/>
        <v>1.4E-2</v>
      </c>
      <c r="K361" s="9" t="str">
        <f>L168</f>
        <v>1/500</v>
      </c>
      <c r="L361" s="9">
        <f>M168</f>
        <v>1.7</v>
      </c>
      <c r="M361" s="9">
        <f>N168</f>
        <v>0</v>
      </c>
      <c r="N361" s="9">
        <f t="shared" si="138"/>
        <v>1.9</v>
      </c>
      <c r="O361" s="9">
        <f t="shared" si="139"/>
        <v>1.6</v>
      </c>
      <c r="P361" s="9">
        <f t="shared" si="140"/>
        <v>3.9400000000000004</v>
      </c>
      <c r="Q361" s="9">
        <f t="shared" si="141"/>
        <v>3.44</v>
      </c>
      <c r="R361" s="9">
        <f t="shared" si="142"/>
        <v>0.48</v>
      </c>
      <c r="S361" s="9">
        <f t="shared" si="143"/>
        <v>0.47</v>
      </c>
      <c r="T361" s="9">
        <f>S168</f>
        <v>0.48</v>
      </c>
      <c r="U361" s="9">
        <f>T168</f>
        <v>1.6</v>
      </c>
    </row>
    <row r="362" spans="3:21">
      <c r="C362" s="10">
        <f t="shared" ref="C362:J362" si="146">C172</f>
        <v>5800</v>
      </c>
      <c r="D362" s="9">
        <f t="shared" si="146"/>
        <v>3.75</v>
      </c>
      <c r="E362" s="9">
        <f t="shared" si="146"/>
        <v>3</v>
      </c>
      <c r="F362" s="9">
        <f t="shared" si="146"/>
        <v>1.97</v>
      </c>
      <c r="G362" s="9">
        <f t="shared" si="146"/>
        <v>1.88</v>
      </c>
      <c r="H362" s="9">
        <f t="shared" si="146"/>
        <v>1.1200000000000001</v>
      </c>
      <c r="I362" s="9">
        <f t="shared" si="146"/>
        <v>0.87</v>
      </c>
      <c r="J362" s="9">
        <f t="shared" si="146"/>
        <v>1.4E-2</v>
      </c>
      <c r="K362" s="9" t="str">
        <f>L172</f>
        <v>1/500</v>
      </c>
      <c r="L362" s="9">
        <f>M172</f>
        <v>1.7</v>
      </c>
      <c r="M362" s="9">
        <f>N172</f>
        <v>0</v>
      </c>
      <c r="N362" s="9">
        <f t="shared" si="138"/>
        <v>1.9</v>
      </c>
      <c r="O362" s="9">
        <f t="shared" si="139"/>
        <v>1.6</v>
      </c>
      <c r="P362" s="9">
        <f t="shared" si="140"/>
        <v>3.9400000000000004</v>
      </c>
      <c r="Q362" s="9">
        <f t="shared" si="141"/>
        <v>3.44</v>
      </c>
      <c r="R362" s="9">
        <f t="shared" si="142"/>
        <v>0.48</v>
      </c>
      <c r="S362" s="9">
        <f t="shared" si="143"/>
        <v>0.47</v>
      </c>
      <c r="T362" s="9">
        <f>S172</f>
        <v>0.48</v>
      </c>
      <c r="U362" s="9">
        <f>T172</f>
        <v>1.6</v>
      </c>
    </row>
    <row r="363" spans="3:21">
      <c r="C363" s="10">
        <f t="shared" ref="C363:J363" si="147">C176</f>
        <v>6000</v>
      </c>
      <c r="D363" s="9">
        <f t="shared" si="147"/>
        <v>3.75</v>
      </c>
      <c r="E363" s="9">
        <f t="shared" si="147"/>
        <v>3</v>
      </c>
      <c r="F363" s="9">
        <f t="shared" si="147"/>
        <v>1.97</v>
      </c>
      <c r="G363" s="9">
        <f t="shared" si="147"/>
        <v>1.88</v>
      </c>
      <c r="H363" s="9">
        <f t="shared" si="147"/>
        <v>1.1200000000000001</v>
      </c>
      <c r="I363" s="9">
        <f t="shared" si="147"/>
        <v>0.87</v>
      </c>
      <c r="J363" s="9">
        <f t="shared" si="147"/>
        <v>1.4E-2</v>
      </c>
      <c r="K363" s="9" t="str">
        <f>L176</f>
        <v>1/500</v>
      </c>
      <c r="L363" s="9">
        <f>M176</f>
        <v>1.7</v>
      </c>
      <c r="M363" s="9">
        <f>N176</f>
        <v>0</v>
      </c>
      <c r="N363" s="9">
        <f t="shared" si="138"/>
        <v>1.9</v>
      </c>
      <c r="O363" s="9">
        <f t="shared" si="139"/>
        <v>1.6</v>
      </c>
      <c r="P363" s="9">
        <f t="shared" si="140"/>
        <v>3.9400000000000004</v>
      </c>
      <c r="Q363" s="9">
        <f t="shared" si="141"/>
        <v>3.44</v>
      </c>
      <c r="R363" s="9">
        <f t="shared" si="142"/>
        <v>0.48</v>
      </c>
      <c r="S363" s="9">
        <f t="shared" si="143"/>
        <v>0.47</v>
      </c>
      <c r="T363" s="9">
        <f>S176</f>
        <v>0.48</v>
      </c>
      <c r="U363" s="9">
        <f>T176</f>
        <v>1.6</v>
      </c>
    </row>
    <row r="364" spans="3:21">
      <c r="C364" s="10">
        <f t="shared" ref="C364:J364" si="148">C181</f>
        <v>6200</v>
      </c>
      <c r="D364" s="9">
        <f t="shared" si="148"/>
        <v>3.75</v>
      </c>
      <c r="E364" s="9">
        <f t="shared" si="148"/>
        <v>3</v>
      </c>
      <c r="F364" s="9">
        <f t="shared" si="148"/>
        <v>1.97</v>
      </c>
      <c r="G364" s="9">
        <f t="shared" si="148"/>
        <v>1.88</v>
      </c>
      <c r="H364" s="9">
        <f t="shared" si="148"/>
        <v>1.1200000000000001</v>
      </c>
      <c r="I364" s="9">
        <f t="shared" si="148"/>
        <v>0.87</v>
      </c>
      <c r="J364" s="9">
        <f t="shared" si="148"/>
        <v>1.4E-2</v>
      </c>
      <c r="K364" s="9" t="str">
        <f>L181</f>
        <v>1/500</v>
      </c>
      <c r="L364" s="9">
        <f>M181</f>
        <v>1.7</v>
      </c>
      <c r="M364" s="9">
        <f>N181</f>
        <v>0</v>
      </c>
      <c r="N364" s="9">
        <f t="shared" si="138"/>
        <v>1.9</v>
      </c>
      <c r="O364" s="9">
        <f t="shared" si="139"/>
        <v>1.6</v>
      </c>
      <c r="P364" s="9">
        <f t="shared" si="140"/>
        <v>3.9400000000000004</v>
      </c>
      <c r="Q364" s="9">
        <f t="shared" si="141"/>
        <v>3.44</v>
      </c>
      <c r="R364" s="9">
        <f t="shared" si="142"/>
        <v>0.48</v>
      </c>
      <c r="S364" s="9">
        <f t="shared" si="143"/>
        <v>0.47</v>
      </c>
      <c r="T364" s="9">
        <f>S181</f>
        <v>0.48</v>
      </c>
      <c r="U364" s="9">
        <f>T181</f>
        <v>1.6</v>
      </c>
    </row>
    <row r="365" spans="3:21">
      <c r="C365" s="10">
        <f t="shared" ref="C365:J365" si="149">C185</f>
        <v>6400</v>
      </c>
      <c r="D365" s="9">
        <f t="shared" si="149"/>
        <v>3.75</v>
      </c>
      <c r="E365" s="9">
        <f t="shared" si="149"/>
        <v>3</v>
      </c>
      <c r="F365" s="9">
        <f t="shared" si="149"/>
        <v>1.97</v>
      </c>
      <c r="G365" s="9">
        <f t="shared" si="149"/>
        <v>1.88</v>
      </c>
      <c r="H365" s="9">
        <f t="shared" si="149"/>
        <v>1.1200000000000001</v>
      </c>
      <c r="I365" s="9">
        <f t="shared" si="149"/>
        <v>0.87</v>
      </c>
      <c r="J365" s="9">
        <f t="shared" si="149"/>
        <v>1.4E-2</v>
      </c>
      <c r="K365" s="9" t="str">
        <f>L185</f>
        <v>1/500</v>
      </c>
      <c r="L365" s="9">
        <f>M185</f>
        <v>1.7</v>
      </c>
      <c r="M365" s="9">
        <f>N185</f>
        <v>0</v>
      </c>
      <c r="N365" s="9">
        <f t="shared" si="138"/>
        <v>1.9</v>
      </c>
      <c r="O365" s="9">
        <f t="shared" si="139"/>
        <v>1.6</v>
      </c>
      <c r="P365" s="9">
        <f t="shared" si="140"/>
        <v>3.9400000000000004</v>
      </c>
      <c r="Q365" s="9">
        <f t="shared" si="141"/>
        <v>3.44</v>
      </c>
      <c r="R365" s="9">
        <f t="shared" si="142"/>
        <v>0.48</v>
      </c>
      <c r="S365" s="9">
        <f t="shared" si="143"/>
        <v>0.47</v>
      </c>
      <c r="T365" s="9">
        <f>S185</f>
        <v>0.48</v>
      </c>
      <c r="U365" s="9">
        <f>T185</f>
        <v>1.6</v>
      </c>
    </row>
    <row r="366" spans="3:21">
      <c r="C366" s="10">
        <f t="shared" ref="C366:J366" si="150">C191</f>
        <v>6600</v>
      </c>
      <c r="D366" s="9">
        <f t="shared" si="150"/>
        <v>3.75</v>
      </c>
      <c r="E366" s="9">
        <f t="shared" si="150"/>
        <v>3</v>
      </c>
      <c r="F366" s="9">
        <f t="shared" si="150"/>
        <v>1.97</v>
      </c>
      <c r="G366" s="9">
        <f t="shared" si="150"/>
        <v>1.88</v>
      </c>
      <c r="H366" s="9">
        <f t="shared" si="150"/>
        <v>1.1200000000000001</v>
      </c>
      <c r="I366" s="9">
        <f t="shared" si="150"/>
        <v>0.87</v>
      </c>
      <c r="J366" s="9">
        <f t="shared" si="150"/>
        <v>1.4E-2</v>
      </c>
      <c r="K366" s="9" t="str">
        <f>L191</f>
        <v>1/500</v>
      </c>
      <c r="L366" s="9">
        <f>M191</f>
        <v>1.7</v>
      </c>
      <c r="M366" s="9">
        <f>N191</f>
        <v>0</v>
      </c>
      <c r="N366" s="9">
        <f t="shared" si="138"/>
        <v>1.9</v>
      </c>
      <c r="O366" s="9">
        <f t="shared" si="139"/>
        <v>1.6</v>
      </c>
      <c r="P366" s="9">
        <f t="shared" si="140"/>
        <v>3.9400000000000004</v>
      </c>
      <c r="Q366" s="9">
        <f t="shared" si="141"/>
        <v>3.44</v>
      </c>
      <c r="R366" s="9">
        <f t="shared" si="142"/>
        <v>0.48</v>
      </c>
      <c r="S366" s="9">
        <f t="shared" si="143"/>
        <v>0.47</v>
      </c>
      <c r="T366" s="9">
        <f>S191</f>
        <v>0.48</v>
      </c>
      <c r="U366" s="9">
        <f>T191</f>
        <v>1.6</v>
      </c>
    </row>
    <row r="367" spans="3:21">
      <c r="C367" s="10">
        <f t="shared" ref="C367:J367" si="151">C195</f>
        <v>6800</v>
      </c>
      <c r="D367" s="9">
        <f t="shared" si="151"/>
        <v>3.75</v>
      </c>
      <c r="E367" s="9">
        <f t="shared" si="151"/>
        <v>3</v>
      </c>
      <c r="F367" s="9">
        <f t="shared" si="151"/>
        <v>1.97</v>
      </c>
      <c r="G367" s="9">
        <f t="shared" si="151"/>
        <v>1.88</v>
      </c>
      <c r="H367" s="9">
        <f t="shared" si="151"/>
        <v>1.1200000000000001</v>
      </c>
      <c r="I367" s="9">
        <f t="shared" si="151"/>
        <v>0.87</v>
      </c>
      <c r="J367" s="9">
        <f t="shared" si="151"/>
        <v>1.4E-2</v>
      </c>
      <c r="K367" s="9" t="str">
        <f>L195</f>
        <v>1/500</v>
      </c>
      <c r="L367" s="9">
        <f>M195</f>
        <v>1.7</v>
      </c>
      <c r="M367" s="9">
        <f>N195</f>
        <v>0</v>
      </c>
      <c r="N367" s="9">
        <f t="shared" si="138"/>
        <v>1.9</v>
      </c>
      <c r="O367" s="9">
        <f t="shared" si="139"/>
        <v>1.6</v>
      </c>
      <c r="P367" s="9">
        <f t="shared" si="140"/>
        <v>3.9400000000000004</v>
      </c>
      <c r="Q367" s="9">
        <f t="shared" si="141"/>
        <v>3.44</v>
      </c>
      <c r="R367" s="9">
        <f t="shared" si="142"/>
        <v>0.48</v>
      </c>
      <c r="S367" s="9">
        <f t="shared" si="143"/>
        <v>0.47</v>
      </c>
      <c r="T367" s="9">
        <f>S195</f>
        <v>0.48</v>
      </c>
      <c r="U367" s="9">
        <f>T195</f>
        <v>1.6</v>
      </c>
    </row>
    <row r="368" spans="3:21">
      <c r="C368" s="10">
        <f t="shared" ref="C368:J368" si="152">C199</f>
        <v>7000</v>
      </c>
      <c r="D368" s="9">
        <f t="shared" si="152"/>
        <v>3.75</v>
      </c>
      <c r="E368" s="9">
        <f t="shared" si="152"/>
        <v>3</v>
      </c>
      <c r="F368" s="9">
        <f t="shared" si="152"/>
        <v>1.97</v>
      </c>
      <c r="G368" s="9">
        <f t="shared" si="152"/>
        <v>1.88</v>
      </c>
      <c r="H368" s="9">
        <f t="shared" si="152"/>
        <v>1.1200000000000001</v>
      </c>
      <c r="I368" s="9">
        <f t="shared" si="152"/>
        <v>0.87</v>
      </c>
      <c r="J368" s="9">
        <f t="shared" si="152"/>
        <v>1.4E-2</v>
      </c>
      <c r="K368" s="9" t="str">
        <f>L199</f>
        <v>1/500</v>
      </c>
      <c r="L368" s="9">
        <f>M199</f>
        <v>1.7</v>
      </c>
      <c r="M368" s="9">
        <f>N199</f>
        <v>0</v>
      </c>
      <c r="N368" s="9">
        <f t="shared" si="138"/>
        <v>1.9</v>
      </c>
      <c r="O368" s="9">
        <f t="shared" si="139"/>
        <v>1.6</v>
      </c>
      <c r="P368" s="9">
        <f t="shared" si="140"/>
        <v>3.9400000000000004</v>
      </c>
      <c r="Q368" s="9">
        <f t="shared" si="141"/>
        <v>3.44</v>
      </c>
      <c r="R368" s="9">
        <f t="shared" si="142"/>
        <v>0.48</v>
      </c>
      <c r="S368" s="9">
        <f t="shared" si="143"/>
        <v>0.47</v>
      </c>
      <c r="T368" s="9">
        <f>S199</f>
        <v>0.48</v>
      </c>
      <c r="U368" s="9">
        <f>T199</f>
        <v>1.6</v>
      </c>
    </row>
    <row r="369" spans="3:21">
      <c r="C369" s="10">
        <f t="shared" ref="C369:J369" si="153">C203</f>
        <v>7200</v>
      </c>
      <c r="D369" s="9">
        <f t="shared" si="153"/>
        <v>3.75</v>
      </c>
      <c r="E369" s="9">
        <f t="shared" si="153"/>
        <v>3</v>
      </c>
      <c r="F369" s="9">
        <f t="shared" si="153"/>
        <v>1.97</v>
      </c>
      <c r="G369" s="9">
        <f t="shared" si="153"/>
        <v>1.88</v>
      </c>
      <c r="H369" s="9">
        <f t="shared" si="153"/>
        <v>1.1200000000000001</v>
      </c>
      <c r="I369" s="9">
        <f t="shared" si="153"/>
        <v>0.87</v>
      </c>
      <c r="J369" s="9">
        <f t="shared" si="153"/>
        <v>1.4E-2</v>
      </c>
      <c r="K369" s="9" t="str">
        <f>L203</f>
        <v>1/500</v>
      </c>
      <c r="L369" s="9">
        <f>M203</f>
        <v>1.7</v>
      </c>
      <c r="M369" s="9">
        <f>N203</f>
        <v>0</v>
      </c>
      <c r="N369" s="9">
        <f t="shared" si="138"/>
        <v>1.9</v>
      </c>
      <c r="O369" s="9">
        <f t="shared" si="139"/>
        <v>1.6</v>
      </c>
      <c r="P369" s="9">
        <f t="shared" si="140"/>
        <v>3.9400000000000004</v>
      </c>
      <c r="Q369" s="9">
        <f t="shared" si="141"/>
        <v>3.44</v>
      </c>
      <c r="R369" s="9">
        <f t="shared" si="142"/>
        <v>0.48</v>
      </c>
      <c r="S369" s="9">
        <f t="shared" si="143"/>
        <v>0.47</v>
      </c>
      <c r="T369" s="9">
        <f>S203</f>
        <v>0.48</v>
      </c>
      <c r="U369" s="9">
        <f>T203</f>
        <v>1.6</v>
      </c>
    </row>
    <row r="370" spans="3:21">
      <c r="C370" s="10">
        <f t="shared" ref="C370:J371" si="154">C207</f>
        <v>7300</v>
      </c>
      <c r="D370" s="9">
        <f t="shared" si="154"/>
        <v>3.75</v>
      </c>
      <c r="E370" s="9">
        <f t="shared" si="154"/>
        <v>3</v>
      </c>
      <c r="F370" s="9">
        <f t="shared" si="154"/>
        <v>1.97</v>
      </c>
      <c r="G370" s="9">
        <f t="shared" si="154"/>
        <v>1.88</v>
      </c>
      <c r="H370" s="9">
        <f t="shared" si="154"/>
        <v>1.1200000000000001</v>
      </c>
      <c r="I370" s="9">
        <f t="shared" si="154"/>
        <v>0.87</v>
      </c>
      <c r="J370" s="9">
        <f t="shared" si="154"/>
        <v>1.4E-2</v>
      </c>
      <c r="K370" s="9" t="str">
        <f>L207</f>
        <v>1/500</v>
      </c>
      <c r="L370" s="9">
        <f>M207</f>
        <v>1.7</v>
      </c>
      <c r="M370" s="9">
        <f>N207</f>
        <v>0</v>
      </c>
      <c r="N370" s="9">
        <f t="shared" si="138"/>
        <v>1.9</v>
      </c>
      <c r="O370" s="9">
        <f t="shared" si="139"/>
        <v>1.6</v>
      </c>
      <c r="P370" s="9">
        <f t="shared" si="140"/>
        <v>3.9400000000000004</v>
      </c>
      <c r="Q370" s="9">
        <f t="shared" si="141"/>
        <v>3.44</v>
      </c>
      <c r="R370" s="9">
        <f t="shared" si="142"/>
        <v>0.48</v>
      </c>
      <c r="S370" s="9">
        <f t="shared" si="143"/>
        <v>0.47</v>
      </c>
      <c r="T370" s="9">
        <f>S207</f>
        <v>0.48</v>
      </c>
      <c r="U370" s="9">
        <f>T207</f>
        <v>1.6</v>
      </c>
    </row>
    <row r="371" spans="3:21">
      <c r="C371" s="10">
        <f t="shared" si="154"/>
        <v>7310</v>
      </c>
      <c r="D371" s="9">
        <f t="shared" si="154"/>
        <v>3.75</v>
      </c>
      <c r="E371" s="9">
        <f t="shared" si="154"/>
        <v>3</v>
      </c>
      <c r="F371" s="9">
        <f t="shared" si="154"/>
        <v>1.94</v>
      </c>
      <c r="G371" s="9">
        <f t="shared" si="154"/>
        <v>1.83</v>
      </c>
      <c r="H371" s="9">
        <f t="shared" si="154"/>
        <v>0.85</v>
      </c>
      <c r="I371" s="9">
        <f t="shared" si="154"/>
        <v>0.76</v>
      </c>
      <c r="J371" s="9">
        <f t="shared" si="154"/>
        <v>1.4E-2</v>
      </c>
      <c r="K371" s="9" t="str">
        <f>L208</f>
        <v>1/500</v>
      </c>
      <c r="L371" s="9">
        <f t="shared" ref="L371" si="155">M208</f>
        <v>1</v>
      </c>
      <c r="M371" s="9">
        <f>N208</f>
        <v>1.5</v>
      </c>
      <c r="N371" s="9">
        <f t="shared" si="138"/>
        <v>1.93</v>
      </c>
      <c r="O371" s="9">
        <f t="shared" si="139"/>
        <v>1.64</v>
      </c>
      <c r="P371" s="13">
        <f t="shared" si="140"/>
        <v>4.0647185841443907</v>
      </c>
      <c r="Q371" s="13">
        <f t="shared" si="141"/>
        <v>3.740218969352632</v>
      </c>
      <c r="R371" s="9">
        <f t="shared" si="142"/>
        <v>0.47</v>
      </c>
      <c r="S371" s="9">
        <f t="shared" si="143"/>
        <v>0.44</v>
      </c>
      <c r="T371" s="9">
        <f>S208</f>
        <v>0.65</v>
      </c>
      <c r="U371" s="9">
        <f>T208</f>
        <v>1.5</v>
      </c>
    </row>
    <row r="372" spans="3:21">
      <c r="C372" s="10">
        <f t="shared" ref="C372:J372" si="156">C210</f>
        <v>7400</v>
      </c>
      <c r="D372" s="9">
        <f t="shared" si="156"/>
        <v>3.75</v>
      </c>
      <c r="E372" s="9">
        <f t="shared" si="156"/>
        <v>3</v>
      </c>
      <c r="F372" s="9">
        <f t="shared" si="156"/>
        <v>1.94</v>
      </c>
      <c r="G372" s="9">
        <f t="shared" si="156"/>
        <v>1.83</v>
      </c>
      <c r="H372" s="9">
        <f t="shared" si="156"/>
        <v>0.85</v>
      </c>
      <c r="I372" s="9">
        <f t="shared" si="156"/>
        <v>0.76</v>
      </c>
      <c r="J372" s="9">
        <f t="shared" si="156"/>
        <v>1.4E-2</v>
      </c>
      <c r="K372" s="9" t="str">
        <f>L210</f>
        <v>1/500</v>
      </c>
      <c r="L372" s="9">
        <f>M210</f>
        <v>1</v>
      </c>
      <c r="M372" s="9">
        <f>N210</f>
        <v>1.5</v>
      </c>
      <c r="N372" s="9">
        <f t="shared" si="138"/>
        <v>1.93</v>
      </c>
      <c r="O372" s="9">
        <f t="shared" si="139"/>
        <v>1.64</v>
      </c>
      <c r="P372" s="13">
        <f t="shared" si="140"/>
        <v>4.0647185841443907</v>
      </c>
      <c r="Q372" s="13">
        <f t="shared" si="141"/>
        <v>3.740218969352632</v>
      </c>
      <c r="R372" s="9">
        <f t="shared" si="142"/>
        <v>0.47</v>
      </c>
      <c r="S372" s="9">
        <f t="shared" si="143"/>
        <v>0.44</v>
      </c>
      <c r="T372" s="9">
        <f>S210</f>
        <v>0.65</v>
      </c>
      <c r="U372" s="9">
        <f>T210</f>
        <v>1.5</v>
      </c>
    </row>
    <row r="373" spans="3:21">
      <c r="C373" s="10">
        <f t="shared" ref="C373:J373" si="157">C214</f>
        <v>7600</v>
      </c>
      <c r="D373" s="9">
        <f t="shared" si="157"/>
        <v>3.75</v>
      </c>
      <c r="E373" s="9">
        <f t="shared" si="157"/>
        <v>3</v>
      </c>
      <c r="F373" s="9">
        <f t="shared" si="157"/>
        <v>1.94</v>
      </c>
      <c r="G373" s="9">
        <f t="shared" si="157"/>
        <v>1.83</v>
      </c>
      <c r="H373" s="9">
        <f t="shared" si="157"/>
        <v>0.85</v>
      </c>
      <c r="I373" s="9">
        <f t="shared" si="157"/>
        <v>0.76</v>
      </c>
      <c r="J373" s="9">
        <f t="shared" si="157"/>
        <v>1.4E-2</v>
      </c>
      <c r="K373" s="9" t="str">
        <f>L214</f>
        <v>1/500</v>
      </c>
      <c r="L373" s="9">
        <f>M214</f>
        <v>1</v>
      </c>
      <c r="M373" s="9">
        <f>N214</f>
        <v>1.5</v>
      </c>
      <c r="N373" s="9">
        <f t="shared" si="138"/>
        <v>1.93</v>
      </c>
      <c r="O373" s="9">
        <f t="shared" si="139"/>
        <v>1.64</v>
      </c>
      <c r="P373" s="13">
        <f t="shared" si="140"/>
        <v>4.0647185841443907</v>
      </c>
      <c r="Q373" s="13">
        <f t="shared" si="141"/>
        <v>3.740218969352632</v>
      </c>
      <c r="R373" s="9">
        <f t="shared" si="142"/>
        <v>0.47</v>
      </c>
      <c r="S373" s="9">
        <f t="shared" si="143"/>
        <v>0.44</v>
      </c>
      <c r="T373" s="9">
        <f>S214</f>
        <v>0.65</v>
      </c>
      <c r="U373" s="9">
        <f>T214</f>
        <v>1.5</v>
      </c>
    </row>
    <row r="374" spans="3:21">
      <c r="C374" s="10">
        <f t="shared" ref="C374:J374" si="158">C218</f>
        <v>7800</v>
      </c>
      <c r="D374" s="9">
        <f t="shared" si="158"/>
        <v>3.75</v>
      </c>
      <c r="E374" s="9">
        <f t="shared" si="158"/>
        <v>3</v>
      </c>
      <c r="F374" s="9">
        <f t="shared" si="158"/>
        <v>1.94</v>
      </c>
      <c r="G374" s="9">
        <f t="shared" si="158"/>
        <v>1.83</v>
      </c>
      <c r="H374" s="9">
        <f t="shared" si="158"/>
        <v>0.85</v>
      </c>
      <c r="I374" s="9">
        <f t="shared" si="158"/>
        <v>0.76</v>
      </c>
      <c r="J374" s="9">
        <f t="shared" si="158"/>
        <v>1.4E-2</v>
      </c>
      <c r="K374" s="9" t="str">
        <f>L218</f>
        <v>1/500</v>
      </c>
      <c r="L374" s="9">
        <f>M218</f>
        <v>1</v>
      </c>
      <c r="M374" s="9">
        <f>N218</f>
        <v>1.5</v>
      </c>
      <c r="N374" s="9">
        <f t="shared" ref="N374:N390" si="159">ROUND(D374/F374,2)</f>
        <v>1.93</v>
      </c>
      <c r="O374" s="9">
        <f t="shared" ref="O374:O390" si="160">ROUND(E374/G374,2)</f>
        <v>1.64</v>
      </c>
      <c r="P374" s="13">
        <f t="shared" ref="P374:P390" si="161">L374+2*H374*(1+M374*M374)^0.5</f>
        <v>4.0647185841443907</v>
      </c>
      <c r="Q374" s="13">
        <f t="shared" ref="Q374:Q390" si="162">L374+2*I374*(1+M374*M374)^0.5</f>
        <v>3.740218969352632</v>
      </c>
      <c r="R374" s="9">
        <f t="shared" ref="R374:R390" si="163">ROUND(N374/P374,2)</f>
        <v>0.47</v>
      </c>
      <c r="S374" s="9">
        <f t="shared" ref="S374:S390" si="164">ROUND(O374/Q374,2)</f>
        <v>0.44</v>
      </c>
      <c r="T374" s="9">
        <f>S218</f>
        <v>0.65</v>
      </c>
      <c r="U374" s="9">
        <f>T218</f>
        <v>1.5</v>
      </c>
    </row>
    <row r="375" spans="3:21">
      <c r="C375" s="10">
        <f t="shared" ref="C375:J377" si="165">C222</f>
        <v>8000</v>
      </c>
      <c r="D375" s="9">
        <f t="shared" si="165"/>
        <v>3.75</v>
      </c>
      <c r="E375" s="9">
        <f t="shared" si="165"/>
        <v>3</v>
      </c>
      <c r="F375" s="9">
        <f t="shared" si="165"/>
        <v>1.94</v>
      </c>
      <c r="G375" s="9">
        <f t="shared" si="165"/>
        <v>1.83</v>
      </c>
      <c r="H375" s="9">
        <f t="shared" si="165"/>
        <v>0.85</v>
      </c>
      <c r="I375" s="9">
        <f t="shared" si="165"/>
        <v>0.76</v>
      </c>
      <c r="J375" s="9">
        <f t="shared" si="165"/>
        <v>1.4E-2</v>
      </c>
      <c r="K375" s="9" t="str">
        <f t="shared" ref="K375:M377" si="166">L222</f>
        <v>1/500</v>
      </c>
      <c r="L375" s="9">
        <f t="shared" si="166"/>
        <v>1</v>
      </c>
      <c r="M375" s="9">
        <f t="shared" si="166"/>
        <v>1.5</v>
      </c>
      <c r="N375" s="9">
        <f t="shared" si="159"/>
        <v>1.93</v>
      </c>
      <c r="O375" s="9">
        <f t="shared" si="160"/>
        <v>1.64</v>
      </c>
      <c r="P375" s="13">
        <f t="shared" si="161"/>
        <v>4.0647185841443907</v>
      </c>
      <c r="Q375" s="13">
        <f t="shared" si="162"/>
        <v>3.740218969352632</v>
      </c>
      <c r="R375" s="9">
        <f t="shared" si="163"/>
        <v>0.47</v>
      </c>
      <c r="S375" s="9">
        <f t="shared" si="164"/>
        <v>0.44</v>
      </c>
      <c r="T375" s="9">
        <f t="shared" ref="T375:U377" si="167">S222</f>
        <v>0.65</v>
      </c>
      <c r="U375" s="9">
        <f t="shared" si="167"/>
        <v>1.5</v>
      </c>
    </row>
    <row r="376" spans="3:21">
      <c r="C376" s="10">
        <f t="shared" si="165"/>
        <v>8050</v>
      </c>
      <c r="D376" s="9">
        <f t="shared" si="165"/>
        <v>3.75</v>
      </c>
      <c r="E376" s="9">
        <f t="shared" si="165"/>
        <v>3</v>
      </c>
      <c r="F376" s="9">
        <f t="shared" si="165"/>
        <v>1.94</v>
      </c>
      <c r="G376" s="9">
        <f t="shared" si="165"/>
        <v>1.83</v>
      </c>
      <c r="H376" s="9">
        <f t="shared" si="165"/>
        <v>0.85</v>
      </c>
      <c r="I376" s="9">
        <f t="shared" si="165"/>
        <v>0.76</v>
      </c>
      <c r="J376" s="9">
        <f t="shared" si="165"/>
        <v>1.4E-2</v>
      </c>
      <c r="K376" s="9" t="str">
        <f t="shared" si="166"/>
        <v>1/500</v>
      </c>
      <c r="L376" s="9">
        <f t="shared" si="166"/>
        <v>1</v>
      </c>
      <c r="M376" s="9">
        <f t="shared" si="166"/>
        <v>1.5</v>
      </c>
      <c r="N376" s="9">
        <f t="shared" si="159"/>
        <v>1.93</v>
      </c>
      <c r="O376" s="9">
        <f t="shared" si="160"/>
        <v>1.64</v>
      </c>
      <c r="P376" s="13">
        <f t="shared" si="161"/>
        <v>4.0647185841443907</v>
      </c>
      <c r="Q376" s="13">
        <f t="shared" si="162"/>
        <v>3.740218969352632</v>
      </c>
      <c r="R376" s="9">
        <f t="shared" si="163"/>
        <v>0.47</v>
      </c>
      <c r="S376" s="9">
        <f t="shared" si="164"/>
        <v>0.44</v>
      </c>
      <c r="T376" s="9">
        <f t="shared" si="167"/>
        <v>0.65</v>
      </c>
      <c r="U376" s="9">
        <f t="shared" si="167"/>
        <v>1.5</v>
      </c>
    </row>
    <row r="377" spans="3:21">
      <c r="C377" s="10">
        <f t="shared" si="165"/>
        <v>8100</v>
      </c>
      <c r="D377" s="9">
        <f t="shared" si="165"/>
        <v>3.75</v>
      </c>
      <c r="E377" s="9">
        <f t="shared" si="165"/>
        <v>3</v>
      </c>
      <c r="F377" s="9">
        <f t="shared" si="165"/>
        <v>1.5</v>
      </c>
      <c r="G377" s="9">
        <f t="shared" si="165"/>
        <v>1.41</v>
      </c>
      <c r="H377" s="9">
        <f t="shared" si="165"/>
        <v>1</v>
      </c>
      <c r="I377" s="9">
        <f t="shared" si="165"/>
        <v>0.9</v>
      </c>
      <c r="J377" s="9">
        <f t="shared" si="165"/>
        <v>1.4E-2</v>
      </c>
      <c r="K377" s="9" t="str">
        <f t="shared" si="166"/>
        <v>1/1000</v>
      </c>
      <c r="L377" s="9">
        <f t="shared" si="166"/>
        <v>1</v>
      </c>
      <c r="M377" s="9">
        <f t="shared" si="166"/>
        <v>1.5</v>
      </c>
      <c r="N377" s="9">
        <f t="shared" si="159"/>
        <v>2.5</v>
      </c>
      <c r="O377" s="9">
        <f t="shared" si="160"/>
        <v>2.13</v>
      </c>
      <c r="P377" s="13">
        <f t="shared" si="161"/>
        <v>4.6055512754639896</v>
      </c>
      <c r="Q377" s="13">
        <f t="shared" si="162"/>
        <v>4.2449961479175897</v>
      </c>
      <c r="R377" s="9">
        <f t="shared" si="163"/>
        <v>0.54</v>
      </c>
      <c r="S377" s="9">
        <f t="shared" si="164"/>
        <v>0.5</v>
      </c>
      <c r="T377" s="9">
        <f t="shared" si="167"/>
        <v>0.5</v>
      </c>
      <c r="U377" s="9">
        <f t="shared" si="167"/>
        <v>1.5</v>
      </c>
    </row>
    <row r="378" spans="3:21">
      <c r="C378" s="10">
        <f t="shared" ref="C378:J378" si="168">C226</f>
        <v>8200</v>
      </c>
      <c r="D378" s="9">
        <f t="shared" si="168"/>
        <v>3.75</v>
      </c>
      <c r="E378" s="9">
        <f t="shared" si="168"/>
        <v>3</v>
      </c>
      <c r="F378" s="9">
        <f t="shared" si="168"/>
        <v>1.5</v>
      </c>
      <c r="G378" s="9">
        <f t="shared" si="168"/>
        <v>1.41</v>
      </c>
      <c r="H378" s="9">
        <f t="shared" si="168"/>
        <v>1</v>
      </c>
      <c r="I378" s="9">
        <f t="shared" si="168"/>
        <v>0.9</v>
      </c>
      <c r="J378" s="9">
        <f t="shared" si="168"/>
        <v>1.4E-2</v>
      </c>
      <c r="K378" s="9" t="str">
        <f>L226</f>
        <v>1/1000</v>
      </c>
      <c r="L378" s="9">
        <f>M226</f>
        <v>1</v>
      </c>
      <c r="M378" s="9">
        <f>N226</f>
        <v>1.5</v>
      </c>
      <c r="N378" s="9">
        <f t="shared" si="159"/>
        <v>2.5</v>
      </c>
      <c r="O378" s="9">
        <f t="shared" si="160"/>
        <v>2.13</v>
      </c>
      <c r="P378" s="13">
        <f t="shared" si="161"/>
        <v>4.6055512754639896</v>
      </c>
      <c r="Q378" s="13">
        <f t="shared" si="162"/>
        <v>4.2449961479175897</v>
      </c>
      <c r="R378" s="9">
        <f t="shared" si="163"/>
        <v>0.54</v>
      </c>
      <c r="S378" s="9">
        <f t="shared" si="164"/>
        <v>0.5</v>
      </c>
      <c r="T378" s="9">
        <f>S226</f>
        <v>0.5</v>
      </c>
      <c r="U378" s="9">
        <f>T226</f>
        <v>1.5</v>
      </c>
    </row>
    <row r="379" spans="3:21">
      <c r="C379" s="10">
        <f t="shared" ref="C379:J379" si="169">C230</f>
        <v>8400</v>
      </c>
      <c r="D379" s="9">
        <f t="shared" si="169"/>
        <v>3.75</v>
      </c>
      <c r="E379" s="9">
        <f t="shared" si="169"/>
        <v>3</v>
      </c>
      <c r="F379" s="9">
        <f t="shared" si="169"/>
        <v>1.5</v>
      </c>
      <c r="G379" s="9">
        <f t="shared" si="169"/>
        <v>1.41</v>
      </c>
      <c r="H379" s="9">
        <f t="shared" si="169"/>
        <v>1</v>
      </c>
      <c r="I379" s="9">
        <f t="shared" si="169"/>
        <v>0.9</v>
      </c>
      <c r="J379" s="9">
        <f t="shared" si="169"/>
        <v>1.4E-2</v>
      </c>
      <c r="K379" s="9" t="str">
        <f>L230</f>
        <v>1/1000</v>
      </c>
      <c r="L379" s="9">
        <f>M230</f>
        <v>1</v>
      </c>
      <c r="M379" s="9">
        <f>N230</f>
        <v>1.5</v>
      </c>
      <c r="N379" s="9">
        <f t="shared" si="159"/>
        <v>2.5</v>
      </c>
      <c r="O379" s="9">
        <f t="shared" si="160"/>
        <v>2.13</v>
      </c>
      <c r="P379" s="13">
        <f t="shared" si="161"/>
        <v>4.6055512754639896</v>
      </c>
      <c r="Q379" s="13">
        <f t="shared" si="162"/>
        <v>4.2449961479175897</v>
      </c>
      <c r="R379" s="9">
        <f t="shared" si="163"/>
        <v>0.54</v>
      </c>
      <c r="S379" s="9">
        <f t="shared" si="164"/>
        <v>0.5</v>
      </c>
      <c r="T379" s="9">
        <f>S230</f>
        <v>0.5</v>
      </c>
      <c r="U379" s="9">
        <f>T230</f>
        <v>1.5</v>
      </c>
    </row>
    <row r="380" spans="3:21">
      <c r="C380" s="10">
        <f t="shared" ref="C380:J380" si="170">C234</f>
        <v>8600</v>
      </c>
      <c r="D380" s="9">
        <f t="shared" si="170"/>
        <v>3.75</v>
      </c>
      <c r="E380" s="9">
        <f t="shared" si="170"/>
        <v>3</v>
      </c>
      <c r="F380" s="9">
        <f t="shared" si="170"/>
        <v>1.5</v>
      </c>
      <c r="G380" s="9">
        <f t="shared" si="170"/>
        <v>1.41</v>
      </c>
      <c r="H380" s="9">
        <f t="shared" si="170"/>
        <v>1</v>
      </c>
      <c r="I380" s="9">
        <f t="shared" si="170"/>
        <v>0.9</v>
      </c>
      <c r="J380" s="9">
        <f t="shared" si="170"/>
        <v>1.4E-2</v>
      </c>
      <c r="K380" s="9" t="str">
        <f>L234</f>
        <v>1/1000</v>
      </c>
      <c r="L380" s="9">
        <f>M234</f>
        <v>1</v>
      </c>
      <c r="M380" s="9">
        <f>N234</f>
        <v>1.5</v>
      </c>
      <c r="N380" s="9">
        <f t="shared" si="159"/>
        <v>2.5</v>
      </c>
      <c r="O380" s="9">
        <f t="shared" si="160"/>
        <v>2.13</v>
      </c>
      <c r="P380" s="13">
        <f t="shared" si="161"/>
        <v>4.6055512754639896</v>
      </c>
      <c r="Q380" s="13">
        <f t="shared" si="162"/>
        <v>4.2449961479175897</v>
      </c>
      <c r="R380" s="9">
        <f t="shared" si="163"/>
        <v>0.54</v>
      </c>
      <c r="S380" s="9">
        <f t="shared" si="164"/>
        <v>0.5</v>
      </c>
      <c r="T380" s="9">
        <f>S234</f>
        <v>0.5</v>
      </c>
      <c r="U380" s="9">
        <f>T234</f>
        <v>1.5</v>
      </c>
    </row>
    <row r="381" spans="3:21">
      <c r="C381" s="10">
        <f t="shared" ref="C381:J381" si="171">C238</f>
        <v>8800</v>
      </c>
      <c r="D381" s="9">
        <f t="shared" si="171"/>
        <v>3.75</v>
      </c>
      <c r="E381" s="9">
        <f t="shared" si="171"/>
        <v>3</v>
      </c>
      <c r="F381" s="9">
        <f t="shared" si="171"/>
        <v>1.5</v>
      </c>
      <c r="G381" s="9">
        <f t="shared" si="171"/>
        <v>1.41</v>
      </c>
      <c r="H381" s="9">
        <f t="shared" si="171"/>
        <v>1</v>
      </c>
      <c r="I381" s="9">
        <f t="shared" si="171"/>
        <v>0.9</v>
      </c>
      <c r="J381" s="9">
        <f t="shared" si="171"/>
        <v>1.4E-2</v>
      </c>
      <c r="K381" s="9" t="str">
        <f>L238</f>
        <v>1/1000</v>
      </c>
      <c r="L381" s="9">
        <f>M238</f>
        <v>1</v>
      </c>
      <c r="M381" s="9">
        <f>N238</f>
        <v>1.5</v>
      </c>
      <c r="N381" s="9">
        <f t="shared" si="159"/>
        <v>2.5</v>
      </c>
      <c r="O381" s="9">
        <f t="shared" si="160"/>
        <v>2.13</v>
      </c>
      <c r="P381" s="13">
        <f t="shared" si="161"/>
        <v>4.6055512754639896</v>
      </c>
      <c r="Q381" s="13">
        <f t="shared" si="162"/>
        <v>4.2449961479175897</v>
      </c>
      <c r="R381" s="9">
        <f t="shared" si="163"/>
        <v>0.54</v>
      </c>
      <c r="S381" s="9">
        <f t="shared" si="164"/>
        <v>0.5</v>
      </c>
      <c r="T381" s="9">
        <f>S238</f>
        <v>0.5</v>
      </c>
      <c r="U381" s="9">
        <f>T238</f>
        <v>1.5</v>
      </c>
    </row>
    <row r="382" spans="3:21">
      <c r="C382" s="10">
        <f t="shared" ref="C382:J382" si="172">C242</f>
        <v>9000</v>
      </c>
      <c r="D382" s="9">
        <f t="shared" si="172"/>
        <v>3.75</v>
      </c>
      <c r="E382" s="9">
        <f t="shared" si="172"/>
        <v>3</v>
      </c>
      <c r="F382" s="9">
        <f t="shared" si="172"/>
        <v>1.5</v>
      </c>
      <c r="G382" s="9">
        <f t="shared" si="172"/>
        <v>1.41</v>
      </c>
      <c r="H382" s="9">
        <f t="shared" si="172"/>
        <v>1</v>
      </c>
      <c r="I382" s="9">
        <f t="shared" si="172"/>
        <v>0.9</v>
      </c>
      <c r="J382" s="9">
        <f t="shared" si="172"/>
        <v>1.4E-2</v>
      </c>
      <c r="K382" s="9" t="str">
        <f>L242</f>
        <v>1/1000</v>
      </c>
      <c r="L382" s="9">
        <f>M242</f>
        <v>1</v>
      </c>
      <c r="M382" s="9">
        <f>N242</f>
        <v>1.5</v>
      </c>
      <c r="N382" s="9">
        <f t="shared" si="159"/>
        <v>2.5</v>
      </c>
      <c r="O382" s="9">
        <f t="shared" si="160"/>
        <v>2.13</v>
      </c>
      <c r="P382" s="13">
        <f t="shared" si="161"/>
        <v>4.6055512754639896</v>
      </c>
      <c r="Q382" s="13">
        <f t="shared" si="162"/>
        <v>4.2449961479175897</v>
      </c>
      <c r="R382" s="9">
        <f t="shared" si="163"/>
        <v>0.54</v>
      </c>
      <c r="S382" s="9">
        <f t="shared" si="164"/>
        <v>0.5</v>
      </c>
      <c r="T382" s="9">
        <f>S242</f>
        <v>0.5</v>
      </c>
      <c r="U382" s="9">
        <f>T242</f>
        <v>1.5</v>
      </c>
    </row>
    <row r="383" spans="3:21">
      <c r="C383" s="10">
        <f t="shared" ref="C383:J383" si="173">C246</f>
        <v>9200</v>
      </c>
      <c r="D383" s="9">
        <f t="shared" si="173"/>
        <v>3.75</v>
      </c>
      <c r="E383" s="9">
        <f t="shared" si="173"/>
        <v>3</v>
      </c>
      <c r="F383" s="9">
        <f t="shared" si="173"/>
        <v>1.5</v>
      </c>
      <c r="G383" s="9">
        <f t="shared" si="173"/>
        <v>1.41</v>
      </c>
      <c r="H383" s="9">
        <f t="shared" si="173"/>
        <v>1</v>
      </c>
      <c r="I383" s="9">
        <f t="shared" si="173"/>
        <v>0.9</v>
      </c>
      <c r="J383" s="9">
        <f t="shared" si="173"/>
        <v>1.4E-2</v>
      </c>
      <c r="K383" s="9" t="str">
        <f>L246</f>
        <v>1/1000</v>
      </c>
      <c r="L383" s="9">
        <f>M246</f>
        <v>1</v>
      </c>
      <c r="M383" s="9">
        <f>N246</f>
        <v>1.5</v>
      </c>
      <c r="N383" s="9">
        <f t="shared" si="159"/>
        <v>2.5</v>
      </c>
      <c r="O383" s="9">
        <f t="shared" si="160"/>
        <v>2.13</v>
      </c>
      <c r="P383" s="13">
        <f t="shared" si="161"/>
        <v>4.6055512754639896</v>
      </c>
      <c r="Q383" s="13">
        <f t="shared" si="162"/>
        <v>4.2449961479175897</v>
      </c>
      <c r="R383" s="9">
        <f t="shared" si="163"/>
        <v>0.54</v>
      </c>
      <c r="S383" s="9">
        <f t="shared" si="164"/>
        <v>0.5</v>
      </c>
      <c r="T383" s="9">
        <f>S246</f>
        <v>0.5</v>
      </c>
      <c r="U383" s="9">
        <f>T246</f>
        <v>1.5</v>
      </c>
    </row>
    <row r="384" spans="3:21">
      <c r="C384" s="10">
        <f t="shared" ref="C384:J384" si="174">C250</f>
        <v>9400</v>
      </c>
      <c r="D384" s="9">
        <f t="shared" si="174"/>
        <v>3.75</v>
      </c>
      <c r="E384" s="9">
        <f t="shared" si="174"/>
        <v>3</v>
      </c>
      <c r="F384" s="9">
        <f t="shared" si="174"/>
        <v>1.5</v>
      </c>
      <c r="G384" s="9">
        <f t="shared" si="174"/>
        <v>1.41</v>
      </c>
      <c r="H384" s="9">
        <f t="shared" si="174"/>
        <v>1</v>
      </c>
      <c r="I384" s="9">
        <f t="shared" si="174"/>
        <v>0.9</v>
      </c>
      <c r="J384" s="9">
        <f t="shared" si="174"/>
        <v>1.4E-2</v>
      </c>
      <c r="K384" s="9" t="str">
        <f>L250</f>
        <v>1/1000</v>
      </c>
      <c r="L384" s="9">
        <f>M250</f>
        <v>1</v>
      </c>
      <c r="M384" s="9">
        <f>N250</f>
        <v>1.5</v>
      </c>
      <c r="N384" s="9">
        <f t="shared" si="159"/>
        <v>2.5</v>
      </c>
      <c r="O384" s="9">
        <f t="shared" si="160"/>
        <v>2.13</v>
      </c>
      <c r="P384" s="13">
        <f t="shared" si="161"/>
        <v>4.6055512754639896</v>
      </c>
      <c r="Q384" s="13">
        <f t="shared" si="162"/>
        <v>4.2449961479175897</v>
      </c>
      <c r="R384" s="9">
        <f t="shared" si="163"/>
        <v>0.54</v>
      </c>
      <c r="S384" s="9">
        <f t="shared" si="164"/>
        <v>0.5</v>
      </c>
      <c r="T384" s="9">
        <f>S250</f>
        <v>0.5</v>
      </c>
      <c r="U384" s="9">
        <f>T250</f>
        <v>1.5</v>
      </c>
    </row>
    <row r="385" spans="3:21">
      <c r="C385" s="10">
        <f t="shared" ref="C385:J385" si="175">C254</f>
        <v>9600</v>
      </c>
      <c r="D385" s="9">
        <f t="shared" si="175"/>
        <v>3.75</v>
      </c>
      <c r="E385" s="9">
        <f t="shared" si="175"/>
        <v>3</v>
      </c>
      <c r="F385" s="9">
        <f t="shared" si="175"/>
        <v>1.5</v>
      </c>
      <c r="G385" s="9">
        <f t="shared" si="175"/>
        <v>1.41</v>
      </c>
      <c r="H385" s="9">
        <f t="shared" si="175"/>
        <v>1</v>
      </c>
      <c r="I385" s="9">
        <f t="shared" si="175"/>
        <v>0.9</v>
      </c>
      <c r="J385" s="9">
        <f t="shared" si="175"/>
        <v>1.4E-2</v>
      </c>
      <c r="K385" s="9" t="str">
        <f>L254</f>
        <v>1/1000</v>
      </c>
      <c r="L385" s="9">
        <f>M254</f>
        <v>1</v>
      </c>
      <c r="M385" s="9">
        <f>N254</f>
        <v>1.5</v>
      </c>
      <c r="N385" s="9">
        <f t="shared" si="159"/>
        <v>2.5</v>
      </c>
      <c r="O385" s="9">
        <f t="shared" si="160"/>
        <v>2.13</v>
      </c>
      <c r="P385" s="13">
        <f t="shared" si="161"/>
        <v>4.6055512754639896</v>
      </c>
      <c r="Q385" s="13">
        <f t="shared" si="162"/>
        <v>4.2449961479175897</v>
      </c>
      <c r="R385" s="9">
        <f t="shared" si="163"/>
        <v>0.54</v>
      </c>
      <c r="S385" s="9">
        <f t="shared" si="164"/>
        <v>0.5</v>
      </c>
      <c r="T385" s="9">
        <f>S254</f>
        <v>0.5</v>
      </c>
      <c r="U385" s="9">
        <f>T254</f>
        <v>1.5</v>
      </c>
    </row>
    <row r="386" spans="3:21">
      <c r="C386" s="10">
        <f t="shared" ref="C386:J386" si="176">C258</f>
        <v>9800</v>
      </c>
      <c r="D386" s="9">
        <f t="shared" si="176"/>
        <v>3.75</v>
      </c>
      <c r="E386" s="9">
        <f t="shared" si="176"/>
        <v>3</v>
      </c>
      <c r="F386" s="9">
        <f t="shared" si="176"/>
        <v>1.5</v>
      </c>
      <c r="G386" s="9">
        <f t="shared" si="176"/>
        <v>1.41</v>
      </c>
      <c r="H386" s="9">
        <f t="shared" si="176"/>
        <v>1</v>
      </c>
      <c r="I386" s="9">
        <f t="shared" si="176"/>
        <v>0.9</v>
      </c>
      <c r="J386" s="9">
        <f t="shared" si="176"/>
        <v>1.4E-2</v>
      </c>
      <c r="K386" s="9" t="str">
        <f>L258</f>
        <v>1/1000</v>
      </c>
      <c r="L386" s="9">
        <f>M258</f>
        <v>1</v>
      </c>
      <c r="M386" s="9">
        <f>N258</f>
        <v>1.5</v>
      </c>
      <c r="N386" s="9">
        <f t="shared" si="159"/>
        <v>2.5</v>
      </c>
      <c r="O386" s="9">
        <f t="shared" si="160"/>
        <v>2.13</v>
      </c>
      <c r="P386" s="13">
        <f t="shared" si="161"/>
        <v>4.6055512754639896</v>
      </c>
      <c r="Q386" s="13">
        <f t="shared" si="162"/>
        <v>4.2449961479175897</v>
      </c>
      <c r="R386" s="9">
        <f t="shared" si="163"/>
        <v>0.54</v>
      </c>
      <c r="S386" s="9">
        <f t="shared" si="164"/>
        <v>0.5</v>
      </c>
      <c r="T386" s="9">
        <f>S258</f>
        <v>0.5</v>
      </c>
      <c r="U386" s="9">
        <f>T258</f>
        <v>1.5</v>
      </c>
    </row>
    <row r="387" spans="3:21">
      <c r="C387" s="10">
        <f t="shared" ref="C387:J387" si="177">C262</f>
        <v>10000</v>
      </c>
      <c r="D387" s="9">
        <f t="shared" si="177"/>
        <v>3.75</v>
      </c>
      <c r="E387" s="9">
        <f t="shared" si="177"/>
        <v>3</v>
      </c>
      <c r="F387" s="9">
        <f t="shared" si="177"/>
        <v>1.5</v>
      </c>
      <c r="G387" s="9">
        <f t="shared" si="177"/>
        <v>1.41</v>
      </c>
      <c r="H387" s="9">
        <f t="shared" si="177"/>
        <v>1</v>
      </c>
      <c r="I387" s="9">
        <f t="shared" si="177"/>
        <v>0.9</v>
      </c>
      <c r="J387" s="9">
        <f t="shared" si="177"/>
        <v>1.4E-2</v>
      </c>
      <c r="K387" s="9" t="str">
        <f>L262</f>
        <v>1/1000</v>
      </c>
      <c r="L387" s="9">
        <f>M262</f>
        <v>1</v>
      </c>
      <c r="M387" s="9">
        <f>N262</f>
        <v>1.5</v>
      </c>
      <c r="N387" s="9">
        <f t="shared" si="159"/>
        <v>2.5</v>
      </c>
      <c r="O387" s="9">
        <f t="shared" si="160"/>
        <v>2.13</v>
      </c>
      <c r="P387" s="13">
        <f t="shared" si="161"/>
        <v>4.6055512754639896</v>
      </c>
      <c r="Q387" s="13">
        <f t="shared" si="162"/>
        <v>4.2449961479175897</v>
      </c>
      <c r="R387" s="9">
        <f t="shared" si="163"/>
        <v>0.54</v>
      </c>
      <c r="S387" s="9">
        <f t="shared" si="164"/>
        <v>0.5</v>
      </c>
      <c r="T387" s="9">
        <f>S262</f>
        <v>0.5</v>
      </c>
      <c r="U387" s="9">
        <f>T262</f>
        <v>1.5</v>
      </c>
    </row>
    <row r="388" spans="3:21">
      <c r="C388" s="10">
        <f t="shared" ref="C388:J388" si="178">C266</f>
        <v>10200</v>
      </c>
      <c r="D388" s="9">
        <f t="shared" si="178"/>
        <v>3.75</v>
      </c>
      <c r="E388" s="9">
        <f t="shared" si="178"/>
        <v>3</v>
      </c>
      <c r="F388" s="9">
        <f t="shared" si="178"/>
        <v>1.5</v>
      </c>
      <c r="G388" s="9">
        <f t="shared" si="178"/>
        <v>1.41</v>
      </c>
      <c r="H388" s="9">
        <f t="shared" si="178"/>
        <v>1</v>
      </c>
      <c r="I388" s="9">
        <f t="shared" si="178"/>
        <v>0.9</v>
      </c>
      <c r="J388" s="9">
        <f t="shared" si="178"/>
        <v>1.4E-2</v>
      </c>
      <c r="K388" s="9" t="str">
        <f>L266</f>
        <v>1/1000</v>
      </c>
      <c r="L388" s="9">
        <f>M266</f>
        <v>1</v>
      </c>
      <c r="M388" s="9">
        <f>N266</f>
        <v>1.5</v>
      </c>
      <c r="N388" s="9">
        <f t="shared" si="159"/>
        <v>2.5</v>
      </c>
      <c r="O388" s="9">
        <f t="shared" si="160"/>
        <v>2.13</v>
      </c>
      <c r="P388" s="13">
        <f t="shared" si="161"/>
        <v>4.6055512754639896</v>
      </c>
      <c r="Q388" s="13">
        <f t="shared" si="162"/>
        <v>4.2449961479175897</v>
      </c>
      <c r="R388" s="9">
        <f t="shared" si="163"/>
        <v>0.54</v>
      </c>
      <c r="S388" s="9">
        <f t="shared" si="164"/>
        <v>0.5</v>
      </c>
      <c r="T388" s="9">
        <f>S266</f>
        <v>0.5</v>
      </c>
      <c r="U388" s="9">
        <f>T266</f>
        <v>1.5</v>
      </c>
    </row>
    <row r="389" spans="3:21">
      <c r="C389" s="10">
        <f t="shared" ref="C389:J389" si="179">C270</f>
        <v>10400</v>
      </c>
      <c r="D389" s="9">
        <f t="shared" si="179"/>
        <v>3.75</v>
      </c>
      <c r="E389" s="9">
        <f t="shared" si="179"/>
        <v>3</v>
      </c>
      <c r="F389" s="9">
        <f t="shared" si="179"/>
        <v>1.5</v>
      </c>
      <c r="G389" s="9">
        <f t="shared" si="179"/>
        <v>1.41</v>
      </c>
      <c r="H389" s="9">
        <f t="shared" si="179"/>
        <v>1</v>
      </c>
      <c r="I389" s="9">
        <f t="shared" si="179"/>
        <v>0.9</v>
      </c>
      <c r="J389" s="9">
        <f t="shared" si="179"/>
        <v>1.4E-2</v>
      </c>
      <c r="K389" s="9" t="str">
        <f>L270</f>
        <v>1/1000</v>
      </c>
      <c r="L389" s="9">
        <f>M270</f>
        <v>1</v>
      </c>
      <c r="M389" s="9">
        <f>N270</f>
        <v>1.5</v>
      </c>
      <c r="N389" s="9">
        <f t="shared" si="159"/>
        <v>2.5</v>
      </c>
      <c r="O389" s="9">
        <f t="shared" si="160"/>
        <v>2.13</v>
      </c>
      <c r="P389" s="13">
        <f t="shared" si="161"/>
        <v>4.6055512754639896</v>
      </c>
      <c r="Q389" s="13">
        <f t="shared" si="162"/>
        <v>4.2449961479175897</v>
      </c>
      <c r="R389" s="9">
        <f t="shared" si="163"/>
        <v>0.54</v>
      </c>
      <c r="S389" s="9">
        <f t="shared" si="164"/>
        <v>0.5</v>
      </c>
      <c r="T389" s="9">
        <f>S270</f>
        <v>0.5</v>
      </c>
      <c r="U389" s="9">
        <f>T270</f>
        <v>1.5</v>
      </c>
    </row>
    <row r="390" spans="3:21">
      <c r="C390" s="10">
        <f t="shared" ref="C390:J390" si="180">C274</f>
        <v>10600</v>
      </c>
      <c r="D390" s="9">
        <f t="shared" si="180"/>
        <v>3.75</v>
      </c>
      <c r="E390" s="9">
        <f t="shared" si="180"/>
        <v>3</v>
      </c>
      <c r="F390" s="9">
        <f t="shared" si="180"/>
        <v>1.5</v>
      </c>
      <c r="G390" s="9">
        <f t="shared" si="180"/>
        <v>1.41</v>
      </c>
      <c r="H390" s="9">
        <f t="shared" si="180"/>
        <v>1</v>
      </c>
      <c r="I390" s="9">
        <f t="shared" si="180"/>
        <v>0.9</v>
      </c>
      <c r="J390" s="9">
        <f t="shared" si="180"/>
        <v>1.4E-2</v>
      </c>
      <c r="K390" s="9" t="str">
        <f>L274</f>
        <v>1/1000</v>
      </c>
      <c r="L390" s="9">
        <f>M274</f>
        <v>1</v>
      </c>
      <c r="M390" s="9">
        <f>N274</f>
        <v>1.5</v>
      </c>
      <c r="N390" s="9">
        <f t="shared" si="159"/>
        <v>2.5</v>
      </c>
      <c r="O390" s="9">
        <f t="shared" si="160"/>
        <v>2.13</v>
      </c>
      <c r="P390" s="13">
        <f t="shared" si="161"/>
        <v>4.6055512754639896</v>
      </c>
      <c r="Q390" s="13">
        <f t="shared" si="162"/>
        <v>4.2449961479175897</v>
      </c>
      <c r="R390" s="9">
        <f t="shared" si="163"/>
        <v>0.54</v>
      </c>
      <c r="S390" s="9">
        <f t="shared" si="164"/>
        <v>0.5</v>
      </c>
      <c r="T390" s="9">
        <f>S274</f>
        <v>0.5</v>
      </c>
      <c r="U390" s="9">
        <f>T274</f>
        <v>1.5</v>
      </c>
    </row>
    <row r="391" spans="3:21">
      <c r="C391" s="10">
        <f t="shared" ref="C391:J391" si="181">C278</f>
        <v>10800</v>
      </c>
      <c r="D391" s="9">
        <f t="shared" si="181"/>
        <v>3.75</v>
      </c>
      <c r="E391" s="9">
        <f t="shared" si="181"/>
        <v>3</v>
      </c>
      <c r="F391" s="9">
        <f t="shared" si="181"/>
        <v>1.5</v>
      </c>
      <c r="G391" s="9">
        <f t="shared" si="181"/>
        <v>1.41</v>
      </c>
      <c r="H391" s="9">
        <f t="shared" si="181"/>
        <v>1</v>
      </c>
      <c r="I391" s="9">
        <f t="shared" si="181"/>
        <v>0.9</v>
      </c>
      <c r="J391" s="9">
        <f t="shared" si="181"/>
        <v>1.4E-2</v>
      </c>
      <c r="K391" s="9" t="str">
        <f>L278</f>
        <v>1/1000</v>
      </c>
      <c r="L391" s="9">
        <f>M278</f>
        <v>1</v>
      </c>
      <c r="M391" s="9">
        <f>N278</f>
        <v>1.5</v>
      </c>
      <c r="N391" s="9">
        <f t="shared" ref="N391:N402" si="182">ROUND(D391/F391,2)</f>
        <v>2.5</v>
      </c>
      <c r="O391" s="9">
        <f t="shared" ref="O391:O402" si="183">ROUND(E391/G391,2)</f>
        <v>2.13</v>
      </c>
      <c r="P391" s="13">
        <f t="shared" ref="P391:P402" si="184">L391+2*H391*(1+M391*M391)^0.5</f>
        <v>4.6055512754639896</v>
      </c>
      <c r="Q391" s="13">
        <f t="shared" ref="Q391:Q402" si="185">L391+2*I391*(1+M391*M391)^0.5</f>
        <v>4.2449961479175897</v>
      </c>
      <c r="R391" s="9">
        <f t="shared" ref="R391:R402" si="186">ROUND(N391/P391,2)</f>
        <v>0.54</v>
      </c>
      <c r="S391" s="9">
        <f t="shared" ref="S391:S402" si="187">ROUND(O391/Q391,2)</f>
        <v>0.5</v>
      </c>
      <c r="T391" s="9">
        <f>S278</f>
        <v>0.5</v>
      </c>
      <c r="U391" s="9">
        <f>T278</f>
        <v>1.5</v>
      </c>
    </row>
    <row r="392" spans="3:21">
      <c r="C392" s="10">
        <f t="shared" ref="C392:J392" si="188">C282</f>
        <v>11000</v>
      </c>
      <c r="D392" s="9">
        <f t="shared" si="188"/>
        <v>3.75</v>
      </c>
      <c r="E392" s="9">
        <f t="shared" si="188"/>
        <v>3</v>
      </c>
      <c r="F392" s="9">
        <f t="shared" si="188"/>
        <v>1.5</v>
      </c>
      <c r="G392" s="9">
        <f t="shared" si="188"/>
        <v>1.41</v>
      </c>
      <c r="H392" s="9">
        <f t="shared" si="188"/>
        <v>1</v>
      </c>
      <c r="I392" s="9">
        <f t="shared" si="188"/>
        <v>0.9</v>
      </c>
      <c r="J392" s="9">
        <f t="shared" si="188"/>
        <v>1.4E-2</v>
      </c>
      <c r="K392" s="9" t="str">
        <f>L282</f>
        <v>1/1000</v>
      </c>
      <c r="L392" s="9">
        <f>M282</f>
        <v>1</v>
      </c>
      <c r="M392" s="9">
        <f>N282</f>
        <v>1.5</v>
      </c>
      <c r="N392" s="9">
        <f t="shared" si="182"/>
        <v>2.5</v>
      </c>
      <c r="O392" s="9">
        <f t="shared" si="183"/>
        <v>2.13</v>
      </c>
      <c r="P392" s="13">
        <f t="shared" si="184"/>
        <v>4.6055512754639896</v>
      </c>
      <c r="Q392" s="13">
        <f t="shared" si="185"/>
        <v>4.2449961479175897</v>
      </c>
      <c r="R392" s="9">
        <f t="shared" si="186"/>
        <v>0.54</v>
      </c>
      <c r="S392" s="9">
        <f t="shared" si="187"/>
        <v>0.5</v>
      </c>
      <c r="T392" s="9">
        <f>S282</f>
        <v>0.5</v>
      </c>
      <c r="U392" s="9">
        <f>T282</f>
        <v>1.5</v>
      </c>
    </row>
    <row r="393" spans="3:21">
      <c r="C393" s="10">
        <f t="shared" ref="C393:J393" si="189">C286</f>
        <v>11200</v>
      </c>
      <c r="D393" s="9">
        <f t="shared" si="189"/>
        <v>3.75</v>
      </c>
      <c r="E393" s="9">
        <f t="shared" si="189"/>
        <v>3</v>
      </c>
      <c r="F393" s="9">
        <f t="shared" si="189"/>
        <v>1.5</v>
      </c>
      <c r="G393" s="9">
        <f t="shared" si="189"/>
        <v>1.41</v>
      </c>
      <c r="H393" s="9">
        <f t="shared" si="189"/>
        <v>1</v>
      </c>
      <c r="I393" s="9">
        <f t="shared" si="189"/>
        <v>0.9</v>
      </c>
      <c r="J393" s="9">
        <f t="shared" si="189"/>
        <v>1.4E-2</v>
      </c>
      <c r="K393" s="9" t="str">
        <f>L286</f>
        <v>1/1000</v>
      </c>
      <c r="L393" s="9">
        <f>M286</f>
        <v>1</v>
      </c>
      <c r="M393" s="9">
        <f>N286</f>
        <v>1.5</v>
      </c>
      <c r="N393" s="9">
        <f t="shared" si="182"/>
        <v>2.5</v>
      </c>
      <c r="O393" s="9">
        <f t="shared" si="183"/>
        <v>2.13</v>
      </c>
      <c r="P393" s="13">
        <f t="shared" si="184"/>
        <v>4.6055512754639896</v>
      </c>
      <c r="Q393" s="13">
        <f t="shared" si="185"/>
        <v>4.2449961479175897</v>
      </c>
      <c r="R393" s="9">
        <f t="shared" si="186"/>
        <v>0.54</v>
      </c>
      <c r="S393" s="9">
        <f t="shared" si="187"/>
        <v>0.5</v>
      </c>
      <c r="T393" s="9">
        <f>S286</f>
        <v>0.5</v>
      </c>
      <c r="U393" s="9">
        <f>T286</f>
        <v>1.5</v>
      </c>
    </row>
    <row r="394" spans="3:21">
      <c r="C394" s="10">
        <f t="shared" ref="C394:J394" si="190">C290</f>
        <v>11400</v>
      </c>
      <c r="D394" s="9">
        <f t="shared" si="190"/>
        <v>3.75</v>
      </c>
      <c r="E394" s="9">
        <f t="shared" si="190"/>
        <v>3</v>
      </c>
      <c r="F394" s="9">
        <f t="shared" si="190"/>
        <v>1.5</v>
      </c>
      <c r="G394" s="9">
        <f t="shared" si="190"/>
        <v>1.41</v>
      </c>
      <c r="H394" s="9">
        <f t="shared" si="190"/>
        <v>1</v>
      </c>
      <c r="I394" s="9">
        <f t="shared" si="190"/>
        <v>0.9</v>
      </c>
      <c r="J394" s="9">
        <f t="shared" si="190"/>
        <v>1.4E-2</v>
      </c>
      <c r="K394" s="9" t="str">
        <f>L290</f>
        <v>1/1000</v>
      </c>
      <c r="L394" s="9">
        <f>M290</f>
        <v>1</v>
      </c>
      <c r="M394" s="9">
        <f>N290</f>
        <v>1.5</v>
      </c>
      <c r="N394" s="9">
        <f t="shared" si="182"/>
        <v>2.5</v>
      </c>
      <c r="O394" s="9">
        <f t="shared" si="183"/>
        <v>2.13</v>
      </c>
      <c r="P394" s="13">
        <f t="shared" si="184"/>
        <v>4.6055512754639896</v>
      </c>
      <c r="Q394" s="13">
        <f t="shared" si="185"/>
        <v>4.2449961479175897</v>
      </c>
      <c r="R394" s="9">
        <f t="shared" si="186"/>
        <v>0.54</v>
      </c>
      <c r="S394" s="9">
        <f t="shared" si="187"/>
        <v>0.5</v>
      </c>
      <c r="T394" s="9">
        <f>S290</f>
        <v>0.5</v>
      </c>
      <c r="U394" s="9">
        <f>T290</f>
        <v>1.5</v>
      </c>
    </row>
    <row r="395" spans="3:21">
      <c r="C395" s="10">
        <f t="shared" ref="C395:J395" si="191">C294</f>
        <v>11600</v>
      </c>
      <c r="D395" s="9">
        <f t="shared" si="191"/>
        <v>3.75</v>
      </c>
      <c r="E395" s="9">
        <f t="shared" si="191"/>
        <v>3</v>
      </c>
      <c r="F395" s="9">
        <f t="shared" si="191"/>
        <v>1.5</v>
      </c>
      <c r="G395" s="9">
        <f t="shared" si="191"/>
        <v>1.41</v>
      </c>
      <c r="H395" s="9">
        <f t="shared" si="191"/>
        <v>1</v>
      </c>
      <c r="I395" s="9">
        <f t="shared" si="191"/>
        <v>0.9</v>
      </c>
      <c r="J395" s="9">
        <f t="shared" si="191"/>
        <v>1.4E-2</v>
      </c>
      <c r="K395" s="9" t="str">
        <f>L294</f>
        <v>1/1000</v>
      </c>
      <c r="L395" s="9">
        <f>M294</f>
        <v>1</v>
      </c>
      <c r="M395" s="9">
        <f>N294</f>
        <v>1.5</v>
      </c>
      <c r="N395" s="9">
        <f t="shared" si="182"/>
        <v>2.5</v>
      </c>
      <c r="O395" s="9">
        <f t="shared" si="183"/>
        <v>2.13</v>
      </c>
      <c r="P395" s="13">
        <f t="shared" si="184"/>
        <v>4.6055512754639896</v>
      </c>
      <c r="Q395" s="13">
        <f t="shared" si="185"/>
        <v>4.2449961479175897</v>
      </c>
      <c r="R395" s="9">
        <f t="shared" si="186"/>
        <v>0.54</v>
      </c>
      <c r="S395" s="9">
        <f t="shared" si="187"/>
        <v>0.5</v>
      </c>
      <c r="T395" s="9">
        <f>S294</f>
        <v>0.5</v>
      </c>
      <c r="U395" s="9">
        <f>T294</f>
        <v>1.5</v>
      </c>
    </row>
    <row r="396" spans="3:21">
      <c r="C396" s="10">
        <f t="shared" ref="C396:J397" si="192">C297</f>
        <v>11750</v>
      </c>
      <c r="D396" s="9">
        <f t="shared" si="192"/>
        <v>3.75</v>
      </c>
      <c r="E396" s="9">
        <f t="shared" si="192"/>
        <v>3</v>
      </c>
      <c r="F396" s="9">
        <f t="shared" si="192"/>
        <v>1.5</v>
      </c>
      <c r="G396" s="9">
        <f t="shared" si="192"/>
        <v>1.41</v>
      </c>
      <c r="H396" s="9">
        <f t="shared" si="192"/>
        <v>1</v>
      </c>
      <c r="I396" s="9">
        <f t="shared" si="192"/>
        <v>0.9</v>
      </c>
      <c r="J396" s="9">
        <f t="shared" si="192"/>
        <v>1.4E-2</v>
      </c>
      <c r="K396" s="9" t="str">
        <f t="shared" ref="K396:M397" si="193">L297</f>
        <v>1/1000</v>
      </c>
      <c r="L396" s="9">
        <f t="shared" si="193"/>
        <v>1</v>
      </c>
      <c r="M396" s="9">
        <f t="shared" si="193"/>
        <v>1.5</v>
      </c>
      <c r="N396" s="9">
        <f t="shared" si="182"/>
        <v>2.5</v>
      </c>
      <c r="O396" s="9">
        <f t="shared" si="183"/>
        <v>2.13</v>
      </c>
      <c r="P396" s="13">
        <f t="shared" si="184"/>
        <v>4.6055512754639896</v>
      </c>
      <c r="Q396" s="13">
        <f t="shared" si="185"/>
        <v>4.2449961479175897</v>
      </c>
      <c r="R396" s="9">
        <f t="shared" si="186"/>
        <v>0.54</v>
      </c>
      <c r="S396" s="9">
        <f t="shared" si="187"/>
        <v>0.5</v>
      </c>
      <c r="T396" s="9">
        <f>S297</f>
        <v>0.5</v>
      </c>
      <c r="U396" s="9">
        <f>T297</f>
        <v>1.5</v>
      </c>
    </row>
    <row r="397" spans="3:21">
      <c r="C397" s="10">
        <f t="shared" si="192"/>
        <v>11800</v>
      </c>
      <c r="D397" s="9">
        <f t="shared" si="192"/>
        <v>3.75</v>
      </c>
      <c r="E397" s="9">
        <f t="shared" si="192"/>
        <v>3</v>
      </c>
      <c r="F397" s="9">
        <f t="shared" si="192"/>
        <v>1.94</v>
      </c>
      <c r="G397" s="9">
        <f t="shared" si="192"/>
        <v>1.83</v>
      </c>
      <c r="H397" s="9">
        <f t="shared" si="192"/>
        <v>0.85</v>
      </c>
      <c r="I397" s="9">
        <f t="shared" si="192"/>
        <v>0.76</v>
      </c>
      <c r="J397" s="9">
        <f t="shared" si="192"/>
        <v>1.4E-2</v>
      </c>
      <c r="K397" s="9" t="str">
        <f t="shared" si="193"/>
        <v>1/500</v>
      </c>
      <c r="L397" s="9">
        <f t="shared" si="193"/>
        <v>1</v>
      </c>
      <c r="M397" s="9">
        <f t="shared" si="193"/>
        <v>1.5</v>
      </c>
      <c r="N397" s="9">
        <f t="shared" si="182"/>
        <v>1.93</v>
      </c>
      <c r="O397" s="9">
        <f t="shared" si="183"/>
        <v>1.64</v>
      </c>
      <c r="P397" s="13">
        <f t="shared" si="184"/>
        <v>4.0647185841443907</v>
      </c>
      <c r="Q397" s="13">
        <f t="shared" si="185"/>
        <v>3.740218969352632</v>
      </c>
      <c r="R397" s="9">
        <f t="shared" si="186"/>
        <v>0.47</v>
      </c>
      <c r="S397" s="9">
        <f t="shared" si="187"/>
        <v>0.44</v>
      </c>
      <c r="T397" s="9">
        <f>S298</f>
        <v>0.45000000000000007</v>
      </c>
      <c r="U397" s="9">
        <f>T298</f>
        <v>1.3</v>
      </c>
    </row>
    <row r="398" spans="3:21">
      <c r="C398" s="10">
        <f t="shared" ref="C398:J398" si="194">C302</f>
        <v>12000</v>
      </c>
      <c r="D398" s="9">
        <f t="shared" si="194"/>
        <v>3.75</v>
      </c>
      <c r="E398" s="9">
        <f t="shared" si="194"/>
        <v>3</v>
      </c>
      <c r="F398" s="9">
        <f t="shared" si="194"/>
        <v>1.94</v>
      </c>
      <c r="G398" s="9">
        <f t="shared" si="194"/>
        <v>1.83</v>
      </c>
      <c r="H398" s="9">
        <f t="shared" si="194"/>
        <v>0.85</v>
      </c>
      <c r="I398" s="9">
        <f t="shared" si="194"/>
        <v>0.76</v>
      </c>
      <c r="J398" s="9">
        <f t="shared" si="194"/>
        <v>1.4E-2</v>
      </c>
      <c r="K398" s="9" t="str">
        <f>L302</f>
        <v>1/500</v>
      </c>
      <c r="L398" s="9">
        <f>M302</f>
        <v>1</v>
      </c>
      <c r="M398" s="9">
        <f>N302</f>
        <v>1.5</v>
      </c>
      <c r="N398" s="9">
        <f t="shared" si="182"/>
        <v>1.93</v>
      </c>
      <c r="O398" s="9">
        <f t="shared" si="183"/>
        <v>1.64</v>
      </c>
      <c r="P398" s="13">
        <f t="shared" si="184"/>
        <v>4.0647185841443907</v>
      </c>
      <c r="Q398" s="13">
        <f t="shared" si="185"/>
        <v>3.740218969352632</v>
      </c>
      <c r="R398" s="9">
        <f t="shared" si="186"/>
        <v>0.47</v>
      </c>
      <c r="S398" s="9">
        <f t="shared" si="187"/>
        <v>0.44</v>
      </c>
      <c r="T398" s="9">
        <f>S302</f>
        <v>0.45000000000000007</v>
      </c>
      <c r="U398" s="9">
        <f>T302</f>
        <v>1.3</v>
      </c>
    </row>
    <row r="399" spans="3:21">
      <c r="C399" s="10">
        <f t="shared" ref="C399:J399" si="195">C306</f>
        <v>12200</v>
      </c>
      <c r="D399" s="9">
        <f t="shared" si="195"/>
        <v>3.75</v>
      </c>
      <c r="E399" s="9">
        <f t="shared" si="195"/>
        <v>3</v>
      </c>
      <c r="F399" s="9">
        <f t="shared" si="195"/>
        <v>1.94</v>
      </c>
      <c r="G399" s="9">
        <f t="shared" si="195"/>
        <v>1.83</v>
      </c>
      <c r="H399" s="9">
        <f t="shared" si="195"/>
        <v>0.85</v>
      </c>
      <c r="I399" s="9">
        <f t="shared" si="195"/>
        <v>0.76</v>
      </c>
      <c r="J399" s="9">
        <f t="shared" si="195"/>
        <v>1.4E-2</v>
      </c>
      <c r="K399" s="9" t="str">
        <f>L306</f>
        <v>1/500</v>
      </c>
      <c r="L399" s="9">
        <f>M306</f>
        <v>1</v>
      </c>
      <c r="M399" s="9">
        <f>N306</f>
        <v>1.5</v>
      </c>
      <c r="N399" s="9">
        <f t="shared" si="182"/>
        <v>1.93</v>
      </c>
      <c r="O399" s="9">
        <f t="shared" si="183"/>
        <v>1.64</v>
      </c>
      <c r="P399" s="13">
        <f t="shared" si="184"/>
        <v>4.0647185841443907</v>
      </c>
      <c r="Q399" s="13">
        <f t="shared" si="185"/>
        <v>3.740218969352632</v>
      </c>
      <c r="R399" s="9">
        <f t="shared" si="186"/>
        <v>0.47</v>
      </c>
      <c r="S399" s="9">
        <f t="shared" si="187"/>
        <v>0.44</v>
      </c>
      <c r="T399" s="9">
        <f>S306</f>
        <v>0.45000000000000007</v>
      </c>
      <c r="U399" s="9">
        <f>T306</f>
        <v>1.3</v>
      </c>
    </row>
    <row r="400" spans="3:21">
      <c r="C400" s="10">
        <f t="shared" ref="C400:J400" si="196">C310</f>
        <v>12400</v>
      </c>
      <c r="D400" s="9">
        <f t="shared" si="196"/>
        <v>3.75</v>
      </c>
      <c r="E400" s="9">
        <f t="shared" si="196"/>
        <v>3</v>
      </c>
      <c r="F400" s="9">
        <f t="shared" si="196"/>
        <v>1.94</v>
      </c>
      <c r="G400" s="9">
        <f t="shared" si="196"/>
        <v>1.83</v>
      </c>
      <c r="H400" s="9">
        <f t="shared" si="196"/>
        <v>0.85</v>
      </c>
      <c r="I400" s="9">
        <f t="shared" si="196"/>
        <v>0.76</v>
      </c>
      <c r="J400" s="9">
        <f t="shared" si="196"/>
        <v>1.4E-2</v>
      </c>
      <c r="K400" s="9" t="str">
        <f>L310</f>
        <v>1/500</v>
      </c>
      <c r="L400" s="9">
        <f>M310</f>
        <v>1</v>
      </c>
      <c r="M400" s="9">
        <f>N310</f>
        <v>1.5</v>
      </c>
      <c r="N400" s="9">
        <f t="shared" si="182"/>
        <v>1.93</v>
      </c>
      <c r="O400" s="9">
        <f t="shared" si="183"/>
        <v>1.64</v>
      </c>
      <c r="P400" s="13">
        <f t="shared" si="184"/>
        <v>4.0647185841443907</v>
      </c>
      <c r="Q400" s="13">
        <f t="shared" si="185"/>
        <v>3.740218969352632</v>
      </c>
      <c r="R400" s="9">
        <f t="shared" si="186"/>
        <v>0.47</v>
      </c>
      <c r="S400" s="9">
        <f t="shared" si="187"/>
        <v>0.44</v>
      </c>
      <c r="T400" s="9">
        <f>S310</f>
        <v>0.45000000000000007</v>
      </c>
      <c r="U400" s="9">
        <f>T310</f>
        <v>1.3</v>
      </c>
    </row>
    <row r="401" spans="2:21">
      <c r="C401" s="10">
        <f t="shared" ref="C401:J401" si="197">C314</f>
        <v>12600</v>
      </c>
      <c r="D401" s="9">
        <f t="shared" si="197"/>
        <v>3.75</v>
      </c>
      <c r="E401" s="9">
        <f t="shared" si="197"/>
        <v>3</v>
      </c>
      <c r="F401" s="9">
        <f t="shared" si="197"/>
        <v>1.94</v>
      </c>
      <c r="G401" s="9">
        <f t="shared" si="197"/>
        <v>1.83</v>
      </c>
      <c r="H401" s="9">
        <f t="shared" si="197"/>
        <v>0.85</v>
      </c>
      <c r="I401" s="9">
        <f t="shared" si="197"/>
        <v>0.76</v>
      </c>
      <c r="J401" s="9">
        <f t="shared" si="197"/>
        <v>1.4E-2</v>
      </c>
      <c r="K401" s="9" t="str">
        <f>L314</f>
        <v>1/500</v>
      </c>
      <c r="L401" s="9">
        <f>M314</f>
        <v>1</v>
      </c>
      <c r="M401" s="9">
        <f>N314</f>
        <v>1.5</v>
      </c>
      <c r="N401" s="9">
        <f t="shared" si="182"/>
        <v>1.93</v>
      </c>
      <c r="O401" s="9">
        <f t="shared" si="183"/>
        <v>1.64</v>
      </c>
      <c r="P401" s="13">
        <f t="shared" si="184"/>
        <v>4.0647185841443907</v>
      </c>
      <c r="Q401" s="13">
        <f t="shared" si="185"/>
        <v>3.740218969352632</v>
      </c>
      <c r="R401" s="9">
        <f t="shared" si="186"/>
        <v>0.47</v>
      </c>
      <c r="S401" s="9">
        <f t="shared" si="187"/>
        <v>0.44</v>
      </c>
      <c r="T401" s="9">
        <f>S314</f>
        <v>0.45000000000000007</v>
      </c>
      <c r="U401" s="9">
        <f>T314</f>
        <v>1.3</v>
      </c>
    </row>
    <row r="402" spans="2:21">
      <c r="C402" s="10">
        <f t="shared" ref="C402:J402" si="198">C318</f>
        <v>12800</v>
      </c>
      <c r="D402" s="9">
        <f t="shared" si="198"/>
        <v>3.75</v>
      </c>
      <c r="E402" s="9">
        <f t="shared" si="198"/>
        <v>3</v>
      </c>
      <c r="F402" s="9">
        <f t="shared" si="198"/>
        <v>1.94</v>
      </c>
      <c r="G402" s="9">
        <f t="shared" si="198"/>
        <v>1.83</v>
      </c>
      <c r="H402" s="9">
        <f t="shared" si="198"/>
        <v>0.85</v>
      </c>
      <c r="I402" s="9">
        <f t="shared" si="198"/>
        <v>0.76</v>
      </c>
      <c r="J402" s="9">
        <f t="shared" si="198"/>
        <v>1.4E-2</v>
      </c>
      <c r="K402" s="9" t="str">
        <f>L318</f>
        <v>1/500</v>
      </c>
      <c r="L402" s="9">
        <f>M318</f>
        <v>1</v>
      </c>
      <c r="M402" s="9">
        <f>N318</f>
        <v>1.5</v>
      </c>
      <c r="N402" s="9">
        <f t="shared" si="182"/>
        <v>1.93</v>
      </c>
      <c r="O402" s="9">
        <f t="shared" si="183"/>
        <v>1.64</v>
      </c>
      <c r="P402" s="13">
        <f t="shared" si="184"/>
        <v>4.0647185841443907</v>
      </c>
      <c r="Q402" s="13">
        <f t="shared" si="185"/>
        <v>3.740218969352632</v>
      </c>
      <c r="R402" s="9">
        <f t="shared" si="186"/>
        <v>0.47</v>
      </c>
      <c r="S402" s="9">
        <f t="shared" si="187"/>
        <v>0.44</v>
      </c>
      <c r="T402" s="9">
        <f>S318</f>
        <v>0.45000000000000007</v>
      </c>
      <c r="U402" s="9">
        <f>T318</f>
        <v>1.3</v>
      </c>
    </row>
    <row r="403" spans="2:21">
      <c r="C403" s="10">
        <f t="shared" ref="C403:J403" si="199">C322</f>
        <v>13000</v>
      </c>
      <c r="D403" s="9">
        <f t="shared" si="199"/>
        <v>3.75</v>
      </c>
      <c r="E403" s="9">
        <f t="shared" si="199"/>
        <v>3</v>
      </c>
      <c r="F403" s="9">
        <f t="shared" si="199"/>
        <v>1.94</v>
      </c>
      <c r="G403" s="9">
        <f t="shared" si="199"/>
        <v>1.83</v>
      </c>
      <c r="H403" s="9">
        <f t="shared" si="199"/>
        <v>0.85</v>
      </c>
      <c r="I403" s="9">
        <f t="shared" si="199"/>
        <v>0.76</v>
      </c>
      <c r="J403" s="9">
        <f t="shared" si="199"/>
        <v>1.4E-2</v>
      </c>
      <c r="K403" s="9" t="str">
        <f>L322</f>
        <v>1/500</v>
      </c>
      <c r="L403" s="9">
        <f>M322</f>
        <v>1</v>
      </c>
      <c r="M403" s="9">
        <f>N322</f>
        <v>1.5</v>
      </c>
      <c r="N403" s="9">
        <f t="shared" ref="N403:N405" si="200">ROUND(D403/F403,2)</f>
        <v>1.93</v>
      </c>
      <c r="O403" s="9">
        <f t="shared" ref="O403:O405" si="201">ROUND(E403/G403,2)</f>
        <v>1.64</v>
      </c>
      <c r="P403" s="13">
        <f t="shared" ref="P403:P405" si="202">L403+2*H403*(1+M403*M403)^0.5</f>
        <v>4.0647185841443907</v>
      </c>
      <c r="Q403" s="13">
        <f t="shared" ref="Q403:Q405" si="203">L403+2*I403*(1+M403*M403)^0.5</f>
        <v>3.740218969352632</v>
      </c>
      <c r="R403" s="9">
        <f t="shared" ref="R403:R405" si="204">ROUND(N403/P403,2)</f>
        <v>0.47</v>
      </c>
      <c r="S403" s="9">
        <f t="shared" ref="S403:S405" si="205">ROUND(O403/Q403,2)</f>
        <v>0.44</v>
      </c>
      <c r="T403" s="9">
        <f>S322</f>
        <v>0.45000000000000007</v>
      </c>
      <c r="U403" s="9">
        <f>T322</f>
        <v>1.3</v>
      </c>
    </row>
    <row r="404" spans="2:21">
      <c r="C404" s="10">
        <f t="shared" ref="C404:J404" si="206">C326</f>
        <v>13200</v>
      </c>
      <c r="D404" s="9">
        <f t="shared" si="206"/>
        <v>3.75</v>
      </c>
      <c r="E404" s="9">
        <f t="shared" si="206"/>
        <v>3</v>
      </c>
      <c r="F404" s="9">
        <f t="shared" si="206"/>
        <v>1.94</v>
      </c>
      <c r="G404" s="9">
        <f t="shared" si="206"/>
        <v>1.83</v>
      </c>
      <c r="H404" s="9">
        <f t="shared" si="206"/>
        <v>0.85</v>
      </c>
      <c r="I404" s="9">
        <f t="shared" si="206"/>
        <v>0.76</v>
      </c>
      <c r="J404" s="9">
        <f t="shared" si="206"/>
        <v>1.4E-2</v>
      </c>
      <c r="K404" s="9" t="str">
        <f>L326</f>
        <v>1/500</v>
      </c>
      <c r="L404" s="9">
        <f>M326</f>
        <v>1</v>
      </c>
      <c r="M404" s="9">
        <f>N326</f>
        <v>1.5</v>
      </c>
      <c r="N404" s="9">
        <f t="shared" si="200"/>
        <v>1.93</v>
      </c>
      <c r="O404" s="9">
        <f t="shared" si="201"/>
        <v>1.64</v>
      </c>
      <c r="P404" s="13">
        <f t="shared" si="202"/>
        <v>4.0647185841443907</v>
      </c>
      <c r="Q404" s="13">
        <f t="shared" si="203"/>
        <v>3.740218969352632</v>
      </c>
      <c r="R404" s="9">
        <f t="shared" si="204"/>
        <v>0.47</v>
      </c>
      <c r="S404" s="9">
        <f t="shared" si="205"/>
        <v>0.44</v>
      </c>
      <c r="T404" s="9">
        <f>S326</f>
        <v>0.45000000000000007</v>
      </c>
      <c r="U404" s="9">
        <f>T326</f>
        <v>1.3</v>
      </c>
    </row>
    <row r="405" spans="2:21">
      <c r="C405" s="10">
        <f t="shared" ref="C405:J405" si="207">C328</f>
        <v>13283</v>
      </c>
      <c r="D405" s="9">
        <f t="shared" si="207"/>
        <v>3.75</v>
      </c>
      <c r="E405" s="9">
        <f t="shared" si="207"/>
        <v>3</v>
      </c>
      <c r="F405" s="9">
        <f t="shared" si="207"/>
        <v>1.94</v>
      </c>
      <c r="G405" s="9">
        <f t="shared" si="207"/>
        <v>1.83</v>
      </c>
      <c r="H405" s="9">
        <f t="shared" si="207"/>
        <v>0.85</v>
      </c>
      <c r="I405" s="9">
        <f t="shared" si="207"/>
        <v>0.76</v>
      </c>
      <c r="J405" s="9">
        <f t="shared" si="207"/>
        <v>1.014</v>
      </c>
      <c r="K405" s="9" t="str">
        <f>L328</f>
        <v>1/500</v>
      </c>
      <c r="L405" s="9">
        <f>M328</f>
        <v>1</v>
      </c>
      <c r="M405" s="9">
        <f>N328</f>
        <v>1.5</v>
      </c>
      <c r="N405" s="9">
        <f t="shared" si="200"/>
        <v>1.93</v>
      </c>
      <c r="O405" s="9">
        <f t="shared" si="201"/>
        <v>1.64</v>
      </c>
      <c r="P405" s="13">
        <f t="shared" si="202"/>
        <v>4.0647185841443907</v>
      </c>
      <c r="Q405" s="13">
        <f t="shared" si="203"/>
        <v>3.740218969352632</v>
      </c>
      <c r="R405" s="9">
        <f t="shared" si="204"/>
        <v>0.47</v>
      </c>
      <c r="S405" s="9">
        <f t="shared" si="205"/>
        <v>0.44</v>
      </c>
      <c r="T405" s="9">
        <f>S328</f>
        <v>0.45000000000000007</v>
      </c>
      <c r="U405" s="9">
        <f>T328</f>
        <v>1.3</v>
      </c>
    </row>
    <row r="408" spans="2:21">
      <c r="B408" s="23">
        <f>C328-7300</f>
        <v>5983</v>
      </c>
      <c r="C408">
        <f>13283-6982</f>
        <v>6301</v>
      </c>
    </row>
    <row r="409" spans="2:21">
      <c r="B409">
        <f>B408/1993</f>
        <v>3.0020070245860513</v>
      </c>
    </row>
    <row r="411" spans="2:21">
      <c r="C411" t="s">
        <v>771</v>
      </c>
      <c r="D411" t="s">
        <v>773</v>
      </c>
      <c r="E411" t="s">
        <v>774</v>
      </c>
      <c r="F411" t="s">
        <v>776</v>
      </c>
      <c r="G411" t="s">
        <v>775</v>
      </c>
    </row>
    <row r="412" spans="2:21">
      <c r="C412" s="23">
        <f>C4</f>
        <v>0</v>
      </c>
      <c r="D412">
        <f>F412+T5</f>
        <v>1729.6</v>
      </c>
      <c r="E412">
        <f>F412+I5</f>
        <v>1728.87</v>
      </c>
      <c r="F412">
        <v>1728</v>
      </c>
      <c r="G412">
        <f>Sheet1!E2</f>
        <v>1730.26</v>
      </c>
    </row>
    <row r="413" spans="2:21">
      <c r="C413" s="23">
        <f>C5</f>
        <v>30</v>
      </c>
      <c r="D413">
        <f>W5+T5</f>
        <v>1729.6</v>
      </c>
      <c r="E413">
        <f>X5</f>
        <v>1728.87</v>
      </c>
      <c r="F413">
        <f>W5</f>
        <v>1728</v>
      </c>
      <c r="G413">
        <f>Sheet1!E6</f>
        <v>1729.58</v>
      </c>
    </row>
    <row r="414" spans="2:21">
      <c r="C414" s="23">
        <f>C7</f>
        <v>100</v>
      </c>
      <c r="D414">
        <f>W7+T7</f>
        <v>1729.4599999999998</v>
      </c>
      <c r="E414">
        <f>X7</f>
        <v>1728.7299999999998</v>
      </c>
      <c r="F414">
        <f>W7</f>
        <v>1727.86</v>
      </c>
      <c r="G414">
        <f>Sheet1!E9</f>
        <v>1729.73</v>
      </c>
    </row>
    <row r="415" spans="2:21">
      <c r="C415" s="23">
        <f>C9</f>
        <v>200</v>
      </c>
      <c r="D415">
        <f>W9+T9</f>
        <v>1729.26</v>
      </c>
      <c r="E415">
        <f>X9</f>
        <v>1728.53</v>
      </c>
      <c r="F415">
        <f>W9</f>
        <v>1727.66</v>
      </c>
      <c r="G415">
        <f>Sheet1!E11</f>
        <v>1727.89</v>
      </c>
    </row>
    <row r="416" spans="2:21">
      <c r="C416" s="23">
        <f>C10</f>
        <v>210</v>
      </c>
      <c r="D416">
        <f>W10+T10</f>
        <v>1729.24</v>
      </c>
      <c r="E416">
        <f>X10</f>
        <v>1728.51</v>
      </c>
      <c r="F416">
        <f>W10</f>
        <v>1727.64</v>
      </c>
      <c r="G416">
        <f>Sheet1!E12</f>
        <v>1727.73</v>
      </c>
    </row>
    <row r="417" spans="3:7">
      <c r="C417" s="23">
        <f>C11</f>
        <v>213</v>
      </c>
      <c r="D417">
        <f>W11+T11</f>
        <v>1727.04</v>
      </c>
      <c r="E417">
        <f>X11</f>
        <v>1726.31</v>
      </c>
      <c r="F417">
        <f>W11</f>
        <v>1725.44</v>
      </c>
      <c r="G417">
        <f>Sheet1!E13</f>
        <v>1727.73</v>
      </c>
    </row>
    <row r="418" spans="3:7">
      <c r="C418" s="23">
        <f>C13</f>
        <v>300</v>
      </c>
      <c r="D418">
        <f>W13+T13</f>
        <v>1726.86</v>
      </c>
      <c r="E418">
        <f>X13</f>
        <v>1726.1299999999999</v>
      </c>
      <c r="F418">
        <f>W13</f>
        <v>1725.26</v>
      </c>
      <c r="G418">
        <f>Sheet1!E15</f>
        <v>1726.51</v>
      </c>
    </row>
    <row r="419" spans="3:7">
      <c r="C419" s="23">
        <f>C15</f>
        <v>400</v>
      </c>
      <c r="D419">
        <f>W15+T15</f>
        <v>1726.6599999999999</v>
      </c>
      <c r="E419">
        <f>X15</f>
        <v>1725.9299999999998</v>
      </c>
      <c r="F419">
        <f>W15</f>
        <v>1725.06</v>
      </c>
      <c r="G419">
        <f>Sheet1!E17</f>
        <v>1725.11</v>
      </c>
    </row>
    <row r="420" spans="3:7">
      <c r="C420" s="23">
        <f>C16</f>
        <v>420</v>
      </c>
      <c r="D420">
        <f>W16+T16</f>
        <v>1726.62</v>
      </c>
      <c r="E420">
        <f>X16</f>
        <v>1725.8899999999999</v>
      </c>
      <c r="F420">
        <f>W16</f>
        <v>1725.02</v>
      </c>
      <c r="G420">
        <f>Sheet1!E18</f>
        <v>1724.79</v>
      </c>
    </row>
    <row r="421" spans="3:7">
      <c r="C421" s="23">
        <f>C17</f>
        <v>423</v>
      </c>
      <c r="D421">
        <f>W17+T17</f>
        <v>1724.4199999999998</v>
      </c>
      <c r="E421">
        <f>X17</f>
        <v>1723.6899999999998</v>
      </c>
      <c r="F421">
        <f>W17</f>
        <v>1722.82</v>
      </c>
      <c r="G421">
        <f>Sheet1!E19</f>
        <v>1724.79</v>
      </c>
    </row>
    <row r="422" spans="3:7">
      <c r="C422" s="23">
        <f>C21</f>
        <v>500</v>
      </c>
      <c r="D422">
        <f>W21+T21</f>
        <v>1724.28</v>
      </c>
      <c r="E422">
        <f>X21</f>
        <v>1723.55</v>
      </c>
      <c r="F422">
        <f>W21</f>
        <v>1722.68</v>
      </c>
      <c r="G422">
        <f>Sheet1!E23</f>
        <v>1723.46</v>
      </c>
    </row>
    <row r="423" spans="3:7">
      <c r="C423" s="23">
        <f>C23</f>
        <v>600</v>
      </c>
      <c r="D423">
        <f>W23+T23</f>
        <v>1724.08</v>
      </c>
      <c r="E423">
        <f>X23</f>
        <v>1723.35</v>
      </c>
      <c r="F423">
        <f>W23</f>
        <v>1722.48</v>
      </c>
      <c r="G423">
        <f>Sheet1!E25</f>
        <v>1722.38</v>
      </c>
    </row>
    <row r="424" spans="3:7">
      <c r="C424" s="23"/>
    </row>
    <row r="425" spans="3:7">
      <c r="C425" s="23">
        <f>C26</f>
        <v>660</v>
      </c>
      <c r="D425">
        <f>W26+T26</f>
        <v>1723.9599999999998</v>
      </c>
      <c r="E425">
        <f>X26</f>
        <v>1723.2299999999998</v>
      </c>
      <c r="F425">
        <f>W26</f>
        <v>1722.36</v>
      </c>
      <c r="G425">
        <f>Sheet1!E28</f>
        <v>1722.12</v>
      </c>
    </row>
    <row r="426" spans="3:7">
      <c r="C426" s="23">
        <f>C27</f>
        <v>663</v>
      </c>
      <c r="D426">
        <f>W27+T27</f>
        <v>1721.7599999999998</v>
      </c>
      <c r="E426">
        <f>X27</f>
        <v>1721.0299999999997</v>
      </c>
      <c r="F426">
        <f>W27</f>
        <v>1720.1599999999999</v>
      </c>
      <c r="G426">
        <f>Sheet1!E29</f>
        <v>1722.09</v>
      </c>
    </row>
    <row r="427" spans="3:7">
      <c r="C427" s="23">
        <f>C28</f>
        <v>700</v>
      </c>
      <c r="D427">
        <f>W28+T28</f>
        <v>1721.6799999999998</v>
      </c>
      <c r="E427">
        <f>X28</f>
        <v>1720.9499999999998</v>
      </c>
      <c r="F427">
        <f>W28</f>
        <v>1720.08</v>
      </c>
      <c r="G427">
        <f>Sheet1!E30</f>
        <v>1721.72</v>
      </c>
    </row>
    <row r="428" spans="3:7">
      <c r="C428" s="23">
        <f>C31</f>
        <v>800</v>
      </c>
      <c r="D428">
        <f>W31+T31</f>
        <v>1721.48</v>
      </c>
      <c r="E428">
        <f>X31</f>
        <v>1720.75</v>
      </c>
      <c r="F428">
        <f>W31</f>
        <v>1719.88</v>
      </c>
      <c r="G428">
        <f>Sheet1!E33</f>
        <v>1720.6</v>
      </c>
    </row>
    <row r="429" spans="3:7">
      <c r="C429" s="23">
        <f>C33</f>
        <v>880</v>
      </c>
      <c r="D429">
        <f>W33+T33</f>
        <v>1721.32</v>
      </c>
      <c r="E429">
        <f>X33</f>
        <v>1720.59</v>
      </c>
      <c r="F429">
        <f>W33</f>
        <v>1719.72</v>
      </c>
      <c r="G429">
        <f>Sheet1!E35</f>
        <v>1719.5</v>
      </c>
    </row>
    <row r="430" spans="3:7">
      <c r="C430" s="23">
        <f>C34</f>
        <v>882</v>
      </c>
      <c r="D430">
        <f>W34+T34</f>
        <v>1719.12</v>
      </c>
      <c r="E430">
        <f>X34</f>
        <v>1718.3899999999999</v>
      </c>
      <c r="F430">
        <f>W34</f>
        <v>1717.52</v>
      </c>
      <c r="G430">
        <f>Sheet1!E36</f>
        <v>1719.49</v>
      </c>
    </row>
    <row r="431" spans="3:7">
      <c r="C431" s="23">
        <f>C35</f>
        <v>900</v>
      </c>
      <c r="D431">
        <f>W35+T35</f>
        <v>1719.08</v>
      </c>
      <c r="E431">
        <f>X35</f>
        <v>1718.35</v>
      </c>
      <c r="F431">
        <f>W35</f>
        <v>1717.48</v>
      </c>
      <c r="G431">
        <f>Sheet1!E37</f>
        <v>1719.2740000000001</v>
      </c>
    </row>
    <row r="432" spans="3:7">
      <c r="C432" s="23">
        <f>C38</f>
        <v>1000</v>
      </c>
      <c r="D432">
        <f>W38+T38</f>
        <v>1718.8799999999999</v>
      </c>
      <c r="E432">
        <f>X38</f>
        <v>1718.1499999999999</v>
      </c>
      <c r="F432">
        <f>W38</f>
        <v>1717.28</v>
      </c>
      <c r="G432">
        <f>Sheet1!E40</f>
        <v>1717.9</v>
      </c>
    </row>
    <row r="433" spans="3:7">
      <c r="C433" s="23">
        <f>C40</f>
        <v>1100</v>
      </c>
      <c r="D433">
        <f>W40+T40</f>
        <v>1718.6799999999998</v>
      </c>
      <c r="E433">
        <f>X40</f>
        <v>1717.9499999999998</v>
      </c>
      <c r="F433">
        <f>W40</f>
        <v>1717.08</v>
      </c>
      <c r="G433">
        <f>Sheet1!E42</f>
        <v>1717.63</v>
      </c>
    </row>
    <row r="434" spans="3:7">
      <c r="C434" s="23">
        <f>C42</f>
        <v>1170</v>
      </c>
      <c r="D434">
        <f>W42+T42</f>
        <v>1718.54</v>
      </c>
      <c r="E434">
        <f>X42</f>
        <v>1717.81</v>
      </c>
      <c r="F434">
        <f>W42</f>
        <v>1716.94</v>
      </c>
      <c r="G434">
        <f>Sheet1!E44</f>
        <v>1716.63</v>
      </c>
    </row>
    <row r="435" spans="3:7">
      <c r="C435" s="23">
        <f>C43</f>
        <v>1173</v>
      </c>
      <c r="D435">
        <f>W43+T43</f>
        <v>1716.34</v>
      </c>
      <c r="E435">
        <f>X43</f>
        <v>1715.61</v>
      </c>
      <c r="F435">
        <f>W43</f>
        <v>1714.74</v>
      </c>
      <c r="G435">
        <f>Sheet1!E45</f>
        <v>1716.576</v>
      </c>
    </row>
    <row r="436" spans="3:7">
      <c r="C436" s="23">
        <f>C44</f>
        <v>1200</v>
      </c>
      <c r="D436">
        <f>W44+T44</f>
        <v>1716.28</v>
      </c>
      <c r="E436">
        <f>X44</f>
        <v>1715.55</v>
      </c>
      <c r="F436">
        <f>W44</f>
        <v>1714.68</v>
      </c>
      <c r="G436">
        <f>Sheet1!E46</f>
        <v>1716.1</v>
      </c>
    </row>
    <row r="437" spans="3:7">
      <c r="C437" s="23"/>
    </row>
    <row r="438" spans="3:7">
      <c r="C438" s="23">
        <f>C47</f>
        <v>1300</v>
      </c>
      <c r="D438">
        <f>W47+T47</f>
        <v>1716.08</v>
      </c>
      <c r="E438">
        <f>X47</f>
        <v>1715.35</v>
      </c>
      <c r="F438">
        <f>W47</f>
        <v>1714.48</v>
      </c>
      <c r="G438">
        <f>Sheet1!E49</f>
        <v>1714.71</v>
      </c>
    </row>
    <row r="439" spans="3:7">
      <c r="C439" s="23">
        <f>C49</f>
        <v>1360</v>
      </c>
      <c r="D439">
        <f>W49+T49</f>
        <v>1715.9599999999998</v>
      </c>
      <c r="E439">
        <f>X49</f>
        <v>1715.2299999999998</v>
      </c>
      <c r="F439">
        <f>W49</f>
        <v>1714.36</v>
      </c>
      <c r="G439">
        <f>Sheet1!E51</f>
        <v>1714.0500000000002</v>
      </c>
    </row>
    <row r="440" spans="3:7">
      <c r="C440" s="23">
        <f>C50</f>
        <v>1363</v>
      </c>
      <c r="D440">
        <f>W50+T50</f>
        <v>1713.7599999999998</v>
      </c>
      <c r="E440">
        <f>X50</f>
        <v>1713.0299999999997</v>
      </c>
      <c r="F440">
        <f>W50</f>
        <v>1712.1599999999999</v>
      </c>
      <c r="G440">
        <f>Sheet1!E52</f>
        <v>1714</v>
      </c>
    </row>
    <row r="441" spans="3:7">
      <c r="C441" s="23">
        <f>C51</f>
        <v>1400</v>
      </c>
      <c r="D441">
        <f>W51+T51</f>
        <v>1713.6799999999998</v>
      </c>
      <c r="E441">
        <f>X51</f>
        <v>1712.9499999999998</v>
      </c>
      <c r="F441">
        <f>W51</f>
        <v>1712.08</v>
      </c>
      <c r="G441">
        <f>Sheet1!E53</f>
        <v>1713.6100000000001</v>
      </c>
    </row>
    <row r="442" spans="3:7">
      <c r="C442" s="23">
        <f>C53</f>
        <v>1500</v>
      </c>
      <c r="D442">
        <f>W53+T53</f>
        <v>1713.48</v>
      </c>
      <c r="E442">
        <f>X53</f>
        <v>1712.75</v>
      </c>
      <c r="F442">
        <f>W53</f>
        <v>1711.88</v>
      </c>
      <c r="G442">
        <f>Sheet1!E55</f>
        <v>1712.33</v>
      </c>
    </row>
    <row r="443" spans="3:7">
      <c r="C443" s="23">
        <f>C55</f>
        <v>1600</v>
      </c>
      <c r="D443">
        <f>W55+T55</f>
        <v>1713.28</v>
      </c>
      <c r="E443">
        <f>X55</f>
        <v>1712.55</v>
      </c>
      <c r="F443">
        <f>W55</f>
        <v>1711.68</v>
      </c>
      <c r="G443">
        <f>Sheet1!E57</f>
        <v>1712.14</v>
      </c>
    </row>
    <row r="444" spans="3:7">
      <c r="C444" s="23">
        <f>C57</f>
        <v>1630</v>
      </c>
      <c r="D444">
        <f>W57+T57</f>
        <v>1713.2199999999998</v>
      </c>
      <c r="E444">
        <f>X57</f>
        <v>1712.4899999999998</v>
      </c>
      <c r="F444">
        <f>W57</f>
        <v>1711.62</v>
      </c>
      <c r="G444">
        <f>Sheet1!E59</f>
        <v>1711.28</v>
      </c>
    </row>
    <row r="445" spans="3:7">
      <c r="C445" s="23">
        <f>C58</f>
        <v>1633</v>
      </c>
      <c r="D445">
        <f>W58+T58</f>
        <v>1711.0199999999998</v>
      </c>
      <c r="E445">
        <f>X58</f>
        <v>1710.2899999999997</v>
      </c>
      <c r="F445">
        <f>W58</f>
        <v>1709.4199999999998</v>
      </c>
      <c r="G445">
        <f>Sheet1!E60</f>
        <v>1711.28</v>
      </c>
    </row>
    <row r="446" spans="3:7">
      <c r="C446" s="23">
        <f>C60</f>
        <v>1700</v>
      </c>
      <c r="D446">
        <f>W60+T60</f>
        <v>1710.8799999999999</v>
      </c>
      <c r="E446">
        <f>X60</f>
        <v>1710.1499999999999</v>
      </c>
      <c r="F446">
        <f>W60</f>
        <v>1709.28</v>
      </c>
      <c r="G446">
        <f>Sheet1!E62</f>
        <v>1710.01</v>
      </c>
    </row>
    <row r="447" spans="3:7">
      <c r="C447" s="23">
        <f>C61</f>
        <v>1800</v>
      </c>
      <c r="D447">
        <f>W61+T61</f>
        <v>1710.6799999999998</v>
      </c>
      <c r="E447">
        <f>X61</f>
        <v>1709.9499999999998</v>
      </c>
      <c r="F447">
        <f>W61</f>
        <v>1709.08</v>
      </c>
      <c r="G447">
        <f>Sheet1!E63</f>
        <v>1709.22</v>
      </c>
    </row>
    <row r="448" spans="3:7">
      <c r="C448" s="23"/>
    </row>
    <row r="449" spans="3:7">
      <c r="C449" s="23">
        <f>C62</f>
        <v>1850</v>
      </c>
      <c r="D449">
        <f>W62+T62</f>
        <v>1710.58</v>
      </c>
      <c r="E449">
        <f>X62</f>
        <v>1709.85</v>
      </c>
      <c r="F449">
        <f>W62</f>
        <v>1708.98</v>
      </c>
      <c r="G449">
        <f>Sheet1!E64</f>
        <v>1708.66</v>
      </c>
    </row>
    <row r="450" spans="3:7">
      <c r="C450" s="23">
        <f>C63</f>
        <v>1853</v>
      </c>
      <c r="D450">
        <f>W63+T63</f>
        <v>1708.3799999999999</v>
      </c>
      <c r="E450">
        <f>X63</f>
        <v>1707.6499999999999</v>
      </c>
      <c r="F450">
        <f>W63</f>
        <v>1706.78</v>
      </c>
      <c r="G450">
        <f>Sheet1!E65</f>
        <v>1708.66</v>
      </c>
    </row>
    <row r="451" spans="3:7">
      <c r="C451" s="23">
        <f>C64</f>
        <v>1900</v>
      </c>
      <c r="D451">
        <f>W64+T64</f>
        <v>1708.28</v>
      </c>
      <c r="E451">
        <f>X64</f>
        <v>1707.55</v>
      </c>
      <c r="F451">
        <f>W64</f>
        <v>1706.68</v>
      </c>
      <c r="G451">
        <f>Sheet1!E66</f>
        <v>1708.09</v>
      </c>
    </row>
    <row r="452" spans="3:7">
      <c r="C452" s="23">
        <f>C66</f>
        <v>2000</v>
      </c>
      <c r="D452">
        <f>W66+T66</f>
        <v>1708.08</v>
      </c>
      <c r="E452">
        <f>X66</f>
        <v>1707.35</v>
      </c>
      <c r="F452">
        <f>W66</f>
        <v>1706.48</v>
      </c>
      <c r="G452">
        <f>Sheet1!E68</f>
        <v>1707.91</v>
      </c>
    </row>
    <row r="453" spans="3:7">
      <c r="C453" s="23">
        <f>C68</f>
        <v>2100</v>
      </c>
      <c r="D453">
        <f>W68+T68</f>
        <v>1707.8799999999999</v>
      </c>
      <c r="E453">
        <f>X68</f>
        <v>1707.1499999999999</v>
      </c>
      <c r="F453">
        <f>W68</f>
        <v>1706.28</v>
      </c>
      <c r="G453">
        <f>Sheet1!E70</f>
        <v>1706.34</v>
      </c>
    </row>
    <row r="454" spans="3:7">
      <c r="C454" s="23">
        <f>C69</f>
        <v>2120</v>
      </c>
      <c r="D454">
        <f>W69+T69</f>
        <v>1707.84</v>
      </c>
      <c r="E454">
        <f>X69</f>
        <v>1707.11</v>
      </c>
      <c r="F454">
        <f>W69</f>
        <v>1706.24</v>
      </c>
      <c r="G454">
        <f>Sheet1!E71</f>
        <v>1705.95</v>
      </c>
    </row>
    <row r="455" spans="3:7">
      <c r="C455" s="23">
        <f>C70</f>
        <v>2123</v>
      </c>
      <c r="D455">
        <f>W70+T70</f>
        <v>1705.6399999999999</v>
      </c>
      <c r="E455">
        <f>X70</f>
        <v>1704.9099999999999</v>
      </c>
      <c r="F455">
        <f>W70</f>
        <v>1704.04</v>
      </c>
      <c r="G455">
        <f>Sheet1!E72</f>
        <v>1705.95</v>
      </c>
    </row>
    <row r="456" spans="3:7">
      <c r="C456" s="23">
        <f>C71</f>
        <v>2150</v>
      </c>
      <c r="D456">
        <f>W71+T71</f>
        <v>1705.58</v>
      </c>
      <c r="E456">
        <f>X71</f>
        <v>1704.85</v>
      </c>
      <c r="F456">
        <f>W71</f>
        <v>1703.98</v>
      </c>
      <c r="G456">
        <f>Sheet1!E73</f>
        <v>1705.46</v>
      </c>
    </row>
    <row r="457" spans="3:7">
      <c r="C457" s="23">
        <f>C72</f>
        <v>2200</v>
      </c>
      <c r="D457">
        <f>W72+T72</f>
        <v>1705.48</v>
      </c>
      <c r="E457">
        <f>X72</f>
        <v>1704.75</v>
      </c>
      <c r="F457">
        <f>W72</f>
        <v>1703.88</v>
      </c>
      <c r="G457">
        <f>Sheet1!E74</f>
        <v>1704.87</v>
      </c>
    </row>
    <row r="458" spans="3:7">
      <c r="C458" s="23">
        <f>C74</f>
        <v>2300</v>
      </c>
      <c r="D458">
        <f>W74+T74</f>
        <v>1705.28</v>
      </c>
      <c r="E458">
        <f>X74</f>
        <v>1704.55</v>
      </c>
      <c r="F458">
        <f>W74</f>
        <v>1703.68</v>
      </c>
      <c r="G458">
        <f>Sheet1!E76</f>
        <v>1703.5</v>
      </c>
    </row>
    <row r="459" spans="3:7">
      <c r="C459" s="23">
        <f>C78</f>
        <v>2340</v>
      </c>
      <c r="D459">
        <f>W78+T78</f>
        <v>1705.1999999999998</v>
      </c>
      <c r="E459">
        <f>X78</f>
        <v>1704.4699999999998</v>
      </c>
      <c r="F459">
        <f>W78</f>
        <v>1703.6</v>
      </c>
      <c r="G459">
        <f>Sheet1!E80</f>
        <v>1703.25</v>
      </c>
    </row>
    <row r="460" spans="3:7">
      <c r="C460" s="23">
        <f>C79</f>
        <v>2343</v>
      </c>
      <c r="D460">
        <f>W79+T79</f>
        <v>1702.9999999999998</v>
      </c>
      <c r="E460">
        <f>X79</f>
        <v>1702.2699999999998</v>
      </c>
      <c r="F460">
        <f>W79</f>
        <v>1701.3999999999999</v>
      </c>
      <c r="G460">
        <f>Sheet1!E81</f>
        <v>1703.25</v>
      </c>
    </row>
    <row r="461" spans="3:7">
      <c r="C461" s="23">
        <f>C81</f>
        <v>2400</v>
      </c>
      <c r="D461">
        <f>W81+T81</f>
        <v>1702.8799999999999</v>
      </c>
      <c r="E461">
        <f>X81</f>
        <v>1702.1499999999999</v>
      </c>
      <c r="F461">
        <f>W81</f>
        <v>1701.28</v>
      </c>
      <c r="G461">
        <f>Sheet1!E83</f>
        <v>1702.41</v>
      </c>
    </row>
    <row r="462" spans="3:7">
      <c r="C462" s="23"/>
    </row>
    <row r="463" spans="3:7">
      <c r="C463" s="23">
        <f>C83</f>
        <v>2500</v>
      </c>
      <c r="D463">
        <f>W83+T83</f>
        <v>1702.6799999999998</v>
      </c>
      <c r="E463">
        <f>X83</f>
        <v>1701.9499999999998</v>
      </c>
      <c r="F463">
        <f>W83</f>
        <v>1701.08</v>
      </c>
      <c r="G463">
        <f>Sheet1!E85</f>
        <v>1701.32</v>
      </c>
    </row>
    <row r="464" spans="3:7">
      <c r="C464" s="23">
        <f>C85</f>
        <v>2560</v>
      </c>
      <c r="D464">
        <f>W85+T85</f>
        <v>1702.56</v>
      </c>
      <c r="E464">
        <f>X85</f>
        <v>1701.83</v>
      </c>
      <c r="F464">
        <f>W85</f>
        <v>1700.96</v>
      </c>
      <c r="G464">
        <f>Sheet1!E87</f>
        <v>1700.65</v>
      </c>
    </row>
    <row r="465" spans="3:7">
      <c r="C465" s="23">
        <f>C86</f>
        <v>2563</v>
      </c>
      <c r="D465">
        <f>W86+T86</f>
        <v>1700.36</v>
      </c>
      <c r="E465">
        <f>X86</f>
        <v>1699.6299999999999</v>
      </c>
      <c r="F465">
        <f>W86</f>
        <v>1698.76</v>
      </c>
      <c r="G465">
        <f>Sheet1!E88</f>
        <v>1700.65</v>
      </c>
    </row>
    <row r="466" spans="3:7">
      <c r="C466" s="23">
        <f>C87</f>
        <v>2600</v>
      </c>
      <c r="D466">
        <f>W87+T87</f>
        <v>1700.28</v>
      </c>
      <c r="E466">
        <f>X87</f>
        <v>1699.55</v>
      </c>
      <c r="F466">
        <f>W87</f>
        <v>1698.68</v>
      </c>
      <c r="G466">
        <f>Sheet1!E89</f>
        <v>1700.37</v>
      </c>
    </row>
    <row r="467" spans="3:7">
      <c r="C467" s="23">
        <f>C89</f>
        <v>2700</v>
      </c>
      <c r="D467">
        <f>W89+T89</f>
        <v>1700.08</v>
      </c>
      <c r="E467">
        <f>X89</f>
        <v>1699.35</v>
      </c>
      <c r="F467">
        <f>W89</f>
        <v>1698.48</v>
      </c>
      <c r="G467">
        <f>Sheet1!E91</f>
        <v>1699.8</v>
      </c>
    </row>
    <row r="468" spans="3:7">
      <c r="C468" s="23">
        <f>C91</f>
        <v>2800</v>
      </c>
      <c r="D468">
        <f>W91+T91</f>
        <v>1699.8799999999999</v>
      </c>
      <c r="E468">
        <f>X91</f>
        <v>1699.1499999999999</v>
      </c>
      <c r="F468">
        <f>W91</f>
        <v>1698.28</v>
      </c>
      <c r="G468">
        <f>Sheet1!E93</f>
        <v>1698.74</v>
      </c>
    </row>
    <row r="469" spans="3:7">
      <c r="C469" s="23">
        <f>C94</f>
        <v>2820</v>
      </c>
      <c r="D469">
        <f>W94+T94</f>
        <v>1699.84</v>
      </c>
      <c r="E469">
        <f>X94</f>
        <v>1699.11</v>
      </c>
      <c r="F469">
        <f>W94</f>
        <v>1698.24</v>
      </c>
      <c r="G469">
        <f>Sheet1!E96</f>
        <v>1697.92</v>
      </c>
    </row>
    <row r="470" spans="3:7">
      <c r="C470" s="23">
        <f>C95</f>
        <v>2823</v>
      </c>
      <c r="D470">
        <f>W95+T95</f>
        <v>1697.6399999999999</v>
      </c>
      <c r="E470">
        <f>X95</f>
        <v>1696.9099999999999</v>
      </c>
      <c r="F470">
        <f>W95</f>
        <v>1696.04</v>
      </c>
      <c r="G470">
        <f>Sheet1!E97</f>
        <v>1697.92</v>
      </c>
    </row>
    <row r="471" spans="3:7">
      <c r="C471" s="23">
        <f>C97</f>
        <v>2900</v>
      </c>
      <c r="D471">
        <f>W97+T97</f>
        <v>1697.48</v>
      </c>
      <c r="E471">
        <f>X97</f>
        <v>1696.75</v>
      </c>
      <c r="F471">
        <f>W97</f>
        <v>1695.88</v>
      </c>
      <c r="G471">
        <f>Sheet1!E99</f>
        <v>1697.22</v>
      </c>
    </row>
    <row r="472" spans="3:7">
      <c r="C472" s="23">
        <f>C99</f>
        <v>3000</v>
      </c>
      <c r="D472">
        <f>W99+T99</f>
        <v>1697.28</v>
      </c>
      <c r="E472">
        <f>X99</f>
        <v>1696.55</v>
      </c>
      <c r="F472">
        <f>W99</f>
        <v>1695.68</v>
      </c>
      <c r="G472">
        <f>Sheet1!E101</f>
        <v>1696.49</v>
      </c>
    </row>
    <row r="473" spans="3:7">
      <c r="C473" s="23"/>
    </row>
    <row r="474" spans="3:7">
      <c r="C474" s="23">
        <f>C101</f>
        <v>3100</v>
      </c>
      <c r="D474">
        <f>W101+T101</f>
        <v>1697.08</v>
      </c>
      <c r="E474">
        <f>X101</f>
        <v>1696.35</v>
      </c>
      <c r="F474">
        <f>W101</f>
        <v>1695.48</v>
      </c>
      <c r="G474">
        <f>Sheet1!E103</f>
        <v>1696.08</v>
      </c>
    </row>
    <row r="475" spans="3:7">
      <c r="C475" s="23">
        <f>C103</f>
        <v>3190</v>
      </c>
      <c r="D475">
        <f>W103+T103</f>
        <v>1696.8999999999999</v>
      </c>
      <c r="E475">
        <f>X103</f>
        <v>1696.1699999999998</v>
      </c>
      <c r="F475">
        <f>W103</f>
        <v>1695.3</v>
      </c>
      <c r="G475">
        <f>Sheet1!E105</f>
        <v>1694.95</v>
      </c>
    </row>
    <row r="476" spans="3:7">
      <c r="C476" s="23">
        <f>C104</f>
        <v>3193</v>
      </c>
      <c r="D476">
        <f>W104+T104</f>
        <v>1694.6999999999998</v>
      </c>
      <c r="E476">
        <f>X104</f>
        <v>1693.9699999999998</v>
      </c>
      <c r="F476">
        <f>W104</f>
        <v>1693.1</v>
      </c>
      <c r="G476">
        <f>Sheet1!E106</f>
        <v>1694.95</v>
      </c>
    </row>
    <row r="477" spans="3:7">
      <c r="C477" s="23">
        <f>C105</f>
        <v>3200</v>
      </c>
      <c r="D477">
        <f>W105+T105</f>
        <v>1694.6799999999998</v>
      </c>
      <c r="E477">
        <f>X105</f>
        <v>1693.9499999999998</v>
      </c>
      <c r="F477">
        <f>W105</f>
        <v>1693.08</v>
      </c>
      <c r="G477">
        <f>Sheet1!E107</f>
        <v>1694.8</v>
      </c>
    </row>
    <row r="478" spans="3:7">
      <c r="C478" s="23">
        <f>C107</f>
        <v>3300</v>
      </c>
      <c r="D478">
        <f>W107+T107</f>
        <v>1694.48</v>
      </c>
      <c r="E478">
        <f>X107</f>
        <v>1693.75</v>
      </c>
      <c r="F478">
        <f>W107</f>
        <v>1692.88</v>
      </c>
      <c r="G478">
        <f>Sheet1!E109</f>
        <v>1693.46</v>
      </c>
    </row>
    <row r="479" spans="3:7">
      <c r="C479" s="23">
        <f>C109</f>
        <v>3400</v>
      </c>
      <c r="D479">
        <f>W109+T109</f>
        <v>1694.28</v>
      </c>
      <c r="E479">
        <f>X109</f>
        <v>1693.55</v>
      </c>
      <c r="F479">
        <f>W109</f>
        <v>1692.68</v>
      </c>
      <c r="G479">
        <f>Sheet1!E111</f>
        <v>1692.58</v>
      </c>
    </row>
    <row r="480" spans="3:7">
      <c r="C480" s="23">
        <f>C110</f>
        <v>3430</v>
      </c>
      <c r="D480">
        <f>W110+T110</f>
        <v>1694.2199999999998</v>
      </c>
      <c r="E480">
        <f>X110</f>
        <v>1693.4899999999998</v>
      </c>
      <c r="F480">
        <f>W110</f>
        <v>1692.62</v>
      </c>
      <c r="G480">
        <f>Sheet1!E112</f>
        <v>1692.32</v>
      </c>
    </row>
    <row r="481" spans="3:7">
      <c r="C481" s="23">
        <f>C111</f>
        <v>3433</v>
      </c>
      <c r="D481">
        <f>W111+T111</f>
        <v>1692.0199999999998</v>
      </c>
      <c r="E481">
        <f>X111</f>
        <v>1691.2899999999997</v>
      </c>
      <c r="F481">
        <f>W111</f>
        <v>1690.4199999999998</v>
      </c>
      <c r="G481">
        <f>Sheet1!E113</f>
        <v>1692.32</v>
      </c>
    </row>
    <row r="482" spans="3:7">
      <c r="C482" s="23">
        <f>C114</f>
        <v>3500</v>
      </c>
      <c r="D482">
        <f>W114+T114</f>
        <v>1691.8799999999999</v>
      </c>
      <c r="E482">
        <f>X114</f>
        <v>1691.1499999999999</v>
      </c>
      <c r="F482">
        <f>W114</f>
        <v>1690.28</v>
      </c>
      <c r="G482">
        <f>Sheet1!E116</f>
        <v>1691.68</v>
      </c>
    </row>
    <row r="483" spans="3:7">
      <c r="C483" s="23">
        <f>C116</f>
        <v>3600</v>
      </c>
      <c r="D483">
        <f>W116+T116</f>
        <v>1691.6799999999998</v>
      </c>
      <c r="E483">
        <f>X116</f>
        <v>1690.9499999999998</v>
      </c>
      <c r="F483">
        <f>W116</f>
        <v>1690.08</v>
      </c>
      <c r="G483">
        <f>Sheet1!E118</f>
        <v>1691.08</v>
      </c>
    </row>
    <row r="484" spans="3:7">
      <c r="C484" s="23"/>
    </row>
    <row r="485" spans="3:7">
      <c r="C485" s="23">
        <f>C118</f>
        <v>3700</v>
      </c>
      <c r="D485">
        <f>W118+T118</f>
        <v>1691.48</v>
      </c>
      <c r="E485">
        <f>X118</f>
        <v>1690.75</v>
      </c>
      <c r="F485">
        <f>W118</f>
        <v>1689.88</v>
      </c>
      <c r="G485">
        <f>Sheet1!E120</f>
        <v>1689.68</v>
      </c>
    </row>
    <row r="486" spans="3:7">
      <c r="C486" s="23">
        <f>C119</f>
        <v>3730</v>
      </c>
      <c r="D486">
        <f>W119+T119</f>
        <v>1691.4199999999998</v>
      </c>
      <c r="E486">
        <f>X119</f>
        <v>1690.6899999999998</v>
      </c>
      <c r="F486">
        <f>W119</f>
        <v>1689.82</v>
      </c>
      <c r="G486">
        <f>Sheet1!E121</f>
        <v>1689.54</v>
      </c>
    </row>
    <row r="487" spans="3:7">
      <c r="C487" s="23">
        <f>C120</f>
        <v>3733</v>
      </c>
      <c r="D487">
        <f>W120+T120</f>
        <v>1689.2199999999998</v>
      </c>
      <c r="E487">
        <f>X120</f>
        <v>1688.4899999999998</v>
      </c>
      <c r="F487">
        <f>W120</f>
        <v>1687.62</v>
      </c>
      <c r="G487">
        <f>Sheet1!E122</f>
        <v>1689.54</v>
      </c>
    </row>
    <row r="488" spans="3:7">
      <c r="C488" s="23">
        <f>C122</f>
        <v>3800</v>
      </c>
      <c r="D488">
        <f>W122+T122</f>
        <v>1689.08</v>
      </c>
      <c r="E488">
        <f>X122</f>
        <v>1688.35</v>
      </c>
      <c r="F488">
        <f>W122</f>
        <v>1687.48</v>
      </c>
      <c r="G488">
        <f>Sheet1!E124</f>
        <v>1688.83</v>
      </c>
    </row>
    <row r="489" spans="3:7">
      <c r="C489" s="23">
        <f>C124</f>
        <v>3900</v>
      </c>
      <c r="D489">
        <f>W124+T124</f>
        <v>1688.8799999999999</v>
      </c>
      <c r="E489">
        <f>X124</f>
        <v>1688.1499999999999</v>
      </c>
      <c r="F489">
        <f>W124</f>
        <v>1687.28</v>
      </c>
      <c r="G489">
        <f>Sheet1!E126</f>
        <v>1688.14</v>
      </c>
    </row>
    <row r="490" spans="3:7">
      <c r="C490" s="23">
        <f>C126</f>
        <v>4000</v>
      </c>
      <c r="D490">
        <f>W126+T126</f>
        <v>1688.6799999999998</v>
      </c>
      <c r="E490">
        <f>X126</f>
        <v>1687.9499999999998</v>
      </c>
      <c r="F490">
        <f>W126</f>
        <v>1687.08</v>
      </c>
      <c r="G490">
        <f>Sheet1!E128</f>
        <v>1687.54</v>
      </c>
    </row>
    <row r="491" spans="3:7">
      <c r="C491" s="23">
        <f>C128</f>
        <v>4080</v>
      </c>
      <c r="D491">
        <f>W128+T128</f>
        <v>1688.52</v>
      </c>
      <c r="E491">
        <f>X128</f>
        <v>1687.79</v>
      </c>
      <c r="F491">
        <f>W128</f>
        <v>1686.92</v>
      </c>
      <c r="G491">
        <f>Sheet1!E130</f>
        <v>1686.59</v>
      </c>
    </row>
    <row r="492" spans="3:7">
      <c r="C492" s="23">
        <f>C129</f>
        <v>4083</v>
      </c>
      <c r="D492">
        <f>W129+T129</f>
        <v>1686.32</v>
      </c>
      <c r="E492">
        <f>X129</f>
        <v>1685.59</v>
      </c>
      <c r="F492">
        <f>W129</f>
        <v>1684.72</v>
      </c>
      <c r="G492">
        <f>Sheet1!E131</f>
        <v>1686.59</v>
      </c>
    </row>
    <row r="493" spans="3:7">
      <c r="C493" s="23">
        <f>C130</f>
        <v>4100</v>
      </c>
      <c r="D493">
        <f>W130+T130</f>
        <v>1686.28</v>
      </c>
      <c r="E493">
        <f>X130</f>
        <v>1685.55</v>
      </c>
      <c r="F493">
        <f>W130</f>
        <v>1684.68</v>
      </c>
      <c r="G493">
        <f>Sheet1!E132</f>
        <v>1686.22</v>
      </c>
    </row>
    <row r="494" spans="3:7">
      <c r="C494" s="23">
        <f>C132</f>
        <v>4200</v>
      </c>
      <c r="D494">
        <f>W132+T132</f>
        <v>1686.08</v>
      </c>
      <c r="E494">
        <f>X132</f>
        <v>1685.35</v>
      </c>
      <c r="F494">
        <f>W132</f>
        <v>1684.48</v>
      </c>
      <c r="G494">
        <f>Sheet1!E134</f>
        <v>1685.09</v>
      </c>
    </row>
    <row r="495" spans="3:7">
      <c r="C495" s="23"/>
    </row>
    <row r="496" spans="3:7">
      <c r="C496" s="23">
        <f>C134</f>
        <v>4300</v>
      </c>
      <c r="D496">
        <f>W134+T134</f>
        <v>1685.8799999999999</v>
      </c>
      <c r="E496">
        <f>X134</f>
        <v>1685.1499999999999</v>
      </c>
      <c r="F496">
        <f>W134</f>
        <v>1684.28</v>
      </c>
      <c r="G496">
        <f>Sheet1!E136</f>
        <v>1684.32</v>
      </c>
    </row>
    <row r="497" spans="3:7">
      <c r="C497" s="23">
        <f>C136</f>
        <v>4360</v>
      </c>
      <c r="D497">
        <f>W136+T136</f>
        <v>1685.76</v>
      </c>
      <c r="E497">
        <f>X136</f>
        <v>1685.03</v>
      </c>
      <c r="F497">
        <f>W136</f>
        <v>1684.16</v>
      </c>
      <c r="G497">
        <f>Sheet1!E138</f>
        <v>1683.84</v>
      </c>
    </row>
    <row r="498" spans="3:7">
      <c r="C498" s="23">
        <f>C137</f>
        <v>4363</v>
      </c>
      <c r="D498">
        <f>W137+T137</f>
        <v>1683.56</v>
      </c>
      <c r="E498">
        <f>X137</f>
        <v>1682.83</v>
      </c>
      <c r="F498">
        <f>W137</f>
        <v>1681.96</v>
      </c>
      <c r="G498">
        <f>Sheet1!E139</f>
        <v>1683.84</v>
      </c>
    </row>
    <row r="499" spans="3:7">
      <c r="C499" s="23">
        <f>C138</f>
        <v>4400</v>
      </c>
      <c r="D499">
        <f>W138+T138</f>
        <v>1683.48</v>
      </c>
      <c r="E499">
        <f>X138</f>
        <v>1682.75</v>
      </c>
      <c r="F499">
        <f>W138</f>
        <v>1681.88</v>
      </c>
      <c r="G499">
        <f>Sheet1!E140</f>
        <v>1683.46</v>
      </c>
    </row>
    <row r="500" spans="3:7">
      <c r="C500" s="23">
        <f>C140</f>
        <v>4500</v>
      </c>
      <c r="D500">
        <f>W140+T140</f>
        <v>1683.28</v>
      </c>
      <c r="E500">
        <f>X140</f>
        <v>1682.55</v>
      </c>
      <c r="F500">
        <f>W140</f>
        <v>1681.68</v>
      </c>
      <c r="G500">
        <f>Sheet1!E142</f>
        <v>1682.36</v>
      </c>
    </row>
    <row r="501" spans="3:7">
      <c r="C501" s="23">
        <f>C142</f>
        <v>4600</v>
      </c>
      <c r="D501">
        <f>W142+T142</f>
        <v>1683.08</v>
      </c>
      <c r="E501">
        <f>X142</f>
        <v>1682.35</v>
      </c>
      <c r="F501">
        <f>W142</f>
        <v>1681.48</v>
      </c>
      <c r="G501">
        <f>Sheet1!E144</f>
        <v>1681.84</v>
      </c>
    </row>
    <row r="502" spans="3:7">
      <c r="C502" s="23">
        <f>C143</f>
        <v>4650</v>
      </c>
      <c r="D502">
        <f>W143+T143</f>
        <v>1682.98</v>
      </c>
      <c r="E502">
        <f>X143</f>
        <v>1682.25</v>
      </c>
      <c r="F502">
        <f>W143</f>
        <v>1681.38</v>
      </c>
      <c r="G502">
        <f>Sheet1!E145</f>
        <v>1681.08</v>
      </c>
    </row>
    <row r="503" spans="3:7">
      <c r="C503" s="23">
        <f>C144</f>
        <v>4653</v>
      </c>
      <c r="D503">
        <f>W144+T144</f>
        <v>1680.78</v>
      </c>
      <c r="E503">
        <f>X144</f>
        <v>1680.05</v>
      </c>
      <c r="F503">
        <f>W144</f>
        <v>1679.18</v>
      </c>
      <c r="G503">
        <f>Sheet1!E146</f>
        <v>1681.08</v>
      </c>
    </row>
    <row r="504" spans="3:7">
      <c r="C504" s="23">
        <f>C145</f>
        <v>4700</v>
      </c>
      <c r="D504">
        <f>W145+T145</f>
        <v>1680.6799999999998</v>
      </c>
      <c r="E504">
        <f>X145</f>
        <v>1679.9499999999998</v>
      </c>
      <c r="F504">
        <f>W145</f>
        <v>1679.08</v>
      </c>
      <c r="G504">
        <f>Sheet1!E147</f>
        <v>1680.88</v>
      </c>
    </row>
    <row r="505" spans="3:7">
      <c r="C505" s="23">
        <f>C147</f>
        <v>4800</v>
      </c>
      <c r="D505">
        <f>W147+T147</f>
        <v>1680.48</v>
      </c>
      <c r="E505">
        <f>X147</f>
        <v>1679.75</v>
      </c>
      <c r="F505">
        <f>W147</f>
        <v>1678.88</v>
      </c>
      <c r="G505">
        <f>Sheet1!E149</f>
        <v>1679.95</v>
      </c>
    </row>
    <row r="506" spans="3:7">
      <c r="C506" s="23"/>
    </row>
    <row r="507" spans="3:7">
      <c r="C507" s="23">
        <f>C149</f>
        <v>4900</v>
      </c>
      <c r="D507">
        <f>W149+T149</f>
        <v>1680.28</v>
      </c>
      <c r="E507">
        <f>X149</f>
        <v>1679.55</v>
      </c>
      <c r="F507">
        <f>W149</f>
        <v>1678.68</v>
      </c>
      <c r="G507">
        <f>Sheet1!E151</f>
        <v>1679.23</v>
      </c>
    </row>
    <row r="508" spans="3:7">
      <c r="C508" s="23">
        <f>C151</f>
        <v>5000</v>
      </c>
      <c r="D508">
        <f>W151+T151</f>
        <v>1680.08</v>
      </c>
      <c r="E508">
        <f>X151</f>
        <v>1679.35</v>
      </c>
      <c r="F508">
        <f>W151</f>
        <v>1678.48</v>
      </c>
      <c r="G508">
        <f>Sheet1!E153</f>
        <v>1678.89</v>
      </c>
    </row>
    <row r="509" spans="3:7">
      <c r="C509" s="23">
        <f>C153</f>
        <v>5060</v>
      </c>
      <c r="D509">
        <f>W153+T153</f>
        <v>1679.9599999999998</v>
      </c>
      <c r="E509">
        <f>X153</f>
        <v>1679.2299999999998</v>
      </c>
      <c r="F509">
        <f>W153</f>
        <v>1678.36</v>
      </c>
      <c r="G509">
        <f>Sheet1!E155</f>
        <v>1677.93</v>
      </c>
    </row>
    <row r="510" spans="3:7">
      <c r="C510" s="23">
        <f>C154</f>
        <v>5063</v>
      </c>
      <c r="D510">
        <f>W154+T154</f>
        <v>1677.7599999999998</v>
      </c>
      <c r="E510">
        <f>X154</f>
        <v>1677.0299999999997</v>
      </c>
      <c r="F510">
        <f>W154</f>
        <v>1676.1599999999999</v>
      </c>
      <c r="G510">
        <f>Sheet1!E156</f>
        <v>1677.93</v>
      </c>
    </row>
    <row r="511" spans="3:7">
      <c r="C511" s="23">
        <f>C155</f>
        <v>5100</v>
      </c>
      <c r="D511">
        <f>W155+T155</f>
        <v>1677.6799999999998</v>
      </c>
      <c r="E511">
        <f>X155</f>
        <v>1676.9499999999998</v>
      </c>
      <c r="F511">
        <f>W155</f>
        <v>1676.08</v>
      </c>
      <c r="G511">
        <f>Sheet1!E157</f>
        <v>1677.55</v>
      </c>
    </row>
    <row r="512" spans="3:7">
      <c r="C512" s="23">
        <f>C157</f>
        <v>5200</v>
      </c>
      <c r="D512">
        <f>W157+T157</f>
        <v>1677.48</v>
      </c>
      <c r="E512">
        <f>X157</f>
        <v>1676.75</v>
      </c>
      <c r="F512">
        <f>W157</f>
        <v>1675.88</v>
      </c>
      <c r="G512">
        <f>Sheet1!E159</f>
        <v>1676.82</v>
      </c>
    </row>
    <row r="513" spans="3:7">
      <c r="C513" s="23">
        <f>C159</f>
        <v>5290</v>
      </c>
      <c r="D513">
        <f>W159+T159</f>
        <v>1677.3</v>
      </c>
      <c r="E513">
        <f>X159</f>
        <v>1676.57</v>
      </c>
      <c r="F513">
        <f>W159</f>
        <v>1675.7</v>
      </c>
      <c r="G513">
        <f>Sheet1!E161</f>
        <v>1677.06</v>
      </c>
    </row>
    <row r="514" spans="3:7">
      <c r="C514" s="23">
        <f>C160</f>
        <v>5293</v>
      </c>
      <c r="D514">
        <f>W160+T160</f>
        <v>1676.8</v>
      </c>
      <c r="E514">
        <f>X160</f>
        <v>1676.07</v>
      </c>
      <c r="F514">
        <f>W160</f>
        <v>1675.2</v>
      </c>
      <c r="G514">
        <f>Sheet1!E162</f>
        <v>1677.06</v>
      </c>
    </row>
    <row r="515" spans="3:7">
      <c r="C515" s="23">
        <f>C161</f>
        <v>5295</v>
      </c>
      <c r="D515">
        <f>W161+T161</f>
        <v>1676.8</v>
      </c>
      <c r="E515">
        <f>X161</f>
        <v>1676.07</v>
      </c>
      <c r="F515">
        <f>W161</f>
        <v>1675.2</v>
      </c>
      <c r="G515">
        <f>Sheet1!E163</f>
        <v>1677.4</v>
      </c>
    </row>
    <row r="516" spans="3:7">
      <c r="C516" s="23">
        <f>C162</f>
        <v>5305</v>
      </c>
      <c r="D516">
        <f>W162+T162</f>
        <v>1676.78</v>
      </c>
      <c r="E516">
        <f>X162</f>
        <v>1676.05</v>
      </c>
      <c r="F516">
        <f>W162</f>
        <v>1675.18</v>
      </c>
      <c r="G516">
        <f>Sheet1!E165</f>
        <v>1677.4</v>
      </c>
    </row>
    <row r="517" spans="3:7">
      <c r="C517" s="23">
        <f>C164</f>
        <v>5400</v>
      </c>
      <c r="D517">
        <f>W164+T164</f>
        <v>1676.59</v>
      </c>
      <c r="E517">
        <f>X164</f>
        <v>1675.86</v>
      </c>
      <c r="F517">
        <f>W164</f>
        <v>1674.99</v>
      </c>
      <c r="G517">
        <f>Sheet1!E167</f>
        <v>1676.16</v>
      </c>
    </row>
    <row r="518" spans="3:7">
      <c r="C518" s="23"/>
    </row>
    <row r="519" spans="3:7">
      <c r="C519" s="23">
        <f>C166</f>
        <v>5500</v>
      </c>
      <c r="D519">
        <f>W166+T166</f>
        <v>1676.3899999999999</v>
      </c>
      <c r="E519">
        <f>X166</f>
        <v>1675.6599999999999</v>
      </c>
      <c r="F519">
        <f>W166</f>
        <v>1674.79</v>
      </c>
      <c r="G519">
        <f>Sheet1!E169</f>
        <v>1676.04</v>
      </c>
    </row>
    <row r="520" spans="3:7">
      <c r="C520" s="23">
        <f>C168</f>
        <v>5600</v>
      </c>
      <c r="D520">
        <f>W168+T168</f>
        <v>1676.1899999999998</v>
      </c>
      <c r="E520">
        <f>X168</f>
        <v>1675.4599999999998</v>
      </c>
      <c r="F520">
        <f>W168</f>
        <v>1674.59</v>
      </c>
      <c r="G520">
        <f>Sheet1!E171</f>
        <v>1675.84</v>
      </c>
    </row>
    <row r="521" spans="3:7">
      <c r="C521" s="23">
        <f>C170</f>
        <v>5700</v>
      </c>
      <c r="D521">
        <f>W170+T170</f>
        <v>1675.99</v>
      </c>
      <c r="E521">
        <f>X170</f>
        <v>1675.26</v>
      </c>
      <c r="F521">
        <f>W170</f>
        <v>1674.39</v>
      </c>
      <c r="G521">
        <f>Sheet1!E173</f>
        <v>1676.06</v>
      </c>
    </row>
    <row r="522" spans="3:7">
      <c r="C522" s="23">
        <f>C172</f>
        <v>5800</v>
      </c>
      <c r="D522">
        <f>W172+T172</f>
        <v>1675.79</v>
      </c>
      <c r="E522">
        <f>X172</f>
        <v>1675.06</v>
      </c>
      <c r="F522">
        <f>W172</f>
        <v>1674.19</v>
      </c>
      <c r="G522">
        <f>Sheet1!E175</f>
        <v>1675.78</v>
      </c>
    </row>
    <row r="523" spans="3:7">
      <c r="C523" s="23">
        <f>C174</f>
        <v>5900</v>
      </c>
      <c r="D523">
        <f>W174+T174</f>
        <v>1675.59</v>
      </c>
      <c r="E523">
        <f>X174</f>
        <v>1674.86</v>
      </c>
      <c r="F523">
        <f>W174</f>
        <v>1673.99</v>
      </c>
      <c r="G523">
        <f>Sheet1!E177</f>
        <v>1674.53</v>
      </c>
    </row>
    <row r="524" spans="3:7">
      <c r="C524" s="23">
        <f>C176</f>
        <v>6000</v>
      </c>
      <c r="D524">
        <f>W176+T176</f>
        <v>1675.3899999999999</v>
      </c>
      <c r="E524">
        <f>X176</f>
        <v>1674.6599999999999</v>
      </c>
      <c r="F524">
        <f>W176</f>
        <v>1673.79</v>
      </c>
      <c r="G524">
        <f>Sheet1!E179</f>
        <v>1673.76</v>
      </c>
    </row>
    <row r="525" spans="3:7">
      <c r="C525" s="23"/>
    </row>
    <row r="526" spans="3:7">
      <c r="C526" s="23">
        <f>C177</f>
        <v>6050</v>
      </c>
      <c r="D526">
        <f>W177+T177</f>
        <v>1675.29</v>
      </c>
      <c r="E526">
        <f>X177</f>
        <v>1674.56</v>
      </c>
      <c r="F526">
        <f>W177</f>
        <v>1673.69</v>
      </c>
      <c r="G526">
        <f>Sheet1!E180</f>
        <v>1673.41</v>
      </c>
    </row>
    <row r="527" spans="3:7">
      <c r="C527" s="23">
        <f>C178</f>
        <v>6053</v>
      </c>
      <c r="D527">
        <f>W178+T178</f>
        <v>1673.29</v>
      </c>
      <c r="E527">
        <f>X178</f>
        <v>1672.56</v>
      </c>
      <c r="F527">
        <f>W178</f>
        <v>1671.69</v>
      </c>
      <c r="G527">
        <f>Sheet1!E181</f>
        <v>1673.41</v>
      </c>
    </row>
    <row r="528" spans="3:7">
      <c r="C528" s="23">
        <f>C179</f>
        <v>6100</v>
      </c>
      <c r="D528">
        <f>W179+T179</f>
        <v>1673.1899999999998</v>
      </c>
      <c r="E528">
        <f>X179</f>
        <v>1672.4599999999998</v>
      </c>
      <c r="F528">
        <f>W179</f>
        <v>1671.59</v>
      </c>
      <c r="G528">
        <f>Sheet1!E182</f>
        <v>1673.09</v>
      </c>
    </row>
    <row r="529" spans="3:7">
      <c r="C529" s="23">
        <f>C181</f>
        <v>6200</v>
      </c>
      <c r="D529">
        <f>W181+T181</f>
        <v>1672.99</v>
      </c>
      <c r="E529">
        <f>X181</f>
        <v>1672.26</v>
      </c>
      <c r="F529">
        <f>W181</f>
        <v>1671.39</v>
      </c>
      <c r="G529">
        <f>Sheet1!E184</f>
        <v>1672.35</v>
      </c>
    </row>
    <row r="530" spans="3:7">
      <c r="C530" s="23">
        <f>C183</f>
        <v>6300</v>
      </c>
      <c r="D530">
        <f>W183+T183</f>
        <v>1672.79</v>
      </c>
      <c r="E530">
        <f>X183</f>
        <v>1672.06</v>
      </c>
      <c r="F530">
        <f>W183</f>
        <v>1671.19</v>
      </c>
      <c r="G530">
        <f>Sheet1!E186</f>
        <v>1671.6</v>
      </c>
    </row>
    <row r="531" spans="3:7">
      <c r="C531" s="23">
        <f>C185</f>
        <v>6400</v>
      </c>
      <c r="D531">
        <f>W185+T185</f>
        <v>1672.59</v>
      </c>
      <c r="E531">
        <f>X185</f>
        <v>1671.86</v>
      </c>
      <c r="F531">
        <f>W185</f>
        <v>1670.99</v>
      </c>
      <c r="G531">
        <f>Sheet1!E188</f>
        <v>1670.84</v>
      </c>
    </row>
    <row r="532" spans="3:7">
      <c r="C532" s="23">
        <f>C186</f>
        <v>6420</v>
      </c>
      <c r="D532">
        <f>W186+T186</f>
        <v>1672.55</v>
      </c>
      <c r="E532">
        <f>X186</f>
        <v>1671.82</v>
      </c>
      <c r="F532">
        <f>W186</f>
        <v>1670.95</v>
      </c>
      <c r="G532">
        <f>Sheet1!E189</f>
        <v>1670.62</v>
      </c>
    </row>
    <row r="533" spans="3:7">
      <c r="C533" s="23">
        <f>C187</f>
        <v>6423</v>
      </c>
      <c r="D533">
        <f>W187+T187</f>
        <v>1671.55</v>
      </c>
      <c r="E533">
        <f>X187</f>
        <v>1670.82</v>
      </c>
      <c r="F533">
        <f>W187</f>
        <v>1669.95</v>
      </c>
      <c r="G533">
        <f>Sheet1!E190</f>
        <v>1670.62</v>
      </c>
    </row>
    <row r="534" spans="3:7">
      <c r="C534" s="23">
        <f>C189</f>
        <v>6500</v>
      </c>
      <c r="D534">
        <f>W189+T189</f>
        <v>1671.3899999999999</v>
      </c>
      <c r="E534">
        <f>X189</f>
        <v>1670.6599999999999</v>
      </c>
      <c r="F534">
        <f>W189</f>
        <v>1669.79</v>
      </c>
      <c r="G534">
        <f>Sheet1!E192</f>
        <v>1670.26</v>
      </c>
    </row>
    <row r="535" spans="3:7">
      <c r="C535" s="23">
        <f>C191</f>
        <v>6600</v>
      </c>
      <c r="D535">
        <f>W191+T191</f>
        <v>1671.1899999999998</v>
      </c>
      <c r="E535">
        <f>X191</f>
        <v>1670.4599999999998</v>
      </c>
      <c r="F535">
        <f>W191</f>
        <v>1669.59</v>
      </c>
      <c r="G535">
        <f>Sheet1!E194</f>
        <v>1669.81</v>
      </c>
    </row>
    <row r="536" spans="3:7">
      <c r="C536" s="23"/>
    </row>
    <row r="537" spans="3:7">
      <c r="C537" s="23">
        <f>C193</f>
        <v>6700</v>
      </c>
      <c r="D537">
        <f>W193+T193</f>
        <v>1670.99</v>
      </c>
      <c r="E537">
        <f>X193</f>
        <v>1670.26</v>
      </c>
      <c r="F537">
        <f>W193</f>
        <v>1669.39</v>
      </c>
      <c r="G537">
        <f>Sheet1!E196</f>
        <v>1669.72</v>
      </c>
    </row>
    <row r="538" spans="3:7">
      <c r="C538" s="23">
        <f>C195</f>
        <v>6800</v>
      </c>
      <c r="D538">
        <f>W195+T195</f>
        <v>1670.79</v>
      </c>
      <c r="E538">
        <f>X195</f>
        <v>1670.06</v>
      </c>
      <c r="F538">
        <f>W195</f>
        <v>1669.19</v>
      </c>
      <c r="G538">
        <f>Sheet1!E198</f>
        <v>1669.6</v>
      </c>
    </row>
    <row r="539" spans="3:7">
      <c r="C539" s="23">
        <f>C197</f>
        <v>6900</v>
      </c>
      <c r="D539">
        <f>W197+T197</f>
        <v>1670.59</v>
      </c>
      <c r="E539">
        <f>X197</f>
        <v>1669.86</v>
      </c>
      <c r="F539">
        <f>W197</f>
        <v>1668.99</v>
      </c>
      <c r="G539">
        <f>Sheet1!E200</f>
        <v>1669.68</v>
      </c>
    </row>
    <row r="540" spans="3:7">
      <c r="C540" s="23">
        <f>C199</f>
        <v>7000</v>
      </c>
      <c r="D540">
        <f>W199+T199</f>
        <v>1670.3899999999999</v>
      </c>
      <c r="E540">
        <f>X199</f>
        <v>1669.6599999999999</v>
      </c>
      <c r="F540">
        <f>W199</f>
        <v>1668.79</v>
      </c>
      <c r="G540">
        <f>Sheet1!E202</f>
        <v>1669.69</v>
      </c>
    </row>
    <row r="541" spans="3:7">
      <c r="C541" s="23">
        <f>C201</f>
        <v>7100</v>
      </c>
      <c r="D541">
        <f>W201+T201</f>
        <v>1670.1899999999998</v>
      </c>
      <c r="E541">
        <f>X201</f>
        <v>1669.4599999999998</v>
      </c>
      <c r="F541">
        <f>W201</f>
        <v>1668.59</v>
      </c>
      <c r="G541">
        <f>Sheet1!E204</f>
        <v>1669.64</v>
      </c>
    </row>
    <row r="542" spans="3:7">
      <c r="C542" s="23">
        <f>C203</f>
        <v>7200</v>
      </c>
      <c r="D542">
        <f>W203+T203</f>
        <v>1669.99</v>
      </c>
      <c r="E542">
        <f>X203</f>
        <v>1669.26</v>
      </c>
      <c r="F542">
        <f>W203</f>
        <v>1668.39</v>
      </c>
      <c r="G542">
        <f>Sheet1!E206</f>
        <v>1670.14</v>
      </c>
    </row>
    <row r="543" spans="3:7">
      <c r="C543" s="23"/>
    </row>
    <row r="544" spans="3:7">
      <c r="C544" s="23">
        <f>C205</f>
        <v>7282</v>
      </c>
      <c r="D544">
        <f>W205+T205</f>
        <v>1669.83</v>
      </c>
      <c r="E544">
        <f>X205</f>
        <v>1669.1</v>
      </c>
      <c r="F544">
        <f>W205</f>
        <v>1668.23</v>
      </c>
      <c r="G544">
        <f>Sheet1!E208</f>
        <v>1670.1</v>
      </c>
    </row>
    <row r="545" spans="3:7">
      <c r="C545" s="23">
        <f>C206</f>
        <v>7292</v>
      </c>
      <c r="D545">
        <f>W206+T206</f>
        <v>1669.81</v>
      </c>
      <c r="E545">
        <f>X206</f>
        <v>1669.08</v>
      </c>
      <c r="F545">
        <f>W206</f>
        <v>1668.21</v>
      </c>
      <c r="G545">
        <f>Sheet1!E209</f>
        <v>1670.1</v>
      </c>
    </row>
    <row r="546" spans="3:7">
      <c r="C546" s="23">
        <f>C207</f>
        <v>7300</v>
      </c>
      <c r="D546">
        <f>W207+T207</f>
        <v>1669.79</v>
      </c>
      <c r="E546">
        <f>X207</f>
        <v>1669.06</v>
      </c>
      <c r="F546">
        <f>W207</f>
        <v>1668.19</v>
      </c>
      <c r="G546">
        <f>Sheet1!E210</f>
        <v>1669.68</v>
      </c>
    </row>
    <row r="547" spans="3:7">
      <c r="C547" s="23">
        <f>C208</f>
        <v>7310</v>
      </c>
      <c r="D547">
        <f>W208+T208</f>
        <v>1669.67</v>
      </c>
      <c r="E547">
        <f>X208</f>
        <v>1668.93</v>
      </c>
      <c r="F547">
        <f>W208</f>
        <v>1668.17</v>
      </c>
      <c r="G547">
        <f>Sheet1!E211</f>
        <v>1669.64</v>
      </c>
    </row>
    <row r="548" spans="3:7">
      <c r="C548" s="23">
        <f>C210</f>
        <v>7400</v>
      </c>
      <c r="D548">
        <f>W210+T210</f>
        <v>1669.49</v>
      </c>
      <c r="E548">
        <f>X210</f>
        <v>1668.75</v>
      </c>
      <c r="F548">
        <f>W210</f>
        <v>1667.99</v>
      </c>
      <c r="G548">
        <f>Sheet1!E213</f>
        <v>1669.06</v>
      </c>
    </row>
    <row r="549" spans="3:7">
      <c r="C549" s="23">
        <f>C212</f>
        <v>7500</v>
      </c>
      <c r="D549">
        <f>W212+T212</f>
        <v>1669.29</v>
      </c>
      <c r="E549">
        <f>X212</f>
        <v>1668.55</v>
      </c>
      <c r="F549">
        <f>W212</f>
        <v>1667.79</v>
      </c>
      <c r="G549">
        <f>Sheet1!E215</f>
        <v>1668.67</v>
      </c>
    </row>
    <row r="550" spans="3:7">
      <c r="C550" s="23">
        <f>C214</f>
        <v>7600</v>
      </c>
      <c r="D550">
        <f>W214+T214</f>
        <v>1669.09</v>
      </c>
      <c r="E550">
        <f>X214</f>
        <v>1668.35</v>
      </c>
      <c r="F550">
        <f>W214</f>
        <v>1667.59</v>
      </c>
      <c r="G550">
        <f>Sheet1!E217</f>
        <v>1668.9</v>
      </c>
    </row>
    <row r="551" spans="3:7">
      <c r="C551" s="23">
        <f>C216</f>
        <v>7700</v>
      </c>
      <c r="D551">
        <f>W216+T216</f>
        <v>1668.89</v>
      </c>
      <c r="E551">
        <f>X216</f>
        <v>1668.15</v>
      </c>
      <c r="F551">
        <f>W216</f>
        <v>1667.39</v>
      </c>
      <c r="G551">
        <f>Sheet1!E219</f>
        <v>1668.58</v>
      </c>
    </row>
    <row r="552" spans="3:7">
      <c r="C552" s="23">
        <f>C218</f>
        <v>7800</v>
      </c>
      <c r="D552">
        <f>W218+T218</f>
        <v>1668.69</v>
      </c>
      <c r="E552">
        <f>X218</f>
        <v>1667.95</v>
      </c>
      <c r="F552">
        <f>W218</f>
        <v>1667.19</v>
      </c>
      <c r="G552">
        <f>Sheet1!E221</f>
        <v>1667.96</v>
      </c>
    </row>
    <row r="553" spans="3:7">
      <c r="C553" s="23"/>
    </row>
    <row r="554" spans="3:7">
      <c r="C554" s="23">
        <f>C220</f>
        <v>7900</v>
      </c>
      <c r="D554">
        <f>W220+T220</f>
        <v>1668.49</v>
      </c>
      <c r="E554">
        <f>X220</f>
        <v>1667.75</v>
      </c>
      <c r="F554">
        <f>W220</f>
        <v>1666.99</v>
      </c>
      <c r="G554">
        <f>Sheet1!E223</f>
        <v>1667.59</v>
      </c>
    </row>
    <row r="555" spans="3:7">
      <c r="C555" s="23">
        <f>C222</f>
        <v>8000</v>
      </c>
      <c r="D555">
        <f>W222+T222</f>
        <v>1668.29</v>
      </c>
      <c r="E555">
        <f>X222</f>
        <v>1667.55</v>
      </c>
      <c r="F555">
        <f>W222</f>
        <v>1666.79</v>
      </c>
      <c r="G555">
        <f>Sheet1!E225</f>
        <v>1667.41</v>
      </c>
    </row>
    <row r="556" spans="3:7">
      <c r="C556" s="23">
        <f>C224</f>
        <v>8100</v>
      </c>
      <c r="D556">
        <f>W224+T224</f>
        <v>1668.14</v>
      </c>
      <c r="E556">
        <f>X224</f>
        <v>1667.5400000000002</v>
      </c>
      <c r="F556">
        <f>W224</f>
        <v>1666.64</v>
      </c>
      <c r="G556">
        <f>Sheet1!E227</f>
        <v>1667.29</v>
      </c>
    </row>
    <row r="557" spans="3:7">
      <c r="C557" s="23">
        <f>C226</f>
        <v>8200</v>
      </c>
      <c r="D557">
        <f>W226+T226</f>
        <v>1668.04</v>
      </c>
      <c r="E557">
        <f>X226</f>
        <v>1667.44</v>
      </c>
      <c r="F557">
        <f>W226</f>
        <v>1666.54</v>
      </c>
      <c r="G557">
        <f>Sheet1!E229</f>
        <v>1666.93</v>
      </c>
    </row>
    <row r="558" spans="3:7">
      <c r="C558" s="23">
        <f>C228</f>
        <v>8300</v>
      </c>
      <c r="D558">
        <f>W228+T228</f>
        <v>1667.94</v>
      </c>
      <c r="E558">
        <f>X228</f>
        <v>1667.3400000000001</v>
      </c>
      <c r="F558">
        <f>W228</f>
        <v>1666.44</v>
      </c>
      <c r="G558">
        <f>Sheet1!E231</f>
        <v>1666.65</v>
      </c>
    </row>
    <row r="559" spans="3:7">
      <c r="C559" s="23">
        <f>C230</f>
        <v>8400</v>
      </c>
      <c r="D559">
        <f>W230+T230</f>
        <v>1667.84</v>
      </c>
      <c r="E559">
        <f>X230</f>
        <v>1667.24</v>
      </c>
      <c r="F559">
        <f>W230</f>
        <v>1666.34</v>
      </c>
      <c r="G559">
        <f>Sheet1!E233</f>
        <v>1666.4</v>
      </c>
    </row>
    <row r="560" spans="3:7">
      <c r="C560" s="23"/>
    </row>
    <row r="561" spans="3:7">
      <c r="C561" s="23">
        <f>C232</f>
        <v>8500</v>
      </c>
      <c r="D561">
        <f>W232+T232</f>
        <v>1667.74</v>
      </c>
      <c r="E561">
        <f>X232</f>
        <v>1667.14</v>
      </c>
      <c r="F561">
        <f>W232</f>
        <v>1666.24</v>
      </c>
      <c r="G561">
        <f>Sheet1!E235</f>
        <v>1666.15</v>
      </c>
    </row>
    <row r="562" spans="3:7">
      <c r="C562" s="23">
        <f>C234</f>
        <v>8600</v>
      </c>
      <c r="D562">
        <f>W234+T234</f>
        <v>1667.64</v>
      </c>
      <c r="E562">
        <f>X234</f>
        <v>1667.0400000000002</v>
      </c>
      <c r="F562">
        <f>W234</f>
        <v>1666.14</v>
      </c>
      <c r="G562">
        <f>Sheet1!E237</f>
        <v>1667.05</v>
      </c>
    </row>
    <row r="563" spans="3:7">
      <c r="C563" s="23">
        <f>C236</f>
        <v>8700</v>
      </c>
      <c r="D563">
        <f>W236+T236</f>
        <v>1667.54</v>
      </c>
      <c r="E563">
        <f>X236</f>
        <v>1666.94</v>
      </c>
      <c r="F563">
        <f>W236</f>
        <v>1666.04</v>
      </c>
      <c r="G563">
        <f>Sheet1!E239</f>
        <v>1667.47</v>
      </c>
    </row>
    <row r="564" spans="3:7">
      <c r="C564" s="23">
        <f>C238</f>
        <v>8800</v>
      </c>
      <c r="D564">
        <f>W238+T238</f>
        <v>1667.44</v>
      </c>
      <c r="E564">
        <f>X238</f>
        <v>1666.8400000000001</v>
      </c>
      <c r="F564">
        <f>W238</f>
        <v>1665.94</v>
      </c>
      <c r="G564">
        <f>Sheet1!E241</f>
        <v>1666.89</v>
      </c>
    </row>
    <row r="565" spans="3:7">
      <c r="C565" s="23">
        <f>C240</f>
        <v>8900</v>
      </c>
      <c r="D565">
        <f>W240+T240</f>
        <v>1667.34</v>
      </c>
      <c r="E565">
        <f>X240</f>
        <v>1666.74</v>
      </c>
      <c r="F565">
        <f>W240</f>
        <v>1665.84</v>
      </c>
      <c r="G565">
        <f>Sheet1!E243</f>
        <v>1667.81</v>
      </c>
    </row>
    <row r="566" spans="3:7">
      <c r="C566" s="23">
        <f>C242</f>
        <v>9000</v>
      </c>
      <c r="D566">
        <f>W242+T242</f>
        <v>1667.24</v>
      </c>
      <c r="E566">
        <f>X242</f>
        <v>1666.64</v>
      </c>
      <c r="F566">
        <f>W242</f>
        <v>1665.74</v>
      </c>
      <c r="G566">
        <f>Sheet1!E245</f>
        <v>1667.7</v>
      </c>
    </row>
    <row r="567" spans="3:7">
      <c r="C567" s="23"/>
    </row>
    <row r="568" spans="3:7">
      <c r="C568" s="23">
        <f>C244</f>
        <v>9100</v>
      </c>
      <c r="D568">
        <f>W244+T244</f>
        <v>1667.14</v>
      </c>
      <c r="E568">
        <f>X244</f>
        <v>1666.5400000000002</v>
      </c>
      <c r="F568">
        <f>W244</f>
        <v>1665.64</v>
      </c>
      <c r="G568">
        <f>Sheet1!E247</f>
        <v>1667.46</v>
      </c>
    </row>
    <row r="569" spans="3:7">
      <c r="C569" s="23">
        <f>C246</f>
        <v>9200</v>
      </c>
      <c r="D569">
        <f>W246+T246</f>
        <v>1667.04</v>
      </c>
      <c r="E569">
        <f>X246</f>
        <v>1666.44</v>
      </c>
      <c r="F569">
        <f>W246</f>
        <v>1665.54</v>
      </c>
      <c r="G569">
        <f>Sheet1!E249</f>
        <v>1666.78</v>
      </c>
    </row>
    <row r="570" spans="3:7">
      <c r="C570" s="23">
        <f>C248</f>
        <v>9300</v>
      </c>
      <c r="D570">
        <f>W248+T248</f>
        <v>1666.94</v>
      </c>
      <c r="E570">
        <f>X248</f>
        <v>1666.3400000000001</v>
      </c>
      <c r="F570">
        <f>W248</f>
        <v>1665.44</v>
      </c>
      <c r="G570">
        <f>Sheet1!E251</f>
        <v>1666.19</v>
      </c>
    </row>
    <row r="571" spans="3:7">
      <c r="C571" s="23">
        <f>C250</f>
        <v>9400</v>
      </c>
      <c r="D571">
        <f>W250+T250</f>
        <v>1666.84</v>
      </c>
      <c r="E571">
        <f>X250</f>
        <v>1666.24</v>
      </c>
      <c r="F571">
        <f>W250</f>
        <v>1665.34</v>
      </c>
      <c r="G571">
        <f>Sheet1!E253</f>
        <v>1665.41</v>
      </c>
    </row>
    <row r="572" spans="3:7">
      <c r="C572" s="23">
        <f>C252</f>
        <v>9500</v>
      </c>
      <c r="D572">
        <f>W252+T252</f>
        <v>1666.74</v>
      </c>
      <c r="E572">
        <f>X252</f>
        <v>1666.14</v>
      </c>
      <c r="F572">
        <f>W252</f>
        <v>1665.24</v>
      </c>
      <c r="G572">
        <f>Sheet1!E255</f>
        <v>1665.9</v>
      </c>
    </row>
    <row r="573" spans="3:7">
      <c r="C573" s="23">
        <f>C254</f>
        <v>9600</v>
      </c>
      <c r="D573">
        <f>W254+T254</f>
        <v>1666.64</v>
      </c>
      <c r="E573">
        <f>X254</f>
        <v>1666.0400000000002</v>
      </c>
      <c r="F573">
        <f>W254</f>
        <v>1665.14</v>
      </c>
      <c r="G573">
        <f>Sheet1!E257</f>
        <v>1665.83</v>
      </c>
    </row>
    <row r="574" spans="3:7">
      <c r="C574" s="23"/>
    </row>
    <row r="575" spans="3:7">
      <c r="C575" s="23">
        <f>C256</f>
        <v>9700</v>
      </c>
      <c r="D575">
        <f>W256+T256</f>
        <v>1666.54</v>
      </c>
      <c r="E575">
        <f>X256</f>
        <v>1665.94</v>
      </c>
      <c r="F575">
        <f>W256</f>
        <v>1665.04</v>
      </c>
      <c r="G575">
        <f>Sheet1!E259</f>
        <v>1665.41</v>
      </c>
    </row>
    <row r="576" spans="3:7">
      <c r="C576" s="23">
        <f>C258</f>
        <v>9800</v>
      </c>
      <c r="D576">
        <f>W258+T258</f>
        <v>1666.44</v>
      </c>
      <c r="E576">
        <f>X258</f>
        <v>1665.8400000000001</v>
      </c>
      <c r="F576">
        <f>W258</f>
        <v>1664.94</v>
      </c>
      <c r="G576">
        <f>Sheet1!E261</f>
        <v>1665.54</v>
      </c>
    </row>
    <row r="577" spans="3:7">
      <c r="C577" s="23">
        <f>C260</f>
        <v>9900</v>
      </c>
      <c r="D577">
        <f>W260+T260</f>
        <v>1666.34</v>
      </c>
      <c r="E577">
        <f>X260</f>
        <v>1665.74</v>
      </c>
      <c r="F577">
        <f>W260</f>
        <v>1664.84</v>
      </c>
      <c r="G577">
        <f>Sheet1!E263</f>
        <v>1665.71</v>
      </c>
    </row>
    <row r="578" spans="3:7">
      <c r="C578" s="23">
        <f>C262</f>
        <v>10000</v>
      </c>
      <c r="D578">
        <f>W262+T262</f>
        <v>1666.24</v>
      </c>
      <c r="E578">
        <f>X262</f>
        <v>1665.64</v>
      </c>
      <c r="F578">
        <f>W262</f>
        <v>1664.74</v>
      </c>
      <c r="G578">
        <f>Sheet1!E265</f>
        <v>1665.38</v>
      </c>
    </row>
    <row r="579" spans="3:7">
      <c r="C579" s="23">
        <f>C264</f>
        <v>10100</v>
      </c>
      <c r="D579">
        <f>W264+T264</f>
        <v>1666.14</v>
      </c>
      <c r="E579">
        <f>X264</f>
        <v>1665.5400000000002</v>
      </c>
      <c r="F579">
        <f>W264</f>
        <v>1664.64</v>
      </c>
      <c r="G579">
        <f>Sheet1!E267</f>
        <v>1665.81</v>
      </c>
    </row>
    <row r="580" spans="3:7">
      <c r="C580" s="23">
        <f>C266</f>
        <v>10200</v>
      </c>
      <c r="D580">
        <f>W266+T266</f>
        <v>1666.04</v>
      </c>
      <c r="E580">
        <f>X266</f>
        <v>1665.44</v>
      </c>
      <c r="F580">
        <f>W266</f>
        <v>1664.54</v>
      </c>
      <c r="G580">
        <f>Sheet1!E269</f>
        <v>1665.95</v>
      </c>
    </row>
    <row r="581" spans="3:7">
      <c r="C581" s="23"/>
    </row>
    <row r="582" spans="3:7">
      <c r="C582" s="23">
        <f>C268</f>
        <v>10300</v>
      </c>
      <c r="D582">
        <f>W268+T268</f>
        <v>1665.94</v>
      </c>
      <c r="E582">
        <f>X268</f>
        <v>1665.3400000000001</v>
      </c>
      <c r="F582">
        <f>W268</f>
        <v>1664.44</v>
      </c>
      <c r="G582">
        <f>Sheet1!E271</f>
        <v>1666.17</v>
      </c>
    </row>
    <row r="583" spans="3:7">
      <c r="C583" s="23">
        <f>C270</f>
        <v>10400</v>
      </c>
      <c r="D583">
        <f>W270+T270</f>
        <v>1665.84</v>
      </c>
      <c r="E583">
        <f>X270</f>
        <v>1665.24</v>
      </c>
      <c r="F583">
        <f>W270</f>
        <v>1664.34</v>
      </c>
      <c r="G583">
        <f>Sheet1!E273</f>
        <v>1666.46</v>
      </c>
    </row>
    <row r="584" spans="3:7">
      <c r="C584" s="23">
        <f>C272</f>
        <v>10500</v>
      </c>
      <c r="D584">
        <f>W272+T272</f>
        <v>1665.74</v>
      </c>
      <c r="E584">
        <f>X272</f>
        <v>1665.14</v>
      </c>
      <c r="F584">
        <f>W272</f>
        <v>1664.24</v>
      </c>
      <c r="G584">
        <f>Sheet1!E275</f>
        <v>1666.25</v>
      </c>
    </row>
    <row r="585" spans="3:7">
      <c r="C585" s="23">
        <f>C274</f>
        <v>10600</v>
      </c>
      <c r="D585">
        <f>W274+T274</f>
        <v>1665.64</v>
      </c>
      <c r="E585">
        <f>X274</f>
        <v>1665.0400000000002</v>
      </c>
      <c r="F585">
        <f>W274</f>
        <v>1664.14</v>
      </c>
      <c r="G585">
        <f>Sheet1!E277</f>
        <v>1666.02</v>
      </c>
    </row>
    <row r="586" spans="3:7">
      <c r="C586" s="23">
        <f>C276</f>
        <v>10700</v>
      </c>
      <c r="D586">
        <f>W276+T276</f>
        <v>1665.54</v>
      </c>
      <c r="E586">
        <f>X276</f>
        <v>1664.94</v>
      </c>
      <c r="F586">
        <f>W276</f>
        <v>1664.04</v>
      </c>
      <c r="G586">
        <f>Sheet1!E279</f>
        <v>1665.88</v>
      </c>
    </row>
    <row r="587" spans="3:7">
      <c r="C587" s="23">
        <f>C278</f>
        <v>10800</v>
      </c>
      <c r="D587">
        <f>W278+T278</f>
        <v>1665.44</v>
      </c>
      <c r="E587">
        <f>X278</f>
        <v>1664.8400000000001</v>
      </c>
      <c r="F587">
        <f>W278</f>
        <v>1663.94</v>
      </c>
      <c r="G587">
        <f>Sheet1!E281</f>
        <v>1665.78</v>
      </c>
    </row>
    <row r="588" spans="3:7">
      <c r="C588" s="23"/>
    </row>
    <row r="589" spans="3:7">
      <c r="C589" s="23">
        <f>C280</f>
        <v>10900</v>
      </c>
      <c r="D589">
        <f>W280+T280</f>
        <v>1665.34</v>
      </c>
      <c r="E589">
        <f>X280</f>
        <v>1664.74</v>
      </c>
      <c r="F589">
        <f>W280</f>
        <v>1663.84</v>
      </c>
      <c r="G589">
        <f>Sheet1!E283</f>
        <v>1665.57</v>
      </c>
    </row>
    <row r="590" spans="3:7">
      <c r="C590" s="23">
        <f>C282</f>
        <v>11000</v>
      </c>
      <c r="D590">
        <f>W282+T282</f>
        <v>1665.24</v>
      </c>
      <c r="E590">
        <f>X282</f>
        <v>1664.64</v>
      </c>
      <c r="F590">
        <f>W282</f>
        <v>1663.74</v>
      </c>
      <c r="G590">
        <f>Sheet1!E285</f>
        <v>1665.11</v>
      </c>
    </row>
    <row r="591" spans="3:7">
      <c r="C591" s="23">
        <f>C284</f>
        <v>11100</v>
      </c>
      <c r="D591">
        <f>W284+T284</f>
        <v>1665.14</v>
      </c>
      <c r="E591">
        <f>X284</f>
        <v>1664.5400000000002</v>
      </c>
      <c r="F591">
        <f>W284</f>
        <v>1663.64</v>
      </c>
      <c r="G591">
        <f>Sheet1!E287</f>
        <v>1664.81</v>
      </c>
    </row>
    <row r="592" spans="3:7">
      <c r="C592" s="23">
        <f>C286</f>
        <v>11200</v>
      </c>
      <c r="D592">
        <f>W286+T286</f>
        <v>1665.04</v>
      </c>
      <c r="E592">
        <f>X286</f>
        <v>1664.44</v>
      </c>
      <c r="F592">
        <f>W286</f>
        <v>1663.54</v>
      </c>
      <c r="G592">
        <f>Sheet1!E289</f>
        <v>1664.69</v>
      </c>
    </row>
    <row r="593" spans="3:7">
      <c r="C593" s="23">
        <f>C288</f>
        <v>11300</v>
      </c>
      <c r="D593">
        <f>W288+T288</f>
        <v>1664.94</v>
      </c>
      <c r="E593">
        <f>X288</f>
        <v>1664.3400000000001</v>
      </c>
      <c r="F593">
        <f>W288</f>
        <v>1663.44</v>
      </c>
      <c r="G593">
        <f>Sheet1!E291</f>
        <v>1664.39</v>
      </c>
    </row>
    <row r="594" spans="3:7">
      <c r="C594" s="23">
        <f>C290</f>
        <v>11400</v>
      </c>
      <c r="D594">
        <f>W290+T290</f>
        <v>1664.84</v>
      </c>
      <c r="E594">
        <f>X290</f>
        <v>1664.24</v>
      </c>
      <c r="F594">
        <f>W290</f>
        <v>1663.34</v>
      </c>
      <c r="G594">
        <f>Sheet1!E293</f>
        <v>1664.47</v>
      </c>
    </row>
    <row r="595" spans="3:7">
      <c r="C595" s="23"/>
    </row>
    <row r="596" spans="3:7">
      <c r="C596" s="23">
        <f>C292</f>
        <v>11500</v>
      </c>
      <c r="D596">
        <f>W292+T292</f>
        <v>1664.74</v>
      </c>
      <c r="E596">
        <f>X292</f>
        <v>1664.14</v>
      </c>
      <c r="F596">
        <f>W292</f>
        <v>1663.24</v>
      </c>
      <c r="G596">
        <f>Sheet1!E295</f>
        <v>1664.54</v>
      </c>
    </row>
    <row r="597" spans="3:7">
      <c r="C597" s="23">
        <f>C294</f>
        <v>11600</v>
      </c>
      <c r="D597">
        <f>W294+T294</f>
        <v>1664.64</v>
      </c>
      <c r="E597">
        <f>X294</f>
        <v>1664.0400000000002</v>
      </c>
      <c r="F597">
        <f>W294</f>
        <v>1663.14</v>
      </c>
      <c r="G597">
        <f>Sheet1!E297</f>
        <v>1664.47</v>
      </c>
    </row>
    <row r="598" spans="3:7">
      <c r="C598" s="23">
        <f>C296</f>
        <v>11700</v>
      </c>
      <c r="D598">
        <f>W296+T296</f>
        <v>1664.54</v>
      </c>
      <c r="E598">
        <f>X296</f>
        <v>1663.94</v>
      </c>
      <c r="F598">
        <f>W296</f>
        <v>1663.04</v>
      </c>
      <c r="G598">
        <f>Sheet1!E299</f>
        <v>1664.26</v>
      </c>
    </row>
    <row r="599" spans="3:7">
      <c r="C599" s="23">
        <f>C298</f>
        <v>11800</v>
      </c>
      <c r="D599">
        <f>W298+T298</f>
        <v>1664.19</v>
      </c>
      <c r="E599">
        <f>X298</f>
        <v>1663.65</v>
      </c>
      <c r="F599">
        <f>W298</f>
        <v>1662.89</v>
      </c>
      <c r="G599">
        <f>Sheet1!E301</f>
        <v>1664.14</v>
      </c>
    </row>
    <row r="600" spans="3:7">
      <c r="C600" s="23">
        <f>C300</f>
        <v>11900</v>
      </c>
      <c r="D600">
        <f>W300+T300</f>
        <v>1663.99</v>
      </c>
      <c r="E600">
        <f>X300</f>
        <v>1663.45</v>
      </c>
      <c r="F600">
        <f>W300</f>
        <v>1662.69</v>
      </c>
      <c r="G600">
        <f>Sheet1!E303</f>
        <v>1663.69</v>
      </c>
    </row>
    <row r="601" spans="3:7">
      <c r="C601" s="23">
        <f>C302</f>
        <v>12000</v>
      </c>
      <c r="D601">
        <f>W302+T302</f>
        <v>1663.79</v>
      </c>
      <c r="E601">
        <f>X302</f>
        <v>1663.25</v>
      </c>
      <c r="F601">
        <f>W302</f>
        <v>1662.49</v>
      </c>
      <c r="G601">
        <f>Sheet1!E305</f>
        <v>1663.76</v>
      </c>
    </row>
    <row r="602" spans="3:7">
      <c r="C602" s="23"/>
    </row>
    <row r="603" spans="3:7">
      <c r="C603" s="23">
        <f>C304</f>
        <v>12100</v>
      </c>
      <c r="D603">
        <f>W304+T304</f>
        <v>1663.59</v>
      </c>
      <c r="E603">
        <f>X304</f>
        <v>1663.05</v>
      </c>
      <c r="F603">
        <f>W304</f>
        <v>1662.29</v>
      </c>
      <c r="G603">
        <f>Sheet1!E307</f>
        <v>1663.8</v>
      </c>
    </row>
    <row r="604" spans="3:7">
      <c r="C604" s="23">
        <f>C306</f>
        <v>12200</v>
      </c>
      <c r="D604">
        <f>W306+T306</f>
        <v>1663.3899999999999</v>
      </c>
      <c r="E604">
        <f>X306</f>
        <v>1662.85</v>
      </c>
      <c r="F604">
        <f>W306</f>
        <v>1662.09</v>
      </c>
      <c r="G604">
        <f>Sheet1!E309</f>
        <v>1663.23</v>
      </c>
    </row>
    <row r="605" spans="3:7">
      <c r="C605" s="23">
        <f>C308</f>
        <v>12300</v>
      </c>
      <c r="D605">
        <f>W308+T308</f>
        <v>1663.19</v>
      </c>
      <c r="E605">
        <f>X308</f>
        <v>1662.65</v>
      </c>
      <c r="F605">
        <f>W308</f>
        <v>1661.89</v>
      </c>
      <c r="G605">
        <f>Sheet1!E311</f>
        <v>1662.95</v>
      </c>
    </row>
    <row r="606" spans="3:7">
      <c r="C606" s="23">
        <f>C310</f>
        <v>12400</v>
      </c>
      <c r="D606">
        <f>W310+T310</f>
        <v>1662.99</v>
      </c>
      <c r="E606">
        <f>X310</f>
        <v>1662.45</v>
      </c>
      <c r="F606">
        <f>W310</f>
        <v>1661.69</v>
      </c>
      <c r="G606">
        <f>Sheet1!E313</f>
        <v>1662.33</v>
      </c>
    </row>
    <row r="607" spans="3:7">
      <c r="C607" s="23">
        <f>C312</f>
        <v>12500</v>
      </c>
      <c r="D607">
        <f>W312+T312</f>
        <v>1662.79</v>
      </c>
      <c r="E607">
        <f>X312</f>
        <v>1662.25</v>
      </c>
      <c r="F607">
        <f>W312</f>
        <v>1661.49</v>
      </c>
      <c r="G607">
        <f>Sheet1!E315</f>
        <v>1662.11</v>
      </c>
    </row>
    <row r="608" spans="3:7">
      <c r="C608" s="23">
        <f>C314</f>
        <v>12600</v>
      </c>
      <c r="D608">
        <f>W314+T314</f>
        <v>1662.59</v>
      </c>
      <c r="E608">
        <f>X314</f>
        <v>1662.05</v>
      </c>
      <c r="F608">
        <f>W314</f>
        <v>1661.29</v>
      </c>
      <c r="G608">
        <f>Sheet1!E317</f>
        <v>1661.95</v>
      </c>
    </row>
    <row r="609" spans="3:7">
      <c r="C609" s="23"/>
    </row>
    <row r="610" spans="3:7">
      <c r="C610" s="23">
        <f>C316</f>
        <v>12700</v>
      </c>
      <c r="D610">
        <f>W316+T316</f>
        <v>1662.3899999999999</v>
      </c>
      <c r="E610">
        <f>X316</f>
        <v>1661.85</v>
      </c>
      <c r="F610">
        <f>W316</f>
        <v>1661.09</v>
      </c>
      <c r="G610">
        <f>Sheet1!E319</f>
        <v>1661.85</v>
      </c>
    </row>
    <row r="611" spans="3:7">
      <c r="C611" s="23">
        <f>C318</f>
        <v>12800</v>
      </c>
      <c r="D611">
        <f>W318+T318</f>
        <v>1662.19</v>
      </c>
      <c r="E611">
        <f>X318</f>
        <v>1661.65</v>
      </c>
      <c r="F611">
        <f>W318</f>
        <v>1660.89</v>
      </c>
      <c r="G611">
        <f>Sheet1!E321</f>
        <v>1661.83</v>
      </c>
    </row>
    <row r="612" spans="3:7">
      <c r="C612" s="23">
        <f>C320</f>
        <v>12900</v>
      </c>
      <c r="D612">
        <f>W320+T320</f>
        <v>1661.99</v>
      </c>
      <c r="E612">
        <f>X320</f>
        <v>1661.45</v>
      </c>
      <c r="F612">
        <f>W320</f>
        <v>1660.69</v>
      </c>
      <c r="G612">
        <f>Sheet1!E323</f>
        <v>1661.71</v>
      </c>
    </row>
    <row r="613" spans="3:7">
      <c r="C613" s="23">
        <f>C322</f>
        <v>13000</v>
      </c>
      <c r="D613">
        <f>W322+T322</f>
        <v>1661.79</v>
      </c>
      <c r="E613">
        <f>X322</f>
        <v>1661.25</v>
      </c>
      <c r="F613">
        <f>W322</f>
        <v>1660.49</v>
      </c>
      <c r="G613">
        <f>Sheet1!E325</f>
        <v>1661.43</v>
      </c>
    </row>
    <row r="614" spans="3:7">
      <c r="C614" s="23">
        <f>C324</f>
        <v>13100</v>
      </c>
      <c r="D614">
        <f>W324+T324</f>
        <v>1661.59</v>
      </c>
      <c r="E614">
        <f>X324</f>
        <v>1661.05</v>
      </c>
      <c r="F614">
        <f>W324</f>
        <v>1660.29</v>
      </c>
      <c r="G614">
        <f>Sheet1!E327</f>
        <v>1661.02</v>
      </c>
    </row>
    <row r="615" spans="3:7">
      <c r="C615" s="23">
        <f>C326</f>
        <v>13200</v>
      </c>
      <c r="D615">
        <f>W326+T326</f>
        <v>1661.3899999999999</v>
      </c>
      <c r="E615">
        <f>X326</f>
        <v>1660.85</v>
      </c>
      <c r="F615">
        <f>W326</f>
        <v>1660.09</v>
      </c>
      <c r="G615">
        <f>Sheet1!E329</f>
        <v>1660.9</v>
      </c>
    </row>
    <row r="616" spans="3:7">
      <c r="C616" s="23">
        <f>C328</f>
        <v>13283</v>
      </c>
      <c r="D616">
        <f>W328+T328</f>
        <v>1661.22</v>
      </c>
      <c r="E616">
        <f>X328</f>
        <v>1660.68</v>
      </c>
      <c r="F616">
        <f>W328</f>
        <v>1659.92</v>
      </c>
      <c r="G616">
        <f>Sheet1!E331</f>
        <v>1660.9</v>
      </c>
    </row>
    <row r="617" spans="3:7">
      <c r="C617" s="23"/>
    </row>
    <row r="618" spans="3:7">
      <c r="C618" s="23"/>
    </row>
    <row r="619" spans="3:7">
      <c r="C619" s="23"/>
    </row>
    <row r="620" spans="3:7">
      <c r="C620" s="23"/>
    </row>
    <row r="621" spans="3:7">
      <c r="C621" s="23"/>
    </row>
    <row r="622" spans="3:7">
      <c r="C622" s="23"/>
    </row>
    <row r="623" spans="3:7">
      <c r="C623" s="23"/>
    </row>
    <row r="624" spans="3:7">
      <c r="C624" s="23"/>
    </row>
    <row r="625" spans="3:3">
      <c r="C625" s="23"/>
    </row>
    <row r="626" spans="3:3">
      <c r="C626" s="23"/>
    </row>
    <row r="627" spans="3:3">
      <c r="C627" s="23"/>
    </row>
    <row r="628" spans="3:3">
      <c r="C628" s="23"/>
    </row>
    <row r="629" spans="3:3">
      <c r="C629" s="23"/>
    </row>
    <row r="630" spans="3:3">
      <c r="C630" s="23"/>
    </row>
    <row r="631" spans="3:3">
      <c r="C631" s="23"/>
    </row>
    <row r="632" spans="3:3">
      <c r="C632" s="23"/>
    </row>
    <row r="633" spans="3:3">
      <c r="C633" s="23"/>
    </row>
    <row r="634" spans="3:3">
      <c r="C634" s="23"/>
    </row>
    <row r="635" spans="3:3">
      <c r="C635" s="23"/>
    </row>
    <row r="636" spans="3:3">
      <c r="C636" s="23"/>
    </row>
    <row r="637" spans="3:3">
      <c r="C637" s="23"/>
    </row>
    <row r="638" spans="3:3">
      <c r="C638" s="23"/>
    </row>
    <row r="639" spans="3:3">
      <c r="C639" s="23"/>
    </row>
    <row r="640" spans="3:3">
      <c r="C640" s="23"/>
    </row>
    <row r="641" spans="3:3">
      <c r="C641" s="23"/>
    </row>
    <row r="642" spans="3:3">
      <c r="C642" s="23"/>
    </row>
    <row r="643" spans="3:3">
      <c r="C643" s="23"/>
    </row>
    <row r="644" spans="3:3">
      <c r="C644" s="23"/>
    </row>
    <row r="645" spans="3:3">
      <c r="C645" s="23"/>
    </row>
    <row r="646" spans="3:3">
      <c r="C646" s="23"/>
    </row>
    <row r="647" spans="3:3">
      <c r="C647" s="23"/>
    </row>
    <row r="648" spans="3:3">
      <c r="C648" s="23"/>
    </row>
    <row r="649" spans="3:3">
      <c r="C649" s="23"/>
    </row>
    <row r="650" spans="3:3">
      <c r="C650" s="23"/>
    </row>
    <row r="651" spans="3:3">
      <c r="C651" s="23"/>
    </row>
    <row r="652" spans="3:3">
      <c r="C652" s="23"/>
    </row>
    <row r="653" spans="3:3">
      <c r="C653" s="23"/>
    </row>
    <row r="654" spans="3:3">
      <c r="C654" s="23"/>
    </row>
    <row r="655" spans="3:3">
      <c r="C655" s="23"/>
    </row>
    <row r="656" spans="3:3">
      <c r="C656" s="23"/>
    </row>
    <row r="657" spans="3:3">
      <c r="C657" s="23"/>
    </row>
    <row r="658" spans="3:3">
      <c r="C658" s="23"/>
    </row>
    <row r="659" spans="3:3">
      <c r="C659" s="23"/>
    </row>
    <row r="660" spans="3:3">
      <c r="C660" s="23"/>
    </row>
    <row r="661" spans="3:3">
      <c r="C661" s="23"/>
    </row>
    <row r="662" spans="3:3">
      <c r="C662" s="23"/>
    </row>
    <row r="663" spans="3:3">
      <c r="C663" s="23"/>
    </row>
    <row r="664" spans="3:3">
      <c r="C664" s="23"/>
    </row>
    <row r="665" spans="3:3">
      <c r="C665" s="23"/>
    </row>
    <row r="666" spans="3:3">
      <c r="C666" s="23"/>
    </row>
    <row r="667" spans="3:3">
      <c r="C667" s="23"/>
    </row>
    <row r="668" spans="3:3">
      <c r="C668" s="23"/>
    </row>
    <row r="669" spans="3:3">
      <c r="C669" s="23"/>
    </row>
    <row r="670" spans="3:3">
      <c r="C670" s="23"/>
    </row>
    <row r="671" spans="3:3">
      <c r="C671" s="23"/>
    </row>
    <row r="672" spans="3:3">
      <c r="C672" s="23"/>
    </row>
    <row r="673" spans="3:3">
      <c r="C673" s="23"/>
    </row>
    <row r="674" spans="3:3">
      <c r="C674" s="23"/>
    </row>
    <row r="675" spans="3:3">
      <c r="C675" s="23"/>
    </row>
    <row r="676" spans="3:3">
      <c r="C676" s="23"/>
    </row>
    <row r="677" spans="3:3">
      <c r="C677" s="23"/>
    </row>
    <row r="678" spans="3:3">
      <c r="C678" s="23"/>
    </row>
    <row r="679" spans="3:3">
      <c r="C679" s="23"/>
    </row>
    <row r="680" spans="3:3">
      <c r="C680" s="23"/>
    </row>
    <row r="681" spans="3:3">
      <c r="C681" s="23"/>
    </row>
    <row r="682" spans="3:3">
      <c r="C682" s="23"/>
    </row>
    <row r="683" spans="3:3">
      <c r="C683" s="23"/>
    </row>
    <row r="684" spans="3:3">
      <c r="C684" s="23"/>
    </row>
    <row r="685" spans="3:3">
      <c r="C685" s="23"/>
    </row>
    <row r="686" spans="3:3">
      <c r="C686" s="23"/>
    </row>
    <row r="687" spans="3:3">
      <c r="C687" s="23"/>
    </row>
    <row r="688" spans="3:3">
      <c r="C688" s="23"/>
    </row>
    <row r="689" spans="3:3">
      <c r="C689" s="23"/>
    </row>
    <row r="690" spans="3:3">
      <c r="C690" s="23"/>
    </row>
    <row r="691" spans="3:3">
      <c r="C691" s="23"/>
    </row>
    <row r="692" spans="3:3">
      <c r="C692" s="23"/>
    </row>
    <row r="693" spans="3:3">
      <c r="C693" s="23"/>
    </row>
    <row r="694" spans="3:3">
      <c r="C694" s="23"/>
    </row>
    <row r="695" spans="3:3">
      <c r="C695" s="23"/>
    </row>
    <row r="696" spans="3:3">
      <c r="C696" s="23"/>
    </row>
    <row r="697" spans="3:3">
      <c r="C697" s="23"/>
    </row>
    <row r="698" spans="3:3">
      <c r="C698" s="23"/>
    </row>
    <row r="699" spans="3:3">
      <c r="C699" s="23"/>
    </row>
    <row r="700" spans="3:3">
      <c r="C700" s="23"/>
    </row>
    <row r="701" spans="3:3">
      <c r="C701" s="23"/>
    </row>
    <row r="702" spans="3:3">
      <c r="C702" s="23"/>
    </row>
    <row r="703" spans="3:3">
      <c r="C703" s="23"/>
    </row>
    <row r="704" spans="3:3">
      <c r="C704" s="23"/>
    </row>
    <row r="705" spans="3:3">
      <c r="C705" s="23"/>
    </row>
    <row r="706" spans="3:3">
      <c r="C706" s="23"/>
    </row>
    <row r="707" spans="3:3">
      <c r="C707" s="23"/>
    </row>
    <row r="708" spans="3:3">
      <c r="C708" s="23"/>
    </row>
    <row r="709" spans="3:3">
      <c r="C709" s="23"/>
    </row>
    <row r="710" spans="3:3">
      <c r="C710" s="23"/>
    </row>
    <row r="711" spans="3:3">
      <c r="C711" s="23"/>
    </row>
    <row r="712" spans="3:3">
      <c r="C712" s="23"/>
    </row>
    <row r="713" spans="3:3">
      <c r="C713" s="23"/>
    </row>
    <row r="714" spans="3:3">
      <c r="C714" s="23"/>
    </row>
    <row r="715" spans="3:3">
      <c r="C715" s="23"/>
    </row>
    <row r="716" spans="3:3">
      <c r="C716" s="23"/>
    </row>
    <row r="717" spans="3:3">
      <c r="C717" s="23"/>
    </row>
    <row r="718" spans="3:3">
      <c r="C718" s="23"/>
    </row>
    <row r="719" spans="3:3">
      <c r="C719" s="23"/>
    </row>
    <row r="720" spans="3:3">
      <c r="C720" s="23"/>
    </row>
    <row r="721" spans="3:3">
      <c r="C721" s="23"/>
    </row>
    <row r="722" spans="3:3">
      <c r="C722" s="23"/>
    </row>
    <row r="723" spans="3:3">
      <c r="C723" s="23"/>
    </row>
    <row r="724" spans="3:3">
      <c r="C724" s="23"/>
    </row>
    <row r="725" spans="3:3">
      <c r="C725" s="23"/>
    </row>
    <row r="726" spans="3:3">
      <c r="C726" s="23"/>
    </row>
    <row r="727" spans="3:3">
      <c r="C727" s="23"/>
    </row>
    <row r="728" spans="3:3">
      <c r="C728" s="23"/>
    </row>
    <row r="729" spans="3:3">
      <c r="C729" s="23"/>
    </row>
    <row r="730" spans="3:3">
      <c r="C730" s="23"/>
    </row>
    <row r="731" spans="3:3">
      <c r="C731" s="23"/>
    </row>
    <row r="732" spans="3:3">
      <c r="C732" s="23"/>
    </row>
    <row r="733" spans="3:3">
      <c r="C733" s="23"/>
    </row>
    <row r="734" spans="3:3">
      <c r="C734" s="23"/>
    </row>
    <row r="735" spans="3:3">
      <c r="C735" s="23"/>
    </row>
    <row r="736" spans="3:3">
      <c r="C736" s="23"/>
    </row>
    <row r="737" spans="3:3">
      <c r="C737" s="23"/>
    </row>
    <row r="738" spans="3:3">
      <c r="C738" s="23"/>
    </row>
    <row r="739" spans="3:3">
      <c r="C739" s="23"/>
    </row>
    <row r="740" spans="3:3">
      <c r="C740" s="23"/>
    </row>
    <row r="741" spans="3:3">
      <c r="C741" s="23"/>
    </row>
    <row r="742" spans="3:3">
      <c r="C742" s="23"/>
    </row>
    <row r="743" spans="3:3">
      <c r="C743" s="23"/>
    </row>
    <row r="744" spans="3:3">
      <c r="C744" s="23"/>
    </row>
    <row r="745" spans="3:3">
      <c r="C745" s="23"/>
    </row>
    <row r="746" spans="3:3">
      <c r="C746" s="23"/>
    </row>
    <row r="747" spans="3:3">
      <c r="C747" s="23"/>
    </row>
    <row r="748" spans="3:3">
      <c r="C748" s="23"/>
    </row>
    <row r="749" spans="3:3">
      <c r="C749" s="23"/>
    </row>
    <row r="750" spans="3:3">
      <c r="C750" s="23"/>
    </row>
    <row r="751" spans="3:3">
      <c r="C751" s="23"/>
    </row>
    <row r="752" spans="3:3">
      <c r="C752" s="23"/>
    </row>
    <row r="753" spans="3:3">
      <c r="C753" s="23"/>
    </row>
    <row r="754" spans="3:3">
      <c r="C754" s="23"/>
    </row>
    <row r="755" spans="3:3">
      <c r="C755" s="23"/>
    </row>
    <row r="756" spans="3:3">
      <c r="C756" s="23"/>
    </row>
    <row r="757" spans="3:3">
      <c r="C757" s="23"/>
    </row>
    <row r="758" spans="3:3">
      <c r="C758" s="23"/>
    </row>
    <row r="759" spans="3:3">
      <c r="C759" s="23"/>
    </row>
    <row r="760" spans="3:3">
      <c r="C760" s="23"/>
    </row>
    <row r="761" spans="3:3">
      <c r="C761" s="23"/>
    </row>
    <row r="762" spans="3:3">
      <c r="C762" s="23"/>
    </row>
    <row r="763" spans="3:3">
      <c r="C763" s="23"/>
    </row>
    <row r="764" spans="3:3">
      <c r="C764" s="23"/>
    </row>
    <row r="765" spans="3:3">
      <c r="C765" s="23"/>
    </row>
    <row r="766" spans="3:3">
      <c r="C766" s="23"/>
    </row>
    <row r="767" spans="3:3">
      <c r="C767" s="23"/>
    </row>
    <row r="768" spans="3:3">
      <c r="C768" s="23"/>
    </row>
    <row r="769" spans="3:3">
      <c r="C769" s="23"/>
    </row>
    <row r="770" spans="3:3">
      <c r="C770" s="23"/>
    </row>
    <row r="771" spans="3:3">
      <c r="C771" s="23"/>
    </row>
    <row r="772" spans="3:3">
      <c r="C772" s="23"/>
    </row>
    <row r="773" spans="3:3">
      <c r="C773" s="23"/>
    </row>
    <row r="774" spans="3:3">
      <c r="C774" s="23"/>
    </row>
    <row r="775" spans="3:3">
      <c r="C775" s="23"/>
    </row>
    <row r="776" spans="3:3">
      <c r="C776" s="23"/>
    </row>
    <row r="777" spans="3:3">
      <c r="C777" s="23"/>
    </row>
    <row r="778" spans="3:3">
      <c r="C778" s="23"/>
    </row>
    <row r="779" spans="3:3">
      <c r="C779" s="23"/>
    </row>
    <row r="780" spans="3:3">
      <c r="C780" s="23"/>
    </row>
    <row r="781" spans="3:3">
      <c r="C781" s="23"/>
    </row>
    <row r="782" spans="3:3">
      <c r="C782" s="23"/>
    </row>
    <row r="783" spans="3:3">
      <c r="C783" s="23"/>
    </row>
    <row r="784" spans="3:3">
      <c r="C784" s="23"/>
    </row>
    <row r="785" spans="3:3">
      <c r="C785" s="23"/>
    </row>
    <row r="786" spans="3:3">
      <c r="C786" s="23"/>
    </row>
    <row r="787" spans="3:3">
      <c r="C787" s="23"/>
    </row>
    <row r="788" spans="3:3">
      <c r="C788" s="23"/>
    </row>
    <row r="789" spans="3:3">
      <c r="C789" s="23"/>
    </row>
    <row r="790" spans="3:3">
      <c r="C790" s="23"/>
    </row>
    <row r="791" spans="3:3">
      <c r="C791" s="23"/>
    </row>
    <row r="792" spans="3:3">
      <c r="C792" s="23"/>
    </row>
    <row r="793" spans="3:3">
      <c r="C793" s="23"/>
    </row>
    <row r="794" spans="3:3">
      <c r="C794" s="23"/>
    </row>
    <row r="795" spans="3:3">
      <c r="C795" s="23"/>
    </row>
    <row r="796" spans="3:3">
      <c r="C796" s="23"/>
    </row>
    <row r="797" spans="3:3">
      <c r="C797" s="23"/>
    </row>
    <row r="798" spans="3:3">
      <c r="C798" s="23"/>
    </row>
    <row r="799" spans="3:3">
      <c r="C799" s="23"/>
    </row>
    <row r="800" spans="3:3">
      <c r="C800" s="23"/>
    </row>
    <row r="801" spans="3:3">
      <c r="C801" s="23"/>
    </row>
    <row r="802" spans="3:3">
      <c r="C802" s="23"/>
    </row>
    <row r="803" spans="3:3">
      <c r="C803" s="23"/>
    </row>
    <row r="804" spans="3:3">
      <c r="C804" s="23"/>
    </row>
    <row r="805" spans="3:3">
      <c r="C805" s="23"/>
    </row>
    <row r="806" spans="3:3">
      <c r="C806" s="23"/>
    </row>
    <row r="807" spans="3:3">
      <c r="C807" s="23"/>
    </row>
    <row r="808" spans="3:3">
      <c r="C808" s="23"/>
    </row>
    <row r="809" spans="3:3">
      <c r="C809" s="23"/>
    </row>
    <row r="810" spans="3:3">
      <c r="C810" s="23"/>
    </row>
    <row r="811" spans="3:3">
      <c r="C811" s="23"/>
    </row>
    <row r="812" spans="3:3">
      <c r="C812" s="23"/>
    </row>
    <row r="813" spans="3:3">
      <c r="C813" s="23"/>
    </row>
    <row r="814" spans="3:3">
      <c r="C814" s="23"/>
    </row>
    <row r="815" spans="3:3">
      <c r="C815" s="23"/>
    </row>
    <row r="816" spans="3:3">
      <c r="C816" s="23"/>
    </row>
    <row r="817" spans="3:3">
      <c r="C817" s="23"/>
    </row>
    <row r="818" spans="3:3">
      <c r="C818" s="23"/>
    </row>
    <row r="819" spans="3:3">
      <c r="C819" s="23"/>
    </row>
    <row r="820" spans="3:3">
      <c r="C820" s="23"/>
    </row>
    <row r="821" spans="3:3">
      <c r="C821" s="23"/>
    </row>
    <row r="822" spans="3:3">
      <c r="C822" s="23"/>
    </row>
    <row r="823" spans="3:3">
      <c r="C823" s="23"/>
    </row>
    <row r="824" spans="3:3">
      <c r="C824" s="23"/>
    </row>
    <row r="825" spans="3:3">
      <c r="C825" s="23"/>
    </row>
    <row r="826" spans="3:3">
      <c r="C826" s="23"/>
    </row>
    <row r="827" spans="3:3">
      <c r="C827" s="23"/>
    </row>
    <row r="828" spans="3:3">
      <c r="C828" s="23"/>
    </row>
    <row r="829" spans="3:3">
      <c r="C829" s="23"/>
    </row>
    <row r="830" spans="3:3">
      <c r="C830" s="23"/>
    </row>
    <row r="831" spans="3:3">
      <c r="C831" s="23"/>
    </row>
    <row r="832" spans="3:3">
      <c r="C832" s="23"/>
    </row>
    <row r="833" spans="3:3">
      <c r="C833" s="23"/>
    </row>
    <row r="834" spans="3:3">
      <c r="C834" s="23"/>
    </row>
    <row r="835" spans="3:3">
      <c r="C835" s="23"/>
    </row>
    <row r="836" spans="3:3">
      <c r="C836" s="23"/>
    </row>
    <row r="837" spans="3:3">
      <c r="C837" s="23"/>
    </row>
    <row r="838" spans="3:3">
      <c r="C838" s="23"/>
    </row>
    <row r="839" spans="3:3">
      <c r="C839" s="23"/>
    </row>
    <row r="840" spans="3:3">
      <c r="C840" s="23"/>
    </row>
    <row r="841" spans="3:3">
      <c r="C841" s="23"/>
    </row>
  </sheetData>
  <mergeCells count="34">
    <mergeCell ref="Y161:Y162"/>
    <mergeCell ref="Y205:Y206"/>
    <mergeCell ref="B1:B2"/>
    <mergeCell ref="B161:B162"/>
    <mergeCell ref="B205:B206"/>
    <mergeCell ref="V1:V2"/>
    <mergeCell ref="Y1:Y2"/>
    <mergeCell ref="D1:E1"/>
    <mergeCell ref="F1:G1"/>
    <mergeCell ref="H1:I1"/>
    <mergeCell ref="C1:C2"/>
    <mergeCell ref="X1:X2"/>
    <mergeCell ref="W1:W2"/>
    <mergeCell ref="P330:Q330"/>
    <mergeCell ref="R330:S330"/>
    <mergeCell ref="C330:C331"/>
    <mergeCell ref="D330:E330"/>
    <mergeCell ref="F330:G330"/>
    <mergeCell ref="H330:I330"/>
    <mergeCell ref="N330:O330"/>
    <mergeCell ref="X351:X352"/>
    <mergeCell ref="AG331:AG333"/>
    <mergeCell ref="X337:X338"/>
    <mergeCell ref="X339:X340"/>
    <mergeCell ref="X341:X342"/>
    <mergeCell ref="X344:X345"/>
    <mergeCell ref="Y331:Z332"/>
    <mergeCell ref="Y333:Z333"/>
    <mergeCell ref="X335:X336"/>
    <mergeCell ref="X331:X333"/>
    <mergeCell ref="AA331:AB331"/>
    <mergeCell ref="AC331:AD331"/>
    <mergeCell ref="AE331:AE332"/>
    <mergeCell ref="AF331:AF33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3"/>
  <sheetViews>
    <sheetView topLeftCell="G1" workbookViewId="0">
      <selection activeCell="L35" sqref="L35"/>
    </sheetView>
  </sheetViews>
  <sheetFormatPr defaultRowHeight="14.4"/>
  <cols>
    <col min="1" max="1" width="10.21875" bestFit="1" customWidth="1"/>
    <col min="2" max="4" width="10.21875" customWidth="1"/>
  </cols>
  <sheetData>
    <row r="1" spans="1:19">
      <c r="G1" t="s">
        <v>409</v>
      </c>
      <c r="H1" t="s">
        <v>410</v>
      </c>
      <c r="M1" t="s">
        <v>413</v>
      </c>
    </row>
    <row r="2" spans="1:19">
      <c r="H2" t="s">
        <v>411</v>
      </c>
      <c r="I2" t="s">
        <v>401</v>
      </c>
      <c r="J2" t="s">
        <v>412</v>
      </c>
      <c r="K2" t="s">
        <v>469</v>
      </c>
    </row>
    <row r="3" spans="1:19">
      <c r="A3" s="28" t="s">
        <v>396</v>
      </c>
      <c r="B3" s="27">
        <v>5871</v>
      </c>
      <c r="C3" s="27">
        <v>6803</v>
      </c>
      <c r="D3" s="27">
        <f>C3-B3</f>
        <v>932</v>
      </c>
      <c r="E3" s="27">
        <v>13100</v>
      </c>
      <c r="F3" s="27">
        <v>13103</v>
      </c>
      <c r="G3" s="27">
        <v>0.217</v>
      </c>
      <c r="H3" s="27">
        <v>0.87</v>
      </c>
      <c r="I3" s="27">
        <v>0.88</v>
      </c>
      <c r="J3" s="27">
        <v>0.87</v>
      </c>
      <c r="K3" s="27">
        <v>0.91</v>
      </c>
      <c r="L3" s="27">
        <f>ROUND(H3*I3*J3*K3,2)</f>
        <v>0.61</v>
      </c>
      <c r="M3" s="29">
        <f>ROUND(E3*G3/L3/10000,2)</f>
        <v>0.47</v>
      </c>
      <c r="N3" s="29">
        <f>ROUND(M3*1.3,2)</f>
        <v>0.61</v>
      </c>
      <c r="O3" s="12" t="s">
        <v>501</v>
      </c>
      <c r="P3" s="12" t="s">
        <v>437</v>
      </c>
      <c r="Q3" s="12"/>
      <c r="R3" s="12"/>
      <c r="S3">
        <f>0.217*6/0.56</f>
        <v>2.3249999999999997</v>
      </c>
    </row>
    <row r="4" spans="1:19">
      <c r="A4" s="27" t="s">
        <v>397</v>
      </c>
      <c r="B4" s="27">
        <v>6197</v>
      </c>
      <c r="C4" s="27">
        <v>7224</v>
      </c>
      <c r="D4" s="27">
        <f t="shared" ref="D4:D5" si="0">C4-B4</f>
        <v>1027</v>
      </c>
      <c r="E4" s="27">
        <v>19420</v>
      </c>
      <c r="F4" s="27">
        <v>19415</v>
      </c>
      <c r="G4" s="27">
        <f>G3</f>
        <v>0.217</v>
      </c>
      <c r="H4" s="27"/>
      <c r="I4" s="27"/>
      <c r="J4" s="27"/>
      <c r="K4" s="27"/>
      <c r="L4" s="27">
        <f>L3</f>
        <v>0.61</v>
      </c>
      <c r="M4" s="29">
        <f t="shared" ref="M4:M14" si="1">ROUND(E4*G4/L4/10000,2)</f>
        <v>0.69</v>
      </c>
      <c r="N4" s="29">
        <f t="shared" ref="N4:N14" si="2">ROUND(M4*1.3,2)</f>
        <v>0.9</v>
      </c>
      <c r="O4" s="12" t="s">
        <v>500</v>
      </c>
      <c r="P4" s="12" t="s">
        <v>444</v>
      </c>
      <c r="Q4" s="12" t="s">
        <v>499</v>
      </c>
      <c r="R4" s="12" t="s">
        <v>437</v>
      </c>
    </row>
    <row r="5" spans="1:19">
      <c r="A5" s="27" t="s">
        <v>398</v>
      </c>
      <c r="B5" s="27">
        <v>4400</v>
      </c>
      <c r="C5" s="27">
        <v>4900</v>
      </c>
      <c r="D5" s="27">
        <f t="shared" si="0"/>
        <v>500</v>
      </c>
      <c r="E5" s="27">
        <v>10930</v>
      </c>
      <c r="F5" s="27">
        <v>10932</v>
      </c>
      <c r="G5" s="27">
        <f t="shared" ref="G5:G14" si="3">G4</f>
        <v>0.217</v>
      </c>
      <c r="H5" s="27"/>
      <c r="I5" s="27"/>
      <c r="J5" s="27"/>
      <c r="K5" s="27"/>
      <c r="L5" s="27">
        <f t="shared" ref="L5:L14" si="4">L4</f>
        <v>0.61</v>
      </c>
      <c r="M5" s="29">
        <f t="shared" si="1"/>
        <v>0.39</v>
      </c>
      <c r="N5" s="29">
        <f t="shared" si="2"/>
        <v>0.51</v>
      </c>
      <c r="O5" s="12" t="s">
        <v>506</v>
      </c>
      <c r="P5" s="12" t="s">
        <v>504</v>
      </c>
      <c r="Q5" s="12" t="s">
        <v>505</v>
      </c>
      <c r="R5" s="12" t="s">
        <v>531</v>
      </c>
    </row>
    <row r="6" spans="1:19">
      <c r="A6" s="27" t="s">
        <v>399</v>
      </c>
      <c r="B6" s="27">
        <v>5310</v>
      </c>
      <c r="C6" s="27"/>
      <c r="D6" s="27"/>
      <c r="E6" s="27">
        <v>9210</v>
      </c>
      <c r="F6" s="27">
        <v>9208</v>
      </c>
      <c r="G6" s="27">
        <f t="shared" si="3"/>
        <v>0.217</v>
      </c>
      <c r="H6" s="27"/>
      <c r="I6" s="27"/>
      <c r="J6" s="27"/>
      <c r="K6" s="27"/>
      <c r="L6" s="27">
        <f t="shared" si="4"/>
        <v>0.61</v>
      </c>
      <c r="M6" s="29">
        <f t="shared" si="1"/>
        <v>0.33</v>
      </c>
      <c r="N6" s="29">
        <f t="shared" si="2"/>
        <v>0.43</v>
      </c>
      <c r="O6" s="12" t="s">
        <v>542</v>
      </c>
      <c r="P6" s="12" t="s">
        <v>453</v>
      </c>
      <c r="Q6" s="12" t="s">
        <v>543</v>
      </c>
      <c r="R6" s="12" t="s">
        <v>531</v>
      </c>
    </row>
    <row r="7" spans="1:19">
      <c r="A7" s="27" t="s">
        <v>400</v>
      </c>
      <c r="B7" s="27">
        <v>2545</v>
      </c>
      <c r="C7" s="27"/>
      <c r="D7" s="27"/>
      <c r="E7" s="27">
        <v>3850</v>
      </c>
      <c r="F7" s="27">
        <v>1219</v>
      </c>
      <c r="G7" s="27">
        <f t="shared" si="3"/>
        <v>0.217</v>
      </c>
      <c r="H7" s="27"/>
      <c r="I7" s="27"/>
      <c r="J7" s="27"/>
      <c r="K7" s="27"/>
      <c r="L7" s="27">
        <f t="shared" si="4"/>
        <v>0.61</v>
      </c>
      <c r="M7" s="29">
        <f t="shared" si="1"/>
        <v>0.14000000000000001</v>
      </c>
      <c r="N7" s="29">
        <f t="shared" si="2"/>
        <v>0.18</v>
      </c>
      <c r="O7" s="12" t="s">
        <v>455</v>
      </c>
      <c r="P7" s="12" t="s">
        <v>531</v>
      </c>
      <c r="Q7" s="12"/>
      <c r="R7" s="12"/>
    </row>
    <row r="8" spans="1:19">
      <c r="A8" s="27" t="s">
        <v>402</v>
      </c>
      <c r="B8" s="27"/>
      <c r="C8" s="27"/>
      <c r="D8" s="27"/>
      <c r="E8" s="27">
        <v>13090</v>
      </c>
      <c r="F8" s="27">
        <v>13089</v>
      </c>
      <c r="G8" s="27">
        <f t="shared" si="3"/>
        <v>0.217</v>
      </c>
      <c r="H8" s="27"/>
      <c r="I8" s="27"/>
      <c r="J8" s="27"/>
      <c r="K8" s="27"/>
      <c r="L8" s="27">
        <f t="shared" si="4"/>
        <v>0.61</v>
      </c>
      <c r="M8" s="29">
        <f t="shared" si="1"/>
        <v>0.47</v>
      </c>
      <c r="N8" s="29">
        <f t="shared" si="2"/>
        <v>0.61</v>
      </c>
      <c r="O8" s="12" t="s">
        <v>541</v>
      </c>
      <c r="P8" s="12" t="s">
        <v>520</v>
      </c>
      <c r="Q8" s="12" t="s">
        <v>539</v>
      </c>
      <c r="R8" s="12" t="s">
        <v>531</v>
      </c>
    </row>
    <row r="9" spans="1:19">
      <c r="A9" s="27" t="s">
        <v>403</v>
      </c>
      <c r="B9" s="27"/>
      <c r="C9" s="27"/>
      <c r="D9" s="27"/>
      <c r="E9" s="27">
        <v>5940</v>
      </c>
      <c r="F9" s="27">
        <v>5939</v>
      </c>
      <c r="G9" s="27">
        <f t="shared" si="3"/>
        <v>0.217</v>
      </c>
      <c r="H9" s="27"/>
      <c r="I9" s="27"/>
      <c r="J9" s="27"/>
      <c r="K9" s="27"/>
      <c r="L9" s="27">
        <f t="shared" si="4"/>
        <v>0.61</v>
      </c>
      <c r="M9" s="29">
        <f t="shared" si="1"/>
        <v>0.21</v>
      </c>
      <c r="N9" s="29">
        <f t="shared" si="2"/>
        <v>0.27</v>
      </c>
      <c r="O9" s="12"/>
      <c r="P9" s="12" t="s">
        <v>531</v>
      </c>
      <c r="Q9" s="12"/>
      <c r="R9" s="12"/>
    </row>
    <row r="10" spans="1:19">
      <c r="A10" s="27" t="s">
        <v>404</v>
      </c>
      <c r="B10" s="27"/>
      <c r="C10" s="27"/>
      <c r="D10" s="27"/>
      <c r="E10" s="27">
        <v>4860</v>
      </c>
      <c r="F10" s="27">
        <v>4853</v>
      </c>
      <c r="G10" s="27">
        <f t="shared" si="3"/>
        <v>0.217</v>
      </c>
      <c r="H10" s="27"/>
      <c r="I10" s="27"/>
      <c r="J10" s="27"/>
      <c r="K10" s="27"/>
      <c r="L10" s="27">
        <f t="shared" si="4"/>
        <v>0.61</v>
      </c>
      <c r="M10" s="29">
        <f t="shared" si="1"/>
        <v>0.17</v>
      </c>
      <c r="N10" s="29">
        <f t="shared" si="2"/>
        <v>0.22</v>
      </c>
      <c r="O10" s="12"/>
      <c r="P10" s="12" t="s">
        <v>530</v>
      </c>
      <c r="Q10" s="12"/>
      <c r="R10" s="12"/>
    </row>
    <row r="11" spans="1:19">
      <c r="A11" s="27" t="s">
        <v>405</v>
      </c>
      <c r="B11" s="27"/>
      <c r="C11" s="27"/>
      <c r="D11" s="27"/>
      <c r="E11" s="27">
        <v>4760</v>
      </c>
      <c r="F11" s="27">
        <v>4759</v>
      </c>
      <c r="G11" s="27">
        <f t="shared" si="3"/>
        <v>0.217</v>
      </c>
      <c r="H11" s="27"/>
      <c r="I11" s="27"/>
      <c r="J11" s="27"/>
      <c r="K11" s="27"/>
      <c r="L11" s="27">
        <f t="shared" si="4"/>
        <v>0.61</v>
      </c>
      <c r="M11" s="29">
        <f t="shared" si="1"/>
        <v>0.17</v>
      </c>
      <c r="N11" s="29">
        <f t="shared" si="2"/>
        <v>0.22</v>
      </c>
      <c r="O11" s="12"/>
      <c r="P11" s="12" t="s">
        <v>530</v>
      </c>
      <c r="Q11" s="12"/>
      <c r="R11" s="12"/>
    </row>
    <row r="12" spans="1:19">
      <c r="A12" s="27" t="s">
        <v>406</v>
      </c>
      <c r="B12" s="27"/>
      <c r="C12" s="27"/>
      <c r="D12" s="27"/>
      <c r="E12" s="27">
        <v>4330</v>
      </c>
      <c r="F12" s="27">
        <v>4322</v>
      </c>
      <c r="G12" s="27">
        <f t="shared" si="3"/>
        <v>0.217</v>
      </c>
      <c r="H12" s="27"/>
      <c r="I12" s="27"/>
      <c r="J12" s="27"/>
      <c r="K12" s="27"/>
      <c r="L12" s="27">
        <f t="shared" si="4"/>
        <v>0.61</v>
      </c>
      <c r="M12" s="29">
        <f t="shared" si="1"/>
        <v>0.15</v>
      </c>
      <c r="N12" s="29">
        <f t="shared" si="2"/>
        <v>0.2</v>
      </c>
      <c r="O12" s="12"/>
      <c r="P12" s="12" t="s">
        <v>530</v>
      </c>
      <c r="Q12" s="12"/>
      <c r="R12" s="12"/>
    </row>
    <row r="13" spans="1:19">
      <c r="A13" s="27" t="s">
        <v>407</v>
      </c>
      <c r="B13" s="27"/>
      <c r="C13" s="27"/>
      <c r="D13" s="27"/>
      <c r="E13" s="27">
        <v>4340</v>
      </c>
      <c r="F13" s="27">
        <v>4336</v>
      </c>
      <c r="G13" s="27">
        <f t="shared" si="3"/>
        <v>0.217</v>
      </c>
      <c r="H13" s="27"/>
      <c r="I13" s="27"/>
      <c r="J13" s="27"/>
      <c r="K13" s="27"/>
      <c r="L13" s="27">
        <f t="shared" si="4"/>
        <v>0.61</v>
      </c>
      <c r="M13" s="29">
        <f t="shared" si="1"/>
        <v>0.15</v>
      </c>
      <c r="N13" s="29">
        <f t="shared" si="2"/>
        <v>0.2</v>
      </c>
      <c r="O13" s="12"/>
      <c r="P13" s="12" t="s">
        <v>530</v>
      </c>
      <c r="Q13" s="12"/>
      <c r="R13" s="12"/>
    </row>
    <row r="14" spans="1:19">
      <c r="A14" s="27" t="s">
        <v>408</v>
      </c>
      <c r="B14" s="27"/>
      <c r="C14" s="27"/>
      <c r="D14" s="27"/>
      <c r="E14" s="27">
        <v>7000</v>
      </c>
      <c r="F14" s="27">
        <v>6993</v>
      </c>
      <c r="G14" s="27">
        <f t="shared" si="3"/>
        <v>0.217</v>
      </c>
      <c r="H14" s="27"/>
      <c r="I14" s="27"/>
      <c r="J14" s="27"/>
      <c r="K14" s="27"/>
      <c r="L14" s="27">
        <f t="shared" si="4"/>
        <v>0.61</v>
      </c>
      <c r="M14" s="29">
        <f t="shared" si="1"/>
        <v>0.25</v>
      </c>
      <c r="N14" s="29">
        <f t="shared" si="2"/>
        <v>0.33</v>
      </c>
      <c r="O14" s="12"/>
      <c r="P14" s="12" t="s">
        <v>530</v>
      </c>
      <c r="Q14" s="12"/>
      <c r="R14" s="12"/>
    </row>
    <row r="15" spans="1:19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30"/>
      <c r="N15" s="30"/>
      <c r="O15" s="12"/>
      <c r="P15" s="12"/>
      <c r="Q15" s="12"/>
      <c r="R15" s="12"/>
    </row>
    <row r="21" spans="1:15">
      <c r="N21">
        <f>0.2/1.25</f>
        <v>0.16</v>
      </c>
    </row>
    <row r="24" spans="1:15">
      <c r="N24" t="s">
        <v>436</v>
      </c>
    </row>
    <row r="25" spans="1:15">
      <c r="N25" t="s">
        <v>435</v>
      </c>
    </row>
    <row r="26" spans="1:15">
      <c r="N26">
        <f>3.14*I29^2*(152/360)</f>
        <v>0.33144444444444443</v>
      </c>
    </row>
    <row r="28" spans="1:15">
      <c r="A28" t="s">
        <v>423</v>
      </c>
      <c r="E28" t="s">
        <v>424</v>
      </c>
      <c r="G28" t="s">
        <v>425</v>
      </c>
      <c r="H28" t="s">
        <v>426</v>
      </c>
      <c r="I28" t="s">
        <v>427</v>
      </c>
      <c r="J28" t="s">
        <v>428</v>
      </c>
      <c r="L28" t="s">
        <v>429</v>
      </c>
      <c r="M28" t="s">
        <v>430</v>
      </c>
      <c r="N28" t="s">
        <v>431</v>
      </c>
      <c r="O28" t="s">
        <v>432</v>
      </c>
    </row>
    <row r="29" spans="1:15">
      <c r="A29">
        <v>0.36</v>
      </c>
      <c r="E29">
        <v>1.4E-2</v>
      </c>
      <c r="G29">
        <v>1E-3</v>
      </c>
      <c r="H29">
        <f>ROUND(A29*E29/G29^0.5,3)</f>
        <v>0.159</v>
      </c>
      <c r="I29">
        <v>0.5</v>
      </c>
      <c r="L29">
        <v>0.6</v>
      </c>
      <c r="M29" t="e">
        <f>N31/O31</f>
        <v>#DIV/0!</v>
      </c>
      <c r="N29">
        <f>0.5*3.14*I29*I29+2*I29*(L29-I29)</f>
        <v>0.49249999999999999</v>
      </c>
    </row>
    <row r="30" spans="1:15" ht="16.2">
      <c r="N30" t="s">
        <v>433</v>
      </c>
      <c r="O30" t="s">
        <v>434</v>
      </c>
    </row>
    <row r="31" spans="1:15">
      <c r="N31">
        <f>N29^(5/3)</f>
        <v>0.30714519439599308</v>
      </c>
      <c r="O31">
        <f>O29^(2/3)</f>
        <v>0</v>
      </c>
    </row>
    <row r="34" spans="1:6" ht="16.2">
      <c r="A34" s="9" t="s">
        <v>804</v>
      </c>
      <c r="B34" s="9" t="s">
        <v>803</v>
      </c>
      <c r="C34" s="43" t="s">
        <v>805</v>
      </c>
      <c r="D34" s="43"/>
      <c r="E34" s="9" t="s">
        <v>811</v>
      </c>
      <c r="F34" s="9" t="s">
        <v>812</v>
      </c>
    </row>
    <row r="35" spans="1:6">
      <c r="A35" s="9">
        <v>1</v>
      </c>
      <c r="B35" s="9" t="s">
        <v>806</v>
      </c>
      <c r="C35" s="43" t="s">
        <v>808</v>
      </c>
      <c r="D35" s="10">
        <f>干渠!C191</f>
        <v>6600</v>
      </c>
      <c r="E35" s="9">
        <f>'1-1支渠'!K76</f>
        <v>6803</v>
      </c>
      <c r="F35" s="9">
        <f>M3</f>
        <v>0.47</v>
      </c>
    </row>
    <row r="36" spans="1:6">
      <c r="A36" s="9">
        <v>2</v>
      </c>
      <c r="B36" s="9" t="s">
        <v>612</v>
      </c>
      <c r="C36" s="43"/>
      <c r="D36" s="10">
        <f>干渠!C228</f>
        <v>8300</v>
      </c>
      <c r="E36" s="9">
        <f>'1-2支渠'!K77</f>
        <v>7224</v>
      </c>
      <c r="F36" s="9">
        <f t="shared" ref="F36:F46" si="5">M4</f>
        <v>0.69</v>
      </c>
    </row>
    <row r="37" spans="1:6">
      <c r="A37" s="9">
        <v>3</v>
      </c>
      <c r="B37" s="9" t="s">
        <v>613</v>
      </c>
      <c r="C37" s="43"/>
      <c r="D37" s="10">
        <f>干渠!C277</f>
        <v>10750</v>
      </c>
      <c r="E37" s="9">
        <f>'1-3支渠'!K54</f>
        <v>4900</v>
      </c>
      <c r="F37" s="9">
        <f t="shared" si="5"/>
        <v>0.39</v>
      </c>
    </row>
    <row r="38" spans="1:6">
      <c r="A38" s="9">
        <v>4</v>
      </c>
      <c r="B38" s="9" t="s">
        <v>614</v>
      </c>
      <c r="C38" s="43"/>
      <c r="D38" s="10">
        <f>干渠!C299</f>
        <v>11850</v>
      </c>
      <c r="E38" s="9">
        <f>'1-4支渠'!K60</f>
        <v>5310</v>
      </c>
      <c r="F38" s="9">
        <f t="shared" si="5"/>
        <v>0.33</v>
      </c>
    </row>
    <row r="39" spans="1:6">
      <c r="A39" s="9">
        <v>5</v>
      </c>
      <c r="B39" s="9" t="s">
        <v>615</v>
      </c>
      <c r="C39" s="43"/>
      <c r="D39" s="10">
        <f>干渠!C328</f>
        <v>13283</v>
      </c>
      <c r="E39" s="9">
        <f>'1-5支渠'!K31</f>
        <v>2545</v>
      </c>
      <c r="F39" s="9">
        <f t="shared" si="5"/>
        <v>0.14000000000000001</v>
      </c>
    </row>
    <row r="40" spans="1:6">
      <c r="A40" s="9">
        <v>6</v>
      </c>
      <c r="B40" s="9" t="s">
        <v>807</v>
      </c>
      <c r="C40" s="43" t="s">
        <v>809</v>
      </c>
      <c r="D40" s="43"/>
      <c r="E40" s="9">
        <f>'2-支渠'!B55</f>
        <v>4150</v>
      </c>
      <c r="F40" s="9">
        <f t="shared" si="5"/>
        <v>0.47</v>
      </c>
    </row>
    <row r="41" spans="1:6">
      <c r="A41" s="9">
        <v>7</v>
      </c>
      <c r="B41" s="9" t="s">
        <v>403</v>
      </c>
      <c r="C41" s="43"/>
      <c r="D41" s="43"/>
      <c r="E41" s="9">
        <f>'2-支渠'!B115</f>
        <v>4800</v>
      </c>
      <c r="F41" s="9">
        <f t="shared" si="5"/>
        <v>0.21</v>
      </c>
    </row>
    <row r="42" spans="1:6">
      <c r="A42" s="9">
        <v>8</v>
      </c>
      <c r="B42" s="9" t="s">
        <v>404</v>
      </c>
      <c r="C42" s="43"/>
      <c r="D42" s="43"/>
      <c r="E42" s="9">
        <f>'2-支渠'!B174</f>
        <v>4400</v>
      </c>
      <c r="F42" s="9">
        <f t="shared" si="5"/>
        <v>0.17</v>
      </c>
    </row>
    <row r="43" spans="1:6">
      <c r="A43" s="9">
        <v>9</v>
      </c>
      <c r="B43" s="9" t="s">
        <v>405</v>
      </c>
      <c r="C43" s="43"/>
      <c r="D43" s="43"/>
      <c r="E43" s="9">
        <f>'2-支渠'!B230</f>
        <v>4000</v>
      </c>
      <c r="F43" s="9">
        <f t="shared" si="5"/>
        <v>0.17</v>
      </c>
    </row>
    <row r="44" spans="1:6">
      <c r="A44" s="9">
        <v>10</v>
      </c>
      <c r="B44" s="9" t="s">
        <v>406</v>
      </c>
      <c r="C44" s="43"/>
      <c r="D44" s="43"/>
      <c r="E44" s="9">
        <f>'2-支渠'!B282</f>
        <v>3550</v>
      </c>
      <c r="F44" s="9">
        <f t="shared" si="5"/>
        <v>0.15</v>
      </c>
    </row>
    <row r="45" spans="1:6">
      <c r="A45" s="9">
        <v>11</v>
      </c>
      <c r="B45" s="9" t="s">
        <v>407</v>
      </c>
      <c r="C45" s="43"/>
      <c r="D45" s="43"/>
      <c r="E45" s="9">
        <f>'2-支渠'!B330</f>
        <v>3400</v>
      </c>
      <c r="F45" s="9">
        <f t="shared" si="5"/>
        <v>0.15</v>
      </c>
    </row>
    <row r="46" spans="1:6">
      <c r="A46" s="9">
        <v>12</v>
      </c>
      <c r="B46" s="9" t="s">
        <v>408</v>
      </c>
      <c r="C46" s="43"/>
      <c r="D46" s="43"/>
      <c r="E46" s="9">
        <f>'2-支渠'!B386</f>
        <v>5020</v>
      </c>
      <c r="F46" s="9">
        <f t="shared" si="5"/>
        <v>0.25</v>
      </c>
    </row>
    <row r="47" spans="1:6">
      <c r="A47" s="43" t="s">
        <v>810</v>
      </c>
      <c r="B47" s="43"/>
      <c r="C47" s="9"/>
      <c r="D47" s="9"/>
      <c r="E47" s="9">
        <f>SUM(E35:E46)</f>
        <v>56102</v>
      </c>
      <c r="F47" s="9"/>
    </row>
    <row r="53" spans="3:3">
      <c r="C53" s="10"/>
    </row>
  </sheetData>
  <mergeCells count="4">
    <mergeCell ref="C35:C39"/>
    <mergeCell ref="C40:D46"/>
    <mergeCell ref="C34:D34"/>
    <mergeCell ref="A47:B47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255"/>
  <sheetViews>
    <sheetView topLeftCell="H175" zoomScaleNormal="100" workbookViewId="0">
      <selection activeCell="O178" sqref="O178"/>
    </sheetView>
  </sheetViews>
  <sheetFormatPr defaultRowHeight="14.4"/>
  <cols>
    <col min="12" max="13" width="9" customWidth="1"/>
  </cols>
  <sheetData>
    <row r="1" spans="2:32">
      <c r="J1" s="43" t="s">
        <v>359</v>
      </c>
      <c r="K1" s="43" t="s">
        <v>336</v>
      </c>
      <c r="L1" s="43" t="s">
        <v>337</v>
      </c>
      <c r="M1" s="43"/>
      <c r="N1" s="43" t="s">
        <v>338</v>
      </c>
      <c r="O1" s="43"/>
      <c r="P1" s="43" t="s">
        <v>339</v>
      </c>
      <c r="Q1" s="43"/>
      <c r="R1" s="9" t="s">
        <v>340</v>
      </c>
      <c r="S1" s="9" t="s">
        <v>289</v>
      </c>
      <c r="T1" s="9"/>
      <c r="U1" s="9" t="s">
        <v>438</v>
      </c>
      <c r="V1" s="11"/>
      <c r="W1" s="11"/>
      <c r="X1" s="9" t="s">
        <v>343</v>
      </c>
      <c r="Y1" s="9" t="s">
        <v>344</v>
      </c>
      <c r="Z1" s="40" t="s">
        <v>395</v>
      </c>
      <c r="AA1" s="40" t="s">
        <v>346</v>
      </c>
      <c r="AB1" s="43" t="s">
        <v>347</v>
      </c>
      <c r="AC1" s="43" t="s">
        <v>359</v>
      </c>
    </row>
    <row r="2" spans="2:32" ht="15.6">
      <c r="J2" s="43"/>
      <c r="K2" s="43"/>
      <c r="L2" s="9" t="s">
        <v>349</v>
      </c>
      <c r="M2" s="9" t="s">
        <v>348</v>
      </c>
      <c r="N2" s="9" t="s">
        <v>351</v>
      </c>
      <c r="O2" s="9" t="s">
        <v>352</v>
      </c>
      <c r="P2" s="9" t="s">
        <v>353</v>
      </c>
      <c r="Q2" s="9" t="s">
        <v>354</v>
      </c>
      <c r="R2" s="9" t="s">
        <v>309</v>
      </c>
      <c r="S2" s="9" t="s">
        <v>308</v>
      </c>
      <c r="T2" s="9"/>
      <c r="U2" s="9" t="s">
        <v>306</v>
      </c>
      <c r="V2" s="11" t="s">
        <v>368</v>
      </c>
      <c r="W2" s="11" t="s">
        <v>366</v>
      </c>
      <c r="X2" s="9" t="s">
        <v>355</v>
      </c>
      <c r="Y2" s="9" t="s">
        <v>310</v>
      </c>
      <c r="Z2" s="41"/>
      <c r="AA2" s="41"/>
      <c r="AB2" s="43"/>
      <c r="AC2" s="43"/>
    </row>
    <row r="3" spans="2:32" ht="16.2">
      <c r="B3" t="s">
        <v>0</v>
      </c>
      <c r="D3" t="s">
        <v>1</v>
      </c>
      <c r="F3" t="s">
        <v>422</v>
      </c>
      <c r="J3" s="9"/>
      <c r="K3" s="9" t="s">
        <v>356</v>
      </c>
      <c r="L3" s="9" t="s">
        <v>358</v>
      </c>
      <c r="M3" s="9" t="s">
        <v>358</v>
      </c>
      <c r="N3" s="9" t="s">
        <v>357</v>
      </c>
      <c r="O3" s="9" t="s">
        <v>357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32">
      <c r="B4" t="s">
        <v>2</v>
      </c>
      <c r="C4">
        <v>0</v>
      </c>
      <c r="D4">
        <v>1669.81</v>
      </c>
      <c r="E4">
        <f>ROUND(D4,2)</f>
        <v>1669.81</v>
      </c>
      <c r="F4">
        <v>1669.61</v>
      </c>
      <c r="J4" s="9"/>
      <c r="K4" s="10">
        <f>C4</f>
        <v>0</v>
      </c>
      <c r="L4" s="9">
        <f>ROUND(M4*1.3,2)</f>
        <v>0.61</v>
      </c>
      <c r="M4" s="9">
        <f>支渠!M3</f>
        <v>0.47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32">
      <c r="C5">
        <v>10</v>
      </c>
      <c r="D5">
        <v>1669.76</v>
      </c>
      <c r="E5">
        <f t="shared" ref="E5:E66" si="0">ROUND(D5,2)</f>
        <v>1669.76</v>
      </c>
      <c r="F5">
        <f>E5-1</f>
        <v>1668.76</v>
      </c>
      <c r="G5">
        <f>E5-F5</f>
        <v>1</v>
      </c>
      <c r="H5">
        <v>4.0000000000000001E-3</v>
      </c>
      <c r="J5" s="9"/>
      <c r="K5" s="10">
        <f t="shared" ref="K5:K68" si="1">C5</f>
        <v>10</v>
      </c>
      <c r="L5" s="9">
        <f t="shared" ref="L5:L68" si="2">ROUND(M5*1.3,2)</f>
        <v>0.61</v>
      </c>
      <c r="M5" s="9">
        <f>M4</f>
        <v>0.47</v>
      </c>
      <c r="N5" s="9">
        <f>ROUND(L5/W5,2)</f>
        <v>1.65</v>
      </c>
      <c r="O5" s="9">
        <f>ROUND(M5/V5,2)</f>
        <v>1.57</v>
      </c>
      <c r="P5" s="9">
        <v>0.54</v>
      </c>
      <c r="Q5" s="9">
        <v>0.46</v>
      </c>
      <c r="R5" s="9">
        <v>1.4999999999999999E-2</v>
      </c>
      <c r="S5" s="9">
        <f>H5</f>
        <v>4.0000000000000001E-3</v>
      </c>
      <c r="T5" s="9" t="str">
        <f>"1/"&amp;ROUND(1/S5,0)</f>
        <v>1/250</v>
      </c>
      <c r="U5" s="9" t="s">
        <v>437</v>
      </c>
      <c r="V5" s="9">
        <v>0.3</v>
      </c>
      <c r="W5" s="9">
        <v>0.37</v>
      </c>
      <c r="X5" s="9">
        <f>Y5-P5</f>
        <v>0.26</v>
      </c>
      <c r="Y5" s="9">
        <v>0.8</v>
      </c>
      <c r="Z5" s="9">
        <f t="shared" ref="Z5:Z35" si="3">E5</f>
        <v>1669.76</v>
      </c>
      <c r="AA5" s="9">
        <f t="shared" ref="AA5:AA35" si="4">F5</f>
        <v>1668.76</v>
      </c>
      <c r="AB5" s="14">
        <f t="shared" ref="AB5:AB35" si="5">AA5+Q5</f>
        <v>1669.22</v>
      </c>
      <c r="AC5" s="9"/>
      <c r="AD5">
        <f>Z5-AA5</f>
        <v>1</v>
      </c>
      <c r="AE5">
        <f>P5*0.25+0.2</f>
        <v>0.33500000000000002</v>
      </c>
      <c r="AF5">
        <f>0.54*0.25+0.2</f>
        <v>0.33500000000000002</v>
      </c>
    </row>
    <row r="6" spans="2:32">
      <c r="B6" t="s">
        <v>9</v>
      </c>
      <c r="C6">
        <v>100</v>
      </c>
      <c r="D6">
        <v>1669.203</v>
      </c>
      <c r="E6">
        <f t="shared" si="0"/>
        <v>1669.2</v>
      </c>
      <c r="F6">
        <f>ROUND(F5-(C6-C5)*H5,2)</f>
        <v>1668.4</v>
      </c>
      <c r="G6">
        <f t="shared" ref="G6:G69" si="6">E6-F6</f>
        <v>0.79999999999995453</v>
      </c>
      <c r="H6">
        <v>4.0000000000000001E-3</v>
      </c>
      <c r="J6" s="9" t="s">
        <v>471</v>
      </c>
      <c r="K6" s="10">
        <f t="shared" si="1"/>
        <v>100</v>
      </c>
      <c r="L6" s="9">
        <f t="shared" si="2"/>
        <v>0.61</v>
      </c>
      <c r="M6" s="9">
        <f t="shared" ref="M6:M33" si="7">M5</f>
        <v>0.47</v>
      </c>
      <c r="N6" s="9">
        <f t="shared" ref="N6:N69" si="8">ROUND(L6/W6,2)</f>
        <v>1.65</v>
      </c>
      <c r="O6" s="9">
        <f t="shared" ref="O6:O69" si="9">ROUND(M6/V6,2)</f>
        <v>1.57</v>
      </c>
      <c r="P6" s="9">
        <f>P5</f>
        <v>0.54</v>
      </c>
      <c r="Q6" s="9">
        <f>Q5</f>
        <v>0.46</v>
      </c>
      <c r="R6" s="9">
        <v>1.4999999999999999E-2</v>
      </c>
      <c r="S6" s="9">
        <f t="shared" ref="S6:S69" si="10">H6</f>
        <v>4.0000000000000001E-3</v>
      </c>
      <c r="T6" s="9" t="str">
        <f t="shared" ref="T6:T69" si="11">"1/"&amp;ROUND(1/S6,0)</f>
        <v>1/250</v>
      </c>
      <c r="U6" s="9" t="str">
        <f>U5</f>
        <v>U80</v>
      </c>
      <c r="V6" s="9">
        <f>V5</f>
        <v>0.3</v>
      </c>
      <c r="W6" s="9">
        <f>W5</f>
        <v>0.37</v>
      </c>
      <c r="X6" s="9">
        <f t="shared" ref="X6:X66" si="12">Y6-P6</f>
        <v>0.26</v>
      </c>
      <c r="Y6" s="9">
        <f>Y5</f>
        <v>0.8</v>
      </c>
      <c r="Z6" s="9">
        <f t="shared" si="3"/>
        <v>1669.2</v>
      </c>
      <c r="AA6" s="9">
        <f t="shared" si="4"/>
        <v>1668.4</v>
      </c>
      <c r="AB6" s="14">
        <f t="shared" si="5"/>
        <v>1668.8600000000001</v>
      </c>
      <c r="AC6" s="9"/>
      <c r="AD6">
        <f t="shared" ref="AD6:AD66" si="13">Z6-AA6</f>
        <v>0.79999999999995453</v>
      </c>
    </row>
    <row r="7" spans="2:32">
      <c r="B7" t="s">
        <v>11</v>
      </c>
      <c r="C7">
        <v>200</v>
      </c>
      <c r="D7">
        <v>1668.3109999999999</v>
      </c>
      <c r="E7">
        <f t="shared" si="0"/>
        <v>1668.31</v>
      </c>
      <c r="F7">
        <f t="shared" ref="F7:F70" si="14">ROUND(F6-(C7-C6)*H6,2)</f>
        <v>1668</v>
      </c>
      <c r="G7">
        <f t="shared" si="6"/>
        <v>0.30999999999994543</v>
      </c>
      <c r="H7">
        <v>4.0000000000000001E-3</v>
      </c>
      <c r="J7" s="9"/>
      <c r="K7" s="10">
        <f t="shared" si="1"/>
        <v>200</v>
      </c>
      <c r="L7" s="9">
        <f t="shared" si="2"/>
        <v>0.61</v>
      </c>
      <c r="M7" s="9">
        <f t="shared" si="7"/>
        <v>0.47</v>
      </c>
      <c r="N7" s="9">
        <f t="shared" si="8"/>
        <v>1.65</v>
      </c>
      <c r="O7" s="9">
        <f t="shared" si="9"/>
        <v>1.57</v>
      </c>
      <c r="P7" s="9">
        <f t="shared" ref="P7:P34" si="15">P6</f>
        <v>0.54</v>
      </c>
      <c r="Q7" s="9">
        <f t="shared" ref="Q7:Q34" si="16">Q6</f>
        <v>0.46</v>
      </c>
      <c r="R7" s="9">
        <v>1.4999999999999999E-2</v>
      </c>
      <c r="S7" s="9">
        <f t="shared" si="10"/>
        <v>4.0000000000000001E-3</v>
      </c>
      <c r="T7" s="9" t="str">
        <f t="shared" si="11"/>
        <v>1/250</v>
      </c>
      <c r="U7" s="9" t="str">
        <f t="shared" ref="U7:U70" si="17">U6</f>
        <v>U80</v>
      </c>
      <c r="V7" s="9">
        <f t="shared" ref="V7:V34" si="18">V6</f>
        <v>0.3</v>
      </c>
      <c r="W7" s="9">
        <f t="shared" ref="W7:W34" si="19">W6</f>
        <v>0.37</v>
      </c>
      <c r="X7" s="9">
        <f t="shared" si="12"/>
        <v>0.26</v>
      </c>
      <c r="Y7" s="9">
        <f t="shared" ref="Y7:Y70" si="20">Y6</f>
        <v>0.8</v>
      </c>
      <c r="Z7" s="9">
        <f t="shared" si="3"/>
        <v>1668.31</v>
      </c>
      <c r="AA7" s="9">
        <f t="shared" si="4"/>
        <v>1668</v>
      </c>
      <c r="AB7" s="14">
        <f t="shared" si="5"/>
        <v>1668.46</v>
      </c>
      <c r="AC7" s="9"/>
      <c r="AD7">
        <f t="shared" si="13"/>
        <v>0.30999999999994543</v>
      </c>
    </row>
    <row r="8" spans="2:32">
      <c r="B8" t="s">
        <v>414</v>
      </c>
      <c r="C8">
        <v>300</v>
      </c>
      <c r="D8">
        <v>1667.83</v>
      </c>
      <c r="E8">
        <f t="shared" si="0"/>
        <v>1667.83</v>
      </c>
      <c r="F8">
        <f t="shared" si="14"/>
        <v>1667.6</v>
      </c>
      <c r="G8">
        <f t="shared" si="6"/>
        <v>0.23000000000001819</v>
      </c>
      <c r="H8">
        <v>4.0000000000000001E-3</v>
      </c>
      <c r="J8" s="9"/>
      <c r="K8" s="10">
        <f t="shared" si="1"/>
        <v>300</v>
      </c>
      <c r="L8" s="9">
        <f t="shared" si="2"/>
        <v>0.61</v>
      </c>
      <c r="M8" s="9">
        <f t="shared" si="7"/>
        <v>0.47</v>
      </c>
      <c r="N8" s="9">
        <f t="shared" si="8"/>
        <v>1.65</v>
      </c>
      <c r="O8" s="9">
        <f t="shared" si="9"/>
        <v>1.57</v>
      </c>
      <c r="P8" s="9">
        <f t="shared" si="15"/>
        <v>0.54</v>
      </c>
      <c r="Q8" s="9">
        <f t="shared" si="16"/>
        <v>0.46</v>
      </c>
      <c r="R8" s="9">
        <v>1.4999999999999999E-2</v>
      </c>
      <c r="S8" s="9">
        <f t="shared" si="10"/>
        <v>4.0000000000000001E-3</v>
      </c>
      <c r="T8" s="9" t="str">
        <f t="shared" si="11"/>
        <v>1/250</v>
      </c>
      <c r="U8" s="9" t="str">
        <f t="shared" si="17"/>
        <v>U80</v>
      </c>
      <c r="V8" s="9">
        <f t="shared" si="18"/>
        <v>0.3</v>
      </c>
      <c r="W8" s="9">
        <f t="shared" si="19"/>
        <v>0.37</v>
      </c>
      <c r="X8" s="9">
        <f t="shared" si="12"/>
        <v>0.26</v>
      </c>
      <c r="Y8" s="9">
        <f t="shared" si="20"/>
        <v>0.8</v>
      </c>
      <c r="Z8" s="9">
        <f t="shared" si="3"/>
        <v>1667.83</v>
      </c>
      <c r="AA8" s="9">
        <f t="shared" si="4"/>
        <v>1667.6</v>
      </c>
      <c r="AB8" s="14">
        <f t="shared" si="5"/>
        <v>1668.06</v>
      </c>
      <c r="AC8" s="9"/>
      <c r="AD8">
        <f t="shared" si="13"/>
        <v>0.23000000000001819</v>
      </c>
    </row>
    <row r="9" spans="2:32">
      <c r="B9" t="s">
        <v>415</v>
      </c>
      <c r="C9">
        <v>400</v>
      </c>
      <c r="D9">
        <v>1667.4870000000001</v>
      </c>
      <c r="E9">
        <f t="shared" si="0"/>
        <v>1667.49</v>
      </c>
      <c r="F9">
        <f t="shared" si="14"/>
        <v>1667.2</v>
      </c>
      <c r="G9">
        <f t="shared" si="6"/>
        <v>0.28999999999996362</v>
      </c>
      <c r="H9">
        <v>4.0000000000000001E-3</v>
      </c>
      <c r="J9" s="9"/>
      <c r="K9" s="10">
        <f t="shared" si="1"/>
        <v>400</v>
      </c>
      <c r="L9" s="9">
        <f t="shared" si="2"/>
        <v>0.61</v>
      </c>
      <c r="M9" s="9">
        <f t="shared" si="7"/>
        <v>0.47</v>
      </c>
      <c r="N9" s="9">
        <f t="shared" si="8"/>
        <v>1.65</v>
      </c>
      <c r="O9" s="9">
        <f t="shared" si="9"/>
        <v>1.57</v>
      </c>
      <c r="P9" s="9">
        <f t="shared" si="15"/>
        <v>0.54</v>
      </c>
      <c r="Q9" s="9">
        <f t="shared" si="16"/>
        <v>0.46</v>
      </c>
      <c r="R9" s="9">
        <v>1.4999999999999999E-2</v>
      </c>
      <c r="S9" s="9">
        <f t="shared" si="10"/>
        <v>4.0000000000000001E-3</v>
      </c>
      <c r="T9" s="9" t="str">
        <f t="shared" si="11"/>
        <v>1/250</v>
      </c>
      <c r="U9" s="9" t="str">
        <f t="shared" si="17"/>
        <v>U80</v>
      </c>
      <c r="V9" s="9">
        <f t="shared" si="18"/>
        <v>0.3</v>
      </c>
      <c r="W9" s="9">
        <f t="shared" si="19"/>
        <v>0.37</v>
      </c>
      <c r="X9" s="9">
        <f t="shared" si="12"/>
        <v>0.26</v>
      </c>
      <c r="Y9" s="9">
        <f t="shared" si="20"/>
        <v>0.8</v>
      </c>
      <c r="Z9" s="9">
        <f t="shared" si="3"/>
        <v>1667.49</v>
      </c>
      <c r="AA9" s="9">
        <f t="shared" si="4"/>
        <v>1667.2</v>
      </c>
      <c r="AB9" s="14">
        <f t="shared" si="5"/>
        <v>1667.66</v>
      </c>
      <c r="AC9" s="9"/>
      <c r="AD9">
        <f t="shared" si="13"/>
        <v>0.28999999999996362</v>
      </c>
    </row>
    <row r="10" spans="2:32">
      <c r="B10" t="s">
        <v>15</v>
      </c>
      <c r="C10">
        <v>500</v>
      </c>
      <c r="D10">
        <v>1667.021</v>
      </c>
      <c r="E10">
        <f t="shared" si="0"/>
        <v>1667.02</v>
      </c>
      <c r="F10">
        <f t="shared" si="14"/>
        <v>1666.8</v>
      </c>
      <c r="G10">
        <f t="shared" si="6"/>
        <v>0.22000000000002728</v>
      </c>
      <c r="H10">
        <v>4.0000000000000001E-3</v>
      </c>
      <c r="J10" s="9"/>
      <c r="K10" s="10">
        <f t="shared" si="1"/>
        <v>500</v>
      </c>
      <c r="L10" s="9">
        <f t="shared" si="2"/>
        <v>0.61</v>
      </c>
      <c r="M10" s="9">
        <f t="shared" si="7"/>
        <v>0.47</v>
      </c>
      <c r="N10" s="9">
        <f t="shared" si="8"/>
        <v>1.65</v>
      </c>
      <c r="O10" s="9">
        <f t="shared" si="9"/>
        <v>1.57</v>
      </c>
      <c r="P10" s="9">
        <f t="shared" si="15"/>
        <v>0.54</v>
      </c>
      <c r="Q10" s="9">
        <f t="shared" si="16"/>
        <v>0.46</v>
      </c>
      <c r="R10" s="9">
        <v>1.4999999999999999E-2</v>
      </c>
      <c r="S10" s="9">
        <f t="shared" si="10"/>
        <v>4.0000000000000001E-3</v>
      </c>
      <c r="T10" s="9" t="str">
        <f t="shared" si="11"/>
        <v>1/250</v>
      </c>
      <c r="U10" s="9" t="str">
        <f t="shared" si="17"/>
        <v>U80</v>
      </c>
      <c r="V10" s="9">
        <f t="shared" si="18"/>
        <v>0.3</v>
      </c>
      <c r="W10" s="9">
        <f t="shared" si="19"/>
        <v>0.37</v>
      </c>
      <c r="X10" s="9">
        <f t="shared" si="12"/>
        <v>0.26</v>
      </c>
      <c r="Y10" s="9">
        <f t="shared" si="20"/>
        <v>0.8</v>
      </c>
      <c r="Z10" s="9">
        <f t="shared" si="3"/>
        <v>1667.02</v>
      </c>
      <c r="AA10" s="9">
        <f t="shared" si="4"/>
        <v>1666.8</v>
      </c>
      <c r="AB10" s="14">
        <f t="shared" si="5"/>
        <v>1667.26</v>
      </c>
      <c r="AC10" s="9"/>
      <c r="AD10">
        <f t="shared" si="13"/>
        <v>0.22000000000002728</v>
      </c>
    </row>
    <row r="11" spans="2:32">
      <c r="B11" t="s">
        <v>17</v>
      </c>
      <c r="C11">
        <v>600</v>
      </c>
      <c r="D11">
        <v>1666.76</v>
      </c>
      <c r="E11">
        <f t="shared" si="0"/>
        <v>1666.76</v>
      </c>
      <c r="F11">
        <f t="shared" si="14"/>
        <v>1666.4</v>
      </c>
      <c r="G11">
        <f t="shared" si="6"/>
        <v>0.35999999999989996</v>
      </c>
      <c r="H11">
        <v>4.0000000000000001E-3</v>
      </c>
      <c r="J11" s="9"/>
      <c r="K11" s="10">
        <f t="shared" si="1"/>
        <v>600</v>
      </c>
      <c r="L11" s="9">
        <f t="shared" si="2"/>
        <v>0.61</v>
      </c>
      <c r="M11" s="9">
        <f t="shared" si="7"/>
        <v>0.47</v>
      </c>
      <c r="N11" s="9">
        <f t="shared" si="8"/>
        <v>1.65</v>
      </c>
      <c r="O11" s="9">
        <f t="shared" si="9"/>
        <v>1.57</v>
      </c>
      <c r="P11" s="9">
        <f t="shared" si="15"/>
        <v>0.54</v>
      </c>
      <c r="Q11" s="9">
        <f t="shared" si="16"/>
        <v>0.46</v>
      </c>
      <c r="R11" s="9">
        <v>1.4999999999999999E-2</v>
      </c>
      <c r="S11" s="9">
        <f t="shared" si="10"/>
        <v>4.0000000000000001E-3</v>
      </c>
      <c r="T11" s="9" t="str">
        <f t="shared" si="11"/>
        <v>1/250</v>
      </c>
      <c r="U11" s="9" t="str">
        <f t="shared" si="17"/>
        <v>U80</v>
      </c>
      <c r="V11" s="9">
        <f t="shared" si="18"/>
        <v>0.3</v>
      </c>
      <c r="W11" s="9">
        <f t="shared" si="19"/>
        <v>0.37</v>
      </c>
      <c r="X11" s="9">
        <f t="shared" si="12"/>
        <v>0.26</v>
      </c>
      <c r="Y11" s="9">
        <f t="shared" si="20"/>
        <v>0.8</v>
      </c>
      <c r="Z11" s="9">
        <f t="shared" si="3"/>
        <v>1666.76</v>
      </c>
      <c r="AA11" s="9">
        <f t="shared" si="4"/>
        <v>1666.4</v>
      </c>
      <c r="AB11" s="14">
        <f t="shared" si="5"/>
        <v>1666.8600000000001</v>
      </c>
      <c r="AC11" s="9"/>
      <c r="AD11">
        <f t="shared" si="13"/>
        <v>0.35999999999989996</v>
      </c>
    </row>
    <row r="12" spans="2:32">
      <c r="B12" t="s">
        <v>416</v>
      </c>
      <c r="C12">
        <v>700</v>
      </c>
      <c r="D12">
        <v>1666.211</v>
      </c>
      <c r="E12">
        <f t="shared" si="0"/>
        <v>1666.21</v>
      </c>
      <c r="F12">
        <f t="shared" si="14"/>
        <v>1666</v>
      </c>
      <c r="G12">
        <f t="shared" si="6"/>
        <v>0.21000000000003638</v>
      </c>
      <c r="H12">
        <v>4.0000000000000001E-3</v>
      </c>
      <c r="J12" s="9"/>
      <c r="K12" s="10">
        <f t="shared" si="1"/>
        <v>700</v>
      </c>
      <c r="L12" s="9">
        <f t="shared" si="2"/>
        <v>0.61</v>
      </c>
      <c r="M12" s="9">
        <f t="shared" si="7"/>
        <v>0.47</v>
      </c>
      <c r="N12" s="9">
        <f t="shared" si="8"/>
        <v>1.65</v>
      </c>
      <c r="O12" s="9">
        <f t="shared" si="9"/>
        <v>1.57</v>
      </c>
      <c r="P12" s="9">
        <f t="shared" si="15"/>
        <v>0.54</v>
      </c>
      <c r="Q12" s="9">
        <f t="shared" si="16"/>
        <v>0.46</v>
      </c>
      <c r="R12" s="9">
        <v>1.4999999999999999E-2</v>
      </c>
      <c r="S12" s="9">
        <f t="shared" si="10"/>
        <v>4.0000000000000001E-3</v>
      </c>
      <c r="T12" s="9" t="str">
        <f t="shared" si="11"/>
        <v>1/250</v>
      </c>
      <c r="U12" s="9" t="str">
        <f t="shared" si="17"/>
        <v>U80</v>
      </c>
      <c r="V12" s="9">
        <f t="shared" si="18"/>
        <v>0.3</v>
      </c>
      <c r="W12" s="9">
        <f t="shared" si="19"/>
        <v>0.37</v>
      </c>
      <c r="X12" s="9">
        <f t="shared" si="12"/>
        <v>0.26</v>
      </c>
      <c r="Y12" s="9">
        <f t="shared" si="20"/>
        <v>0.8</v>
      </c>
      <c r="Z12" s="9">
        <f t="shared" si="3"/>
        <v>1666.21</v>
      </c>
      <c r="AA12" s="9">
        <f t="shared" si="4"/>
        <v>1666</v>
      </c>
      <c r="AB12" s="14">
        <f t="shared" si="5"/>
        <v>1666.46</v>
      </c>
      <c r="AC12" s="9"/>
      <c r="AD12">
        <f t="shared" si="13"/>
        <v>0.21000000000003638</v>
      </c>
    </row>
    <row r="13" spans="2:32">
      <c r="B13" t="s">
        <v>21</v>
      </c>
      <c r="C13">
        <v>800</v>
      </c>
      <c r="D13">
        <v>1665.7760000000001</v>
      </c>
      <c r="E13">
        <f t="shared" si="0"/>
        <v>1665.78</v>
      </c>
      <c r="F13">
        <f t="shared" si="14"/>
        <v>1665.6</v>
      </c>
      <c r="G13">
        <f t="shared" si="6"/>
        <v>0.18000000000006366</v>
      </c>
      <c r="H13">
        <v>4.0000000000000001E-3</v>
      </c>
      <c r="J13" s="12"/>
      <c r="K13" s="10">
        <f t="shared" si="1"/>
        <v>800</v>
      </c>
      <c r="L13" s="9">
        <f t="shared" si="2"/>
        <v>0.61</v>
      </c>
      <c r="M13" s="9">
        <f t="shared" si="7"/>
        <v>0.47</v>
      </c>
      <c r="N13" s="9">
        <f t="shared" si="8"/>
        <v>1.65</v>
      </c>
      <c r="O13" s="9">
        <f t="shared" si="9"/>
        <v>1.57</v>
      </c>
      <c r="P13" s="9">
        <f t="shared" si="15"/>
        <v>0.54</v>
      </c>
      <c r="Q13" s="9">
        <f t="shared" si="16"/>
        <v>0.46</v>
      </c>
      <c r="R13" s="9">
        <v>1.4999999999999999E-2</v>
      </c>
      <c r="S13" s="9">
        <f t="shared" si="10"/>
        <v>4.0000000000000001E-3</v>
      </c>
      <c r="T13" s="9" t="str">
        <f t="shared" si="11"/>
        <v>1/250</v>
      </c>
      <c r="U13" s="9" t="str">
        <f t="shared" si="17"/>
        <v>U80</v>
      </c>
      <c r="V13" s="9">
        <f t="shared" si="18"/>
        <v>0.3</v>
      </c>
      <c r="W13" s="9">
        <f t="shared" si="19"/>
        <v>0.37</v>
      </c>
      <c r="X13" s="9">
        <f t="shared" si="12"/>
        <v>0.26</v>
      </c>
      <c r="Y13" s="9">
        <f t="shared" si="20"/>
        <v>0.8</v>
      </c>
      <c r="Z13" s="9">
        <f t="shared" si="3"/>
        <v>1665.78</v>
      </c>
      <c r="AA13" s="9">
        <f t="shared" si="4"/>
        <v>1665.6</v>
      </c>
      <c r="AB13" s="14">
        <f t="shared" si="5"/>
        <v>1666.06</v>
      </c>
      <c r="AC13" s="12"/>
      <c r="AD13">
        <f t="shared" si="13"/>
        <v>0.18000000000006366</v>
      </c>
    </row>
    <row r="14" spans="2:32">
      <c r="B14" t="s">
        <v>417</v>
      </c>
      <c r="C14">
        <v>900</v>
      </c>
      <c r="D14">
        <v>1665.5</v>
      </c>
      <c r="E14">
        <f t="shared" si="0"/>
        <v>1665.5</v>
      </c>
      <c r="F14">
        <f t="shared" si="14"/>
        <v>1665.2</v>
      </c>
      <c r="G14">
        <f t="shared" si="6"/>
        <v>0.29999999999995453</v>
      </c>
      <c r="H14">
        <v>4.0000000000000001E-3</v>
      </c>
      <c r="J14" s="12"/>
      <c r="K14" s="10">
        <f t="shared" si="1"/>
        <v>900</v>
      </c>
      <c r="L14" s="9">
        <f t="shared" si="2"/>
        <v>0.61</v>
      </c>
      <c r="M14" s="9">
        <f t="shared" si="7"/>
        <v>0.47</v>
      </c>
      <c r="N14" s="9">
        <f t="shared" si="8"/>
        <v>1.65</v>
      </c>
      <c r="O14" s="9">
        <f t="shared" si="9"/>
        <v>1.57</v>
      </c>
      <c r="P14" s="9">
        <f t="shared" si="15"/>
        <v>0.54</v>
      </c>
      <c r="Q14" s="9">
        <f t="shared" si="16"/>
        <v>0.46</v>
      </c>
      <c r="R14" s="9">
        <v>1.4999999999999999E-2</v>
      </c>
      <c r="S14" s="9">
        <f t="shared" si="10"/>
        <v>4.0000000000000001E-3</v>
      </c>
      <c r="T14" s="9" t="str">
        <f t="shared" si="11"/>
        <v>1/250</v>
      </c>
      <c r="U14" s="9" t="str">
        <f t="shared" si="17"/>
        <v>U80</v>
      </c>
      <c r="V14" s="9">
        <f t="shared" si="18"/>
        <v>0.3</v>
      </c>
      <c r="W14" s="9">
        <f t="shared" si="19"/>
        <v>0.37</v>
      </c>
      <c r="X14" s="9">
        <f t="shared" si="12"/>
        <v>0.26</v>
      </c>
      <c r="Y14" s="9">
        <f t="shared" si="20"/>
        <v>0.8</v>
      </c>
      <c r="Z14" s="9">
        <f t="shared" si="3"/>
        <v>1665.5</v>
      </c>
      <c r="AA14" s="9">
        <f t="shared" si="4"/>
        <v>1665.2</v>
      </c>
      <c r="AB14" s="14">
        <f t="shared" si="5"/>
        <v>1665.66</v>
      </c>
      <c r="AC14" s="12"/>
      <c r="AD14">
        <f t="shared" si="13"/>
        <v>0.29999999999995453</v>
      </c>
    </row>
    <row r="15" spans="2:32">
      <c r="B15" t="s">
        <v>26</v>
      </c>
      <c r="C15">
        <v>1000</v>
      </c>
      <c r="D15">
        <v>1665.0640000000001</v>
      </c>
      <c r="E15">
        <f t="shared" si="0"/>
        <v>1665.06</v>
      </c>
      <c r="F15">
        <f t="shared" si="14"/>
        <v>1664.8</v>
      </c>
      <c r="G15">
        <f t="shared" si="6"/>
        <v>0.25999999999999091</v>
      </c>
      <c r="H15">
        <v>4.0000000000000001E-3</v>
      </c>
      <c r="J15" s="12"/>
      <c r="K15" s="10">
        <f t="shared" si="1"/>
        <v>1000</v>
      </c>
      <c r="L15" s="9">
        <f t="shared" si="2"/>
        <v>0.61</v>
      </c>
      <c r="M15" s="9">
        <f t="shared" si="7"/>
        <v>0.47</v>
      </c>
      <c r="N15" s="9">
        <f t="shared" si="8"/>
        <v>1.65</v>
      </c>
      <c r="O15" s="9">
        <f t="shared" si="9"/>
        <v>1.57</v>
      </c>
      <c r="P15" s="9">
        <f t="shared" si="15"/>
        <v>0.54</v>
      </c>
      <c r="Q15" s="9">
        <f t="shared" si="16"/>
        <v>0.46</v>
      </c>
      <c r="R15" s="9">
        <v>1.4999999999999999E-2</v>
      </c>
      <c r="S15" s="9">
        <f t="shared" si="10"/>
        <v>4.0000000000000001E-3</v>
      </c>
      <c r="T15" s="9" t="str">
        <f t="shared" si="11"/>
        <v>1/250</v>
      </c>
      <c r="U15" s="9" t="str">
        <f t="shared" si="17"/>
        <v>U80</v>
      </c>
      <c r="V15" s="9">
        <f t="shared" si="18"/>
        <v>0.3</v>
      </c>
      <c r="W15" s="9">
        <f t="shared" si="19"/>
        <v>0.37</v>
      </c>
      <c r="X15" s="9">
        <f t="shared" si="12"/>
        <v>0.26</v>
      </c>
      <c r="Y15" s="9">
        <f t="shared" si="20"/>
        <v>0.8</v>
      </c>
      <c r="Z15" s="9">
        <f t="shared" si="3"/>
        <v>1665.06</v>
      </c>
      <c r="AA15" s="9">
        <f t="shared" si="4"/>
        <v>1664.8</v>
      </c>
      <c r="AB15" s="14">
        <f t="shared" si="5"/>
        <v>1665.26</v>
      </c>
      <c r="AC15" s="12"/>
      <c r="AD15">
        <f t="shared" si="13"/>
        <v>0.25999999999999091</v>
      </c>
    </row>
    <row r="16" spans="2:32">
      <c r="B16" t="s">
        <v>28</v>
      </c>
      <c r="C16">
        <v>1100</v>
      </c>
      <c r="D16">
        <v>1664.5630000000001</v>
      </c>
      <c r="E16">
        <f t="shared" si="0"/>
        <v>1664.56</v>
      </c>
      <c r="F16">
        <f t="shared" si="14"/>
        <v>1664.4</v>
      </c>
      <c r="G16">
        <f t="shared" si="6"/>
        <v>0.15999999999985448</v>
      </c>
      <c r="H16">
        <v>4.0000000000000001E-3</v>
      </c>
      <c r="J16" s="12"/>
      <c r="K16" s="10">
        <f t="shared" si="1"/>
        <v>1100</v>
      </c>
      <c r="L16" s="9">
        <f t="shared" si="2"/>
        <v>0.61</v>
      </c>
      <c r="M16" s="9">
        <f t="shared" si="7"/>
        <v>0.47</v>
      </c>
      <c r="N16" s="9">
        <f t="shared" si="8"/>
        <v>1.65</v>
      </c>
      <c r="O16" s="9">
        <f t="shared" si="9"/>
        <v>1.57</v>
      </c>
      <c r="P16" s="9">
        <f t="shared" si="15"/>
        <v>0.54</v>
      </c>
      <c r="Q16" s="9">
        <f t="shared" si="16"/>
        <v>0.46</v>
      </c>
      <c r="R16" s="9">
        <v>1.4999999999999999E-2</v>
      </c>
      <c r="S16" s="9">
        <f t="shared" si="10"/>
        <v>4.0000000000000001E-3</v>
      </c>
      <c r="T16" s="9" t="str">
        <f t="shared" si="11"/>
        <v>1/250</v>
      </c>
      <c r="U16" s="9" t="str">
        <f t="shared" si="17"/>
        <v>U80</v>
      </c>
      <c r="V16" s="9">
        <f t="shared" si="18"/>
        <v>0.3</v>
      </c>
      <c r="W16" s="9">
        <f t="shared" si="19"/>
        <v>0.37</v>
      </c>
      <c r="X16" s="9">
        <f t="shared" si="12"/>
        <v>0.26</v>
      </c>
      <c r="Y16" s="9">
        <f t="shared" si="20"/>
        <v>0.8</v>
      </c>
      <c r="Z16" s="9">
        <f t="shared" si="3"/>
        <v>1664.56</v>
      </c>
      <c r="AA16" s="9">
        <f t="shared" si="4"/>
        <v>1664.4</v>
      </c>
      <c r="AB16" s="14">
        <f t="shared" si="5"/>
        <v>1664.8600000000001</v>
      </c>
      <c r="AC16" s="12"/>
      <c r="AD16">
        <f t="shared" si="13"/>
        <v>0.15999999999985448</v>
      </c>
    </row>
    <row r="17" spans="2:30">
      <c r="C17">
        <v>1152</v>
      </c>
      <c r="E17">
        <v>1665.5</v>
      </c>
      <c r="F17">
        <f t="shared" si="14"/>
        <v>1664.19</v>
      </c>
      <c r="G17">
        <f t="shared" si="6"/>
        <v>1.3099999999999454</v>
      </c>
      <c r="H17">
        <v>4.0000000000000001E-3</v>
      </c>
      <c r="J17" s="40" t="s">
        <v>439</v>
      </c>
      <c r="K17" s="10">
        <f t="shared" si="1"/>
        <v>1152</v>
      </c>
      <c r="L17" s="9">
        <f t="shared" si="2"/>
        <v>0.61</v>
      </c>
      <c r="M17" s="9">
        <f t="shared" si="7"/>
        <v>0.47</v>
      </c>
      <c r="N17" s="9">
        <f t="shared" si="8"/>
        <v>1.65</v>
      </c>
      <c r="O17" s="9">
        <f t="shared" si="9"/>
        <v>1.57</v>
      </c>
      <c r="P17" s="9">
        <f t="shared" si="15"/>
        <v>0.54</v>
      </c>
      <c r="Q17" s="9">
        <f t="shared" si="16"/>
        <v>0.46</v>
      </c>
      <c r="R17" s="9">
        <v>1.4999999999999999E-2</v>
      </c>
      <c r="S17" s="9">
        <f t="shared" si="10"/>
        <v>4.0000000000000001E-3</v>
      </c>
      <c r="T17" s="9" t="str">
        <f t="shared" si="11"/>
        <v>1/250</v>
      </c>
      <c r="U17" s="9" t="str">
        <f t="shared" si="17"/>
        <v>U80</v>
      </c>
      <c r="V17" s="9">
        <f t="shared" si="18"/>
        <v>0.3</v>
      </c>
      <c r="W17" s="9">
        <f t="shared" si="19"/>
        <v>0.37</v>
      </c>
      <c r="X17" s="9">
        <f t="shared" si="12"/>
        <v>0.26</v>
      </c>
      <c r="Y17" s="9">
        <f t="shared" si="20"/>
        <v>0.8</v>
      </c>
      <c r="Z17" s="9">
        <f t="shared" si="3"/>
        <v>1665.5</v>
      </c>
      <c r="AA17" s="9">
        <f t="shared" si="4"/>
        <v>1664.19</v>
      </c>
      <c r="AB17" s="14">
        <f t="shared" si="5"/>
        <v>1664.65</v>
      </c>
      <c r="AC17" s="12"/>
      <c r="AD17">
        <f t="shared" si="13"/>
        <v>1.3099999999999454</v>
      </c>
    </row>
    <row r="18" spans="2:30">
      <c r="C18">
        <v>1162</v>
      </c>
      <c r="E18">
        <f>E17</f>
        <v>1665.5</v>
      </c>
      <c r="F18">
        <f>F17</f>
        <v>1664.19</v>
      </c>
      <c r="G18">
        <f t="shared" si="6"/>
        <v>1.3099999999999454</v>
      </c>
      <c r="H18">
        <v>4.0000000000000001E-3</v>
      </c>
      <c r="J18" s="41"/>
      <c r="K18" s="10">
        <f t="shared" si="1"/>
        <v>1162</v>
      </c>
      <c r="L18" s="9">
        <f t="shared" si="2"/>
        <v>0.61</v>
      </c>
      <c r="M18" s="9">
        <f t="shared" si="7"/>
        <v>0.47</v>
      </c>
      <c r="N18" s="9">
        <f t="shared" si="8"/>
        <v>1.65</v>
      </c>
      <c r="O18" s="9">
        <f t="shared" si="9"/>
        <v>1.57</v>
      </c>
      <c r="P18" s="9">
        <f t="shared" si="15"/>
        <v>0.54</v>
      </c>
      <c r="Q18" s="9">
        <f t="shared" si="16"/>
        <v>0.46</v>
      </c>
      <c r="R18" s="9">
        <v>1.4999999999999999E-2</v>
      </c>
      <c r="S18" s="9">
        <f t="shared" si="10"/>
        <v>4.0000000000000001E-3</v>
      </c>
      <c r="T18" s="9" t="str">
        <f t="shared" si="11"/>
        <v>1/250</v>
      </c>
      <c r="U18" s="9" t="str">
        <f t="shared" si="17"/>
        <v>U80</v>
      </c>
      <c r="V18" s="9">
        <f t="shared" si="18"/>
        <v>0.3</v>
      </c>
      <c r="W18" s="9">
        <f t="shared" si="19"/>
        <v>0.37</v>
      </c>
      <c r="X18" s="9">
        <f t="shared" si="12"/>
        <v>0.26</v>
      </c>
      <c r="Y18" s="9">
        <f t="shared" si="20"/>
        <v>0.8</v>
      </c>
      <c r="Z18" s="9">
        <f t="shared" si="3"/>
        <v>1665.5</v>
      </c>
      <c r="AA18" s="9">
        <f t="shared" si="4"/>
        <v>1664.19</v>
      </c>
      <c r="AB18" s="14">
        <f t="shared" si="5"/>
        <v>1664.65</v>
      </c>
      <c r="AC18" s="12"/>
      <c r="AD18">
        <f t="shared" si="13"/>
        <v>1.3099999999999454</v>
      </c>
    </row>
    <row r="19" spans="2:30">
      <c r="B19" t="s">
        <v>418</v>
      </c>
      <c r="C19">
        <v>1200</v>
      </c>
      <c r="D19">
        <v>1664.38</v>
      </c>
      <c r="E19">
        <f t="shared" si="0"/>
        <v>1664.38</v>
      </c>
      <c r="F19">
        <f>ROUND(F18-(C19-C18)*H18,2)</f>
        <v>1664.04</v>
      </c>
      <c r="G19">
        <f t="shared" si="6"/>
        <v>0.34000000000014552</v>
      </c>
      <c r="H19">
        <v>4.0000000000000001E-3</v>
      </c>
      <c r="J19" s="12" t="s">
        <v>472</v>
      </c>
      <c r="K19" s="10">
        <f t="shared" si="1"/>
        <v>1200</v>
      </c>
      <c r="L19" s="9">
        <f t="shared" si="2"/>
        <v>0.61</v>
      </c>
      <c r="M19" s="9">
        <f t="shared" si="7"/>
        <v>0.47</v>
      </c>
      <c r="N19" s="9">
        <f t="shared" si="8"/>
        <v>1.65</v>
      </c>
      <c r="O19" s="9">
        <f t="shared" si="9"/>
        <v>1.57</v>
      </c>
      <c r="P19" s="9">
        <f t="shared" si="15"/>
        <v>0.54</v>
      </c>
      <c r="Q19" s="9">
        <f t="shared" si="16"/>
        <v>0.46</v>
      </c>
      <c r="R19" s="9">
        <v>1.4999999999999999E-2</v>
      </c>
      <c r="S19" s="9">
        <f t="shared" si="10"/>
        <v>4.0000000000000001E-3</v>
      </c>
      <c r="T19" s="9" t="str">
        <f t="shared" si="11"/>
        <v>1/250</v>
      </c>
      <c r="U19" s="9" t="str">
        <f t="shared" si="17"/>
        <v>U80</v>
      </c>
      <c r="V19" s="9">
        <f t="shared" si="18"/>
        <v>0.3</v>
      </c>
      <c r="W19" s="9">
        <f t="shared" si="19"/>
        <v>0.37</v>
      </c>
      <c r="X19" s="9">
        <f t="shared" si="12"/>
        <v>0.26</v>
      </c>
      <c r="Y19" s="9">
        <f t="shared" si="20"/>
        <v>0.8</v>
      </c>
      <c r="Z19" s="9">
        <f t="shared" si="3"/>
        <v>1664.38</v>
      </c>
      <c r="AA19" s="9">
        <f t="shared" si="4"/>
        <v>1664.04</v>
      </c>
      <c r="AB19" s="14">
        <f t="shared" si="5"/>
        <v>1664.5</v>
      </c>
      <c r="AC19" s="12"/>
      <c r="AD19">
        <f t="shared" si="13"/>
        <v>0.34000000000014552</v>
      </c>
    </row>
    <row r="20" spans="2:30">
      <c r="B20" t="s">
        <v>419</v>
      </c>
      <c r="C20">
        <v>1300</v>
      </c>
      <c r="D20">
        <v>1664.086</v>
      </c>
      <c r="E20">
        <f t="shared" si="0"/>
        <v>1664.09</v>
      </c>
      <c r="F20">
        <f t="shared" si="14"/>
        <v>1663.64</v>
      </c>
      <c r="G20">
        <f t="shared" si="6"/>
        <v>0.4499999999998181</v>
      </c>
      <c r="H20">
        <v>4.0000000000000001E-3</v>
      </c>
      <c r="J20" s="12"/>
      <c r="K20" s="10">
        <f t="shared" si="1"/>
        <v>1300</v>
      </c>
      <c r="L20" s="9">
        <f t="shared" si="2"/>
        <v>0.61</v>
      </c>
      <c r="M20" s="9">
        <f t="shared" si="7"/>
        <v>0.47</v>
      </c>
      <c r="N20" s="9">
        <f t="shared" si="8"/>
        <v>1.65</v>
      </c>
      <c r="O20" s="9">
        <f t="shared" si="9"/>
        <v>1.57</v>
      </c>
      <c r="P20" s="9">
        <f t="shared" si="15"/>
        <v>0.54</v>
      </c>
      <c r="Q20" s="9">
        <f t="shared" si="16"/>
        <v>0.46</v>
      </c>
      <c r="R20" s="9">
        <v>1.4999999999999999E-2</v>
      </c>
      <c r="S20" s="9">
        <f t="shared" si="10"/>
        <v>4.0000000000000001E-3</v>
      </c>
      <c r="T20" s="9" t="str">
        <f t="shared" si="11"/>
        <v>1/250</v>
      </c>
      <c r="U20" s="9" t="str">
        <f t="shared" si="17"/>
        <v>U80</v>
      </c>
      <c r="V20" s="9">
        <f t="shared" si="18"/>
        <v>0.3</v>
      </c>
      <c r="W20" s="9">
        <f t="shared" si="19"/>
        <v>0.37</v>
      </c>
      <c r="X20" s="9">
        <f t="shared" si="12"/>
        <v>0.26</v>
      </c>
      <c r="Y20" s="9">
        <f t="shared" si="20"/>
        <v>0.8</v>
      </c>
      <c r="Z20" s="9">
        <f t="shared" si="3"/>
        <v>1664.09</v>
      </c>
      <c r="AA20" s="9">
        <f t="shared" si="4"/>
        <v>1663.64</v>
      </c>
      <c r="AB20" s="14">
        <f t="shared" si="5"/>
        <v>1664.1000000000001</v>
      </c>
      <c r="AC20" s="12"/>
      <c r="AD20">
        <f t="shared" si="13"/>
        <v>0.4499999999998181</v>
      </c>
    </row>
    <row r="21" spans="2:30">
      <c r="B21" t="s">
        <v>420</v>
      </c>
      <c r="C21">
        <v>1400</v>
      </c>
      <c r="D21">
        <v>1663.567</v>
      </c>
      <c r="E21">
        <f t="shared" si="0"/>
        <v>1663.57</v>
      </c>
      <c r="F21">
        <f t="shared" si="14"/>
        <v>1663.24</v>
      </c>
      <c r="G21">
        <f t="shared" si="6"/>
        <v>0.32999999999992724</v>
      </c>
      <c r="H21">
        <v>4.0000000000000001E-3</v>
      </c>
      <c r="J21" s="12"/>
      <c r="K21" s="10">
        <f t="shared" si="1"/>
        <v>1400</v>
      </c>
      <c r="L21" s="9">
        <f t="shared" si="2"/>
        <v>0.61</v>
      </c>
      <c r="M21" s="9">
        <f t="shared" si="7"/>
        <v>0.47</v>
      </c>
      <c r="N21" s="9">
        <f t="shared" si="8"/>
        <v>1.65</v>
      </c>
      <c r="O21" s="9">
        <f t="shared" si="9"/>
        <v>1.57</v>
      </c>
      <c r="P21" s="9">
        <f t="shared" si="15"/>
        <v>0.54</v>
      </c>
      <c r="Q21" s="9">
        <f t="shared" si="16"/>
        <v>0.46</v>
      </c>
      <c r="R21" s="9">
        <v>1.4999999999999999E-2</v>
      </c>
      <c r="S21" s="9">
        <f t="shared" si="10"/>
        <v>4.0000000000000001E-3</v>
      </c>
      <c r="T21" s="9" t="str">
        <f t="shared" si="11"/>
        <v>1/250</v>
      </c>
      <c r="U21" s="9" t="str">
        <f t="shared" si="17"/>
        <v>U80</v>
      </c>
      <c r="V21" s="9">
        <f t="shared" si="18"/>
        <v>0.3</v>
      </c>
      <c r="W21" s="9">
        <f t="shared" si="19"/>
        <v>0.37</v>
      </c>
      <c r="X21" s="9">
        <f t="shared" si="12"/>
        <v>0.26</v>
      </c>
      <c r="Y21" s="9">
        <f t="shared" si="20"/>
        <v>0.8</v>
      </c>
      <c r="Z21" s="9">
        <f t="shared" si="3"/>
        <v>1663.57</v>
      </c>
      <c r="AA21" s="9">
        <f t="shared" si="4"/>
        <v>1663.24</v>
      </c>
      <c r="AB21" s="14">
        <f t="shared" si="5"/>
        <v>1663.7</v>
      </c>
      <c r="AC21" s="12"/>
      <c r="AD21">
        <f t="shared" si="13"/>
        <v>0.32999999999992724</v>
      </c>
    </row>
    <row r="22" spans="2:30">
      <c r="B22" t="s">
        <v>33</v>
      </c>
      <c r="C22">
        <v>1500</v>
      </c>
      <c r="D22">
        <v>1663.0930000000001</v>
      </c>
      <c r="E22">
        <f t="shared" si="0"/>
        <v>1663.09</v>
      </c>
      <c r="F22">
        <f>ROUND(F21-(C22-C21)*0.0046,2)</f>
        <v>1662.78</v>
      </c>
      <c r="G22">
        <f t="shared" si="6"/>
        <v>0.30999999999994543</v>
      </c>
      <c r="H22">
        <v>4.0000000000000001E-3</v>
      </c>
      <c r="J22" s="12"/>
      <c r="K22" s="10">
        <f t="shared" si="1"/>
        <v>1500</v>
      </c>
      <c r="L22" s="9">
        <f t="shared" si="2"/>
        <v>0.61</v>
      </c>
      <c r="M22" s="9">
        <f t="shared" si="7"/>
        <v>0.47</v>
      </c>
      <c r="N22" s="9">
        <f t="shared" si="8"/>
        <v>1.65</v>
      </c>
      <c r="O22" s="9">
        <f t="shared" si="9"/>
        <v>1.57</v>
      </c>
      <c r="P22" s="9">
        <f t="shared" si="15"/>
        <v>0.54</v>
      </c>
      <c r="Q22" s="9">
        <f t="shared" si="16"/>
        <v>0.46</v>
      </c>
      <c r="R22" s="9">
        <v>1.4999999999999999E-2</v>
      </c>
      <c r="S22" s="9">
        <f t="shared" si="10"/>
        <v>4.0000000000000001E-3</v>
      </c>
      <c r="T22" s="9" t="str">
        <f t="shared" si="11"/>
        <v>1/250</v>
      </c>
      <c r="U22" s="9" t="str">
        <f t="shared" si="17"/>
        <v>U80</v>
      </c>
      <c r="V22" s="9">
        <f t="shared" si="18"/>
        <v>0.3</v>
      </c>
      <c r="W22" s="9">
        <f t="shared" si="19"/>
        <v>0.37</v>
      </c>
      <c r="X22" s="9">
        <f t="shared" si="12"/>
        <v>0.26</v>
      </c>
      <c r="Y22" s="9">
        <f t="shared" si="20"/>
        <v>0.8</v>
      </c>
      <c r="Z22" s="9">
        <f t="shared" si="3"/>
        <v>1663.09</v>
      </c>
      <c r="AA22" s="9">
        <f t="shared" si="4"/>
        <v>1662.78</v>
      </c>
      <c r="AB22" s="14">
        <f t="shared" si="5"/>
        <v>1663.24</v>
      </c>
      <c r="AC22" s="12"/>
      <c r="AD22">
        <f t="shared" si="13"/>
        <v>0.30999999999994543</v>
      </c>
    </row>
    <row r="23" spans="2:30">
      <c r="B23" t="s">
        <v>35</v>
      </c>
      <c r="C23">
        <v>1600</v>
      </c>
      <c r="D23">
        <v>1662.4059999999999</v>
      </c>
      <c r="E23">
        <f t="shared" si="0"/>
        <v>1662.41</v>
      </c>
      <c r="F23">
        <f t="shared" ref="F23:F31" si="21">ROUND(F22-(C23-C22)*0.0046,2)</f>
        <v>1662.32</v>
      </c>
      <c r="G23">
        <f t="shared" si="6"/>
        <v>9.0000000000145519E-2</v>
      </c>
      <c r="H23">
        <v>4.0000000000000001E-3</v>
      </c>
      <c r="J23" s="12"/>
      <c r="K23" s="10">
        <f t="shared" si="1"/>
        <v>1600</v>
      </c>
      <c r="L23" s="9">
        <f t="shared" si="2"/>
        <v>0.61</v>
      </c>
      <c r="M23" s="9">
        <f t="shared" si="7"/>
        <v>0.47</v>
      </c>
      <c r="N23" s="9">
        <f t="shared" si="8"/>
        <v>1.65</v>
      </c>
      <c r="O23" s="9">
        <f t="shared" si="9"/>
        <v>1.57</v>
      </c>
      <c r="P23" s="9">
        <f t="shared" si="15"/>
        <v>0.54</v>
      </c>
      <c r="Q23" s="9">
        <f t="shared" si="16"/>
        <v>0.46</v>
      </c>
      <c r="R23" s="9">
        <v>1.4999999999999999E-2</v>
      </c>
      <c r="S23" s="9">
        <f t="shared" si="10"/>
        <v>4.0000000000000001E-3</v>
      </c>
      <c r="T23" s="9" t="str">
        <f t="shared" si="11"/>
        <v>1/250</v>
      </c>
      <c r="U23" s="9" t="str">
        <f t="shared" si="17"/>
        <v>U80</v>
      </c>
      <c r="V23" s="9">
        <f t="shared" si="18"/>
        <v>0.3</v>
      </c>
      <c r="W23" s="9">
        <f t="shared" si="19"/>
        <v>0.37</v>
      </c>
      <c r="X23" s="9">
        <f t="shared" si="12"/>
        <v>0.26</v>
      </c>
      <c r="Y23" s="9">
        <f t="shared" si="20"/>
        <v>0.8</v>
      </c>
      <c r="Z23" s="9">
        <f t="shared" si="3"/>
        <v>1662.41</v>
      </c>
      <c r="AA23" s="9">
        <f t="shared" si="4"/>
        <v>1662.32</v>
      </c>
      <c r="AB23" s="14">
        <f t="shared" si="5"/>
        <v>1662.78</v>
      </c>
      <c r="AC23" s="12"/>
      <c r="AD23">
        <f t="shared" si="13"/>
        <v>9.0000000000145519E-2</v>
      </c>
    </row>
    <row r="24" spans="2:30">
      <c r="B24" t="s">
        <v>39</v>
      </c>
      <c r="C24">
        <v>1700</v>
      </c>
      <c r="D24">
        <v>1662.1569999999999</v>
      </c>
      <c r="E24">
        <f t="shared" si="0"/>
        <v>1662.16</v>
      </c>
      <c r="F24">
        <f t="shared" si="21"/>
        <v>1661.86</v>
      </c>
      <c r="G24">
        <f t="shared" si="6"/>
        <v>0.3000000000001819</v>
      </c>
      <c r="H24">
        <v>4.0000000000000001E-3</v>
      </c>
      <c r="J24" s="12"/>
      <c r="K24" s="10">
        <f t="shared" si="1"/>
        <v>1700</v>
      </c>
      <c r="L24" s="9">
        <f t="shared" si="2"/>
        <v>0.61</v>
      </c>
      <c r="M24" s="9">
        <f t="shared" si="7"/>
        <v>0.47</v>
      </c>
      <c r="N24" s="9">
        <f t="shared" si="8"/>
        <v>1.65</v>
      </c>
      <c r="O24" s="9">
        <f t="shared" si="9"/>
        <v>1.57</v>
      </c>
      <c r="P24" s="9">
        <f t="shared" si="15"/>
        <v>0.54</v>
      </c>
      <c r="Q24" s="9">
        <f t="shared" si="16"/>
        <v>0.46</v>
      </c>
      <c r="R24" s="9">
        <v>1.4999999999999999E-2</v>
      </c>
      <c r="S24" s="9">
        <f t="shared" si="10"/>
        <v>4.0000000000000001E-3</v>
      </c>
      <c r="T24" s="9" t="str">
        <f t="shared" si="11"/>
        <v>1/250</v>
      </c>
      <c r="U24" s="9" t="str">
        <f t="shared" si="17"/>
        <v>U80</v>
      </c>
      <c r="V24" s="9">
        <f t="shared" si="18"/>
        <v>0.3</v>
      </c>
      <c r="W24" s="9">
        <f t="shared" si="19"/>
        <v>0.37</v>
      </c>
      <c r="X24" s="9">
        <f t="shared" si="12"/>
        <v>0.26</v>
      </c>
      <c r="Y24" s="9">
        <f t="shared" si="20"/>
        <v>0.8</v>
      </c>
      <c r="Z24" s="9">
        <f t="shared" si="3"/>
        <v>1662.16</v>
      </c>
      <c r="AA24" s="9">
        <f t="shared" si="4"/>
        <v>1661.86</v>
      </c>
      <c r="AB24" s="14">
        <f t="shared" si="5"/>
        <v>1662.32</v>
      </c>
      <c r="AC24" s="12"/>
      <c r="AD24">
        <f t="shared" si="13"/>
        <v>0.3000000000001819</v>
      </c>
    </row>
    <row r="25" spans="2:30">
      <c r="B25" t="s">
        <v>40</v>
      </c>
      <c r="C25">
        <v>1800</v>
      </c>
      <c r="D25">
        <v>1661.6869999999999</v>
      </c>
      <c r="E25">
        <f t="shared" si="0"/>
        <v>1661.69</v>
      </c>
      <c r="F25">
        <f t="shared" si="21"/>
        <v>1661.4</v>
      </c>
      <c r="G25">
        <f t="shared" si="6"/>
        <v>0.28999999999996362</v>
      </c>
      <c r="H25">
        <v>4.0000000000000001E-3</v>
      </c>
      <c r="J25" s="12"/>
      <c r="K25" s="10">
        <f t="shared" si="1"/>
        <v>1800</v>
      </c>
      <c r="L25" s="9">
        <f t="shared" si="2"/>
        <v>0.61</v>
      </c>
      <c r="M25" s="9">
        <f t="shared" si="7"/>
        <v>0.47</v>
      </c>
      <c r="N25" s="9">
        <f t="shared" si="8"/>
        <v>1.65</v>
      </c>
      <c r="O25" s="9">
        <f t="shared" si="9"/>
        <v>1.57</v>
      </c>
      <c r="P25" s="9">
        <f t="shared" si="15"/>
        <v>0.54</v>
      </c>
      <c r="Q25" s="9">
        <f t="shared" si="16"/>
        <v>0.46</v>
      </c>
      <c r="R25" s="9">
        <v>1.4999999999999999E-2</v>
      </c>
      <c r="S25" s="9">
        <f t="shared" si="10"/>
        <v>4.0000000000000001E-3</v>
      </c>
      <c r="T25" s="9" t="str">
        <f t="shared" si="11"/>
        <v>1/250</v>
      </c>
      <c r="U25" s="9" t="str">
        <f t="shared" si="17"/>
        <v>U80</v>
      </c>
      <c r="V25" s="9">
        <f t="shared" si="18"/>
        <v>0.3</v>
      </c>
      <c r="W25" s="9">
        <f t="shared" si="19"/>
        <v>0.37</v>
      </c>
      <c r="X25" s="9">
        <f t="shared" si="12"/>
        <v>0.26</v>
      </c>
      <c r="Y25" s="9">
        <f t="shared" si="20"/>
        <v>0.8</v>
      </c>
      <c r="Z25" s="9">
        <f t="shared" si="3"/>
        <v>1661.69</v>
      </c>
      <c r="AA25" s="9">
        <f t="shared" si="4"/>
        <v>1661.4</v>
      </c>
      <c r="AB25" s="14">
        <f t="shared" si="5"/>
        <v>1661.8600000000001</v>
      </c>
      <c r="AC25" s="12"/>
      <c r="AD25">
        <f t="shared" si="13"/>
        <v>0.28999999999996362</v>
      </c>
    </row>
    <row r="26" spans="2:30">
      <c r="B26" t="s">
        <v>42</v>
      </c>
      <c r="C26">
        <v>1900</v>
      </c>
      <c r="D26">
        <v>1661.154</v>
      </c>
      <c r="E26">
        <f t="shared" si="0"/>
        <v>1661.15</v>
      </c>
      <c r="F26">
        <f t="shared" si="21"/>
        <v>1660.94</v>
      </c>
      <c r="G26">
        <f t="shared" si="6"/>
        <v>0.21000000000003638</v>
      </c>
      <c r="H26">
        <v>4.0000000000000001E-3</v>
      </c>
      <c r="J26" s="12"/>
      <c r="K26" s="10">
        <f t="shared" si="1"/>
        <v>1900</v>
      </c>
      <c r="L26" s="9">
        <f t="shared" si="2"/>
        <v>0.61</v>
      </c>
      <c r="M26" s="9">
        <f t="shared" si="7"/>
        <v>0.47</v>
      </c>
      <c r="N26" s="9">
        <f t="shared" si="8"/>
        <v>1.65</v>
      </c>
      <c r="O26" s="9">
        <f t="shared" si="9"/>
        <v>1.57</v>
      </c>
      <c r="P26" s="9">
        <f t="shared" si="15"/>
        <v>0.54</v>
      </c>
      <c r="Q26" s="9">
        <f t="shared" si="16"/>
        <v>0.46</v>
      </c>
      <c r="R26" s="9">
        <v>1.4999999999999999E-2</v>
      </c>
      <c r="S26" s="9">
        <f t="shared" si="10"/>
        <v>4.0000000000000001E-3</v>
      </c>
      <c r="T26" s="9" t="str">
        <f t="shared" si="11"/>
        <v>1/250</v>
      </c>
      <c r="U26" s="9" t="str">
        <f t="shared" si="17"/>
        <v>U80</v>
      </c>
      <c r="V26" s="9">
        <f t="shared" si="18"/>
        <v>0.3</v>
      </c>
      <c r="W26" s="9">
        <f t="shared" si="19"/>
        <v>0.37</v>
      </c>
      <c r="X26" s="9">
        <f t="shared" si="12"/>
        <v>0.26</v>
      </c>
      <c r="Y26" s="9">
        <f t="shared" si="20"/>
        <v>0.8</v>
      </c>
      <c r="Z26" s="9">
        <f t="shared" si="3"/>
        <v>1661.15</v>
      </c>
      <c r="AA26" s="9">
        <f t="shared" si="4"/>
        <v>1660.94</v>
      </c>
      <c r="AB26" s="14">
        <f t="shared" si="5"/>
        <v>1661.4</v>
      </c>
      <c r="AC26" s="12"/>
      <c r="AD26">
        <f t="shared" si="13"/>
        <v>0.21000000000003638</v>
      </c>
    </row>
    <row r="27" spans="2:30">
      <c r="B27" t="s">
        <v>44</v>
      </c>
      <c r="C27">
        <v>2000</v>
      </c>
      <c r="D27">
        <v>1660.5340000000001</v>
      </c>
      <c r="E27">
        <f t="shared" si="0"/>
        <v>1660.53</v>
      </c>
      <c r="F27">
        <f t="shared" si="21"/>
        <v>1660.48</v>
      </c>
      <c r="G27">
        <f t="shared" si="6"/>
        <v>4.9999999999954525E-2</v>
      </c>
      <c r="H27">
        <v>4.0000000000000001E-3</v>
      </c>
      <c r="J27" s="12"/>
      <c r="K27" s="10">
        <f t="shared" si="1"/>
        <v>2000</v>
      </c>
      <c r="L27" s="9">
        <f t="shared" si="2"/>
        <v>0.61</v>
      </c>
      <c r="M27" s="9">
        <f t="shared" si="7"/>
        <v>0.47</v>
      </c>
      <c r="N27" s="9">
        <f t="shared" si="8"/>
        <v>1.65</v>
      </c>
      <c r="O27" s="9">
        <f t="shared" si="9"/>
        <v>1.57</v>
      </c>
      <c r="P27" s="9">
        <f t="shared" si="15"/>
        <v>0.54</v>
      </c>
      <c r="Q27" s="9">
        <f t="shared" si="16"/>
        <v>0.46</v>
      </c>
      <c r="R27" s="9">
        <v>1.4999999999999999E-2</v>
      </c>
      <c r="S27" s="9">
        <f t="shared" si="10"/>
        <v>4.0000000000000001E-3</v>
      </c>
      <c r="T27" s="9" t="str">
        <f t="shared" si="11"/>
        <v>1/250</v>
      </c>
      <c r="U27" s="9" t="str">
        <f t="shared" si="17"/>
        <v>U80</v>
      </c>
      <c r="V27" s="9">
        <f t="shared" si="18"/>
        <v>0.3</v>
      </c>
      <c r="W27" s="9">
        <f t="shared" si="19"/>
        <v>0.37</v>
      </c>
      <c r="X27" s="9">
        <f t="shared" si="12"/>
        <v>0.26</v>
      </c>
      <c r="Y27" s="9">
        <f t="shared" si="20"/>
        <v>0.8</v>
      </c>
      <c r="Z27" s="9">
        <f t="shared" si="3"/>
        <v>1660.53</v>
      </c>
      <c r="AA27" s="9">
        <f t="shared" si="4"/>
        <v>1660.48</v>
      </c>
      <c r="AB27" s="14">
        <f t="shared" si="5"/>
        <v>1660.94</v>
      </c>
      <c r="AC27" s="12"/>
      <c r="AD27">
        <f t="shared" si="13"/>
        <v>4.9999999999954525E-2</v>
      </c>
    </row>
    <row r="28" spans="2:30">
      <c r="B28" t="s">
        <v>46</v>
      </c>
      <c r="C28">
        <v>2100</v>
      </c>
      <c r="D28">
        <v>1660.105</v>
      </c>
      <c r="E28">
        <f t="shared" si="0"/>
        <v>1660.11</v>
      </c>
      <c r="F28">
        <f t="shared" si="21"/>
        <v>1660.02</v>
      </c>
      <c r="G28">
        <f t="shared" si="6"/>
        <v>8.9999999999918145E-2</v>
      </c>
      <c r="H28">
        <v>4.0000000000000001E-3</v>
      </c>
      <c r="J28" s="12" t="s">
        <v>473</v>
      </c>
      <c r="K28" s="10">
        <f t="shared" si="1"/>
        <v>2100</v>
      </c>
      <c r="L28" s="9">
        <f t="shared" si="2"/>
        <v>0.61</v>
      </c>
      <c r="M28" s="9">
        <f t="shared" si="7"/>
        <v>0.47</v>
      </c>
      <c r="N28" s="9">
        <f t="shared" si="8"/>
        <v>1.65</v>
      </c>
      <c r="O28" s="9">
        <f t="shared" si="9"/>
        <v>1.57</v>
      </c>
      <c r="P28" s="9">
        <f t="shared" si="15"/>
        <v>0.54</v>
      </c>
      <c r="Q28" s="9">
        <f t="shared" si="16"/>
        <v>0.46</v>
      </c>
      <c r="R28" s="9">
        <v>1.4999999999999999E-2</v>
      </c>
      <c r="S28" s="9">
        <f t="shared" si="10"/>
        <v>4.0000000000000001E-3</v>
      </c>
      <c r="T28" s="9" t="str">
        <f t="shared" si="11"/>
        <v>1/250</v>
      </c>
      <c r="U28" s="9" t="str">
        <f t="shared" si="17"/>
        <v>U80</v>
      </c>
      <c r="V28" s="9">
        <f t="shared" si="18"/>
        <v>0.3</v>
      </c>
      <c r="W28" s="9">
        <f t="shared" si="19"/>
        <v>0.37</v>
      </c>
      <c r="X28" s="9">
        <f t="shared" si="12"/>
        <v>0.26</v>
      </c>
      <c r="Y28" s="9">
        <f t="shared" si="20"/>
        <v>0.8</v>
      </c>
      <c r="Z28" s="9">
        <f t="shared" si="3"/>
        <v>1660.11</v>
      </c>
      <c r="AA28" s="9">
        <f t="shared" si="4"/>
        <v>1660.02</v>
      </c>
      <c r="AB28" s="14">
        <f t="shared" si="5"/>
        <v>1660.48</v>
      </c>
      <c r="AC28" s="12"/>
      <c r="AD28">
        <f t="shared" si="13"/>
        <v>8.9999999999918145E-2</v>
      </c>
    </row>
    <row r="29" spans="2:30">
      <c r="B29" t="s">
        <v>49</v>
      </c>
      <c r="C29">
        <v>2200</v>
      </c>
      <c r="D29">
        <v>1659.4459999999999</v>
      </c>
      <c r="E29">
        <f t="shared" si="0"/>
        <v>1659.45</v>
      </c>
      <c r="F29">
        <f t="shared" si="21"/>
        <v>1659.56</v>
      </c>
      <c r="G29">
        <f t="shared" si="6"/>
        <v>-0.10999999999989996</v>
      </c>
      <c r="H29">
        <v>4.0000000000000001E-3</v>
      </c>
      <c r="J29" s="12"/>
      <c r="K29" s="10">
        <f t="shared" si="1"/>
        <v>2200</v>
      </c>
      <c r="L29" s="9">
        <f t="shared" si="2"/>
        <v>0.61</v>
      </c>
      <c r="M29" s="9">
        <f t="shared" si="7"/>
        <v>0.47</v>
      </c>
      <c r="N29" s="9">
        <f t="shared" si="8"/>
        <v>1.65</v>
      </c>
      <c r="O29" s="9">
        <f t="shared" si="9"/>
        <v>1.57</v>
      </c>
      <c r="P29" s="9">
        <f t="shared" si="15"/>
        <v>0.54</v>
      </c>
      <c r="Q29" s="9">
        <f t="shared" si="16"/>
        <v>0.46</v>
      </c>
      <c r="R29" s="9">
        <v>1.4999999999999999E-2</v>
      </c>
      <c r="S29" s="9">
        <f t="shared" si="10"/>
        <v>4.0000000000000001E-3</v>
      </c>
      <c r="T29" s="9" t="str">
        <f t="shared" si="11"/>
        <v>1/250</v>
      </c>
      <c r="U29" s="9" t="str">
        <f t="shared" si="17"/>
        <v>U80</v>
      </c>
      <c r="V29" s="9">
        <f t="shared" si="18"/>
        <v>0.3</v>
      </c>
      <c r="W29" s="9">
        <f t="shared" si="19"/>
        <v>0.37</v>
      </c>
      <c r="X29" s="9">
        <f t="shared" si="12"/>
        <v>0.26</v>
      </c>
      <c r="Y29" s="9">
        <f t="shared" si="20"/>
        <v>0.8</v>
      </c>
      <c r="Z29" s="9">
        <f t="shared" si="3"/>
        <v>1659.45</v>
      </c>
      <c r="AA29" s="9">
        <f t="shared" si="4"/>
        <v>1659.56</v>
      </c>
      <c r="AB29" s="14">
        <f t="shared" si="5"/>
        <v>1660.02</v>
      </c>
      <c r="AC29" s="12"/>
      <c r="AD29">
        <f t="shared" si="13"/>
        <v>-0.10999999999989996</v>
      </c>
    </row>
    <row r="30" spans="2:30">
      <c r="B30" t="s">
        <v>51</v>
      </c>
      <c r="C30">
        <v>2300</v>
      </c>
      <c r="D30">
        <v>1658.885</v>
      </c>
      <c r="E30">
        <f t="shared" si="0"/>
        <v>1658.89</v>
      </c>
      <c r="F30">
        <f t="shared" si="21"/>
        <v>1659.1</v>
      </c>
      <c r="G30">
        <f t="shared" si="6"/>
        <v>-0.20999999999980901</v>
      </c>
      <c r="H30">
        <v>4.0000000000000001E-3</v>
      </c>
      <c r="J30" s="12"/>
      <c r="K30" s="10">
        <f t="shared" si="1"/>
        <v>2300</v>
      </c>
      <c r="L30" s="9">
        <f t="shared" si="2"/>
        <v>0.61</v>
      </c>
      <c r="M30" s="9">
        <f t="shared" si="7"/>
        <v>0.47</v>
      </c>
      <c r="N30" s="9">
        <f t="shared" si="8"/>
        <v>1.65</v>
      </c>
      <c r="O30" s="9">
        <f t="shared" si="9"/>
        <v>1.57</v>
      </c>
      <c r="P30" s="9">
        <f t="shared" si="15"/>
        <v>0.54</v>
      </c>
      <c r="Q30" s="9">
        <f t="shared" si="16"/>
        <v>0.46</v>
      </c>
      <c r="R30" s="9">
        <v>1.4999999999999999E-2</v>
      </c>
      <c r="S30" s="9">
        <f t="shared" si="10"/>
        <v>4.0000000000000001E-3</v>
      </c>
      <c r="T30" s="9" t="str">
        <f t="shared" si="11"/>
        <v>1/250</v>
      </c>
      <c r="U30" s="9" t="str">
        <f t="shared" si="17"/>
        <v>U80</v>
      </c>
      <c r="V30" s="9">
        <f t="shared" si="18"/>
        <v>0.3</v>
      </c>
      <c r="W30" s="9">
        <f t="shared" si="19"/>
        <v>0.37</v>
      </c>
      <c r="X30" s="9">
        <f t="shared" si="12"/>
        <v>0.26</v>
      </c>
      <c r="Y30" s="9">
        <f t="shared" si="20"/>
        <v>0.8</v>
      </c>
      <c r="Z30" s="9">
        <f t="shared" si="3"/>
        <v>1658.89</v>
      </c>
      <c r="AA30" s="9">
        <f t="shared" si="4"/>
        <v>1659.1</v>
      </c>
      <c r="AB30" s="14">
        <f t="shared" si="5"/>
        <v>1659.56</v>
      </c>
      <c r="AC30" s="12"/>
      <c r="AD30">
        <f t="shared" si="13"/>
        <v>-0.20999999999980901</v>
      </c>
    </row>
    <row r="31" spans="2:30">
      <c r="B31" t="s">
        <v>57</v>
      </c>
      <c r="C31">
        <v>2400</v>
      </c>
      <c r="D31">
        <v>1658.81</v>
      </c>
      <c r="E31">
        <f t="shared" si="0"/>
        <v>1658.81</v>
      </c>
      <c r="F31">
        <f t="shared" si="21"/>
        <v>1658.64</v>
      </c>
      <c r="G31">
        <f t="shared" si="6"/>
        <v>0.16999999999984539</v>
      </c>
      <c r="H31">
        <v>4.0000000000000001E-3</v>
      </c>
      <c r="I31">
        <f>F21-F31</f>
        <v>4.5999999999999091</v>
      </c>
      <c r="J31" s="12"/>
      <c r="K31" s="10">
        <f t="shared" si="1"/>
        <v>2400</v>
      </c>
      <c r="L31" s="9">
        <f t="shared" si="2"/>
        <v>0.61</v>
      </c>
      <c r="M31" s="9">
        <f t="shared" si="7"/>
        <v>0.47</v>
      </c>
      <c r="N31" s="9">
        <f t="shared" si="8"/>
        <v>1.65</v>
      </c>
      <c r="O31" s="9">
        <f t="shared" si="9"/>
        <v>1.57</v>
      </c>
      <c r="P31" s="9">
        <f t="shared" si="15"/>
        <v>0.54</v>
      </c>
      <c r="Q31" s="9">
        <f t="shared" si="16"/>
        <v>0.46</v>
      </c>
      <c r="R31" s="9">
        <v>1.4999999999999999E-2</v>
      </c>
      <c r="S31" s="9">
        <f t="shared" si="10"/>
        <v>4.0000000000000001E-3</v>
      </c>
      <c r="T31" s="9" t="str">
        <f t="shared" si="11"/>
        <v>1/250</v>
      </c>
      <c r="U31" s="9" t="str">
        <f t="shared" si="17"/>
        <v>U80</v>
      </c>
      <c r="V31" s="9">
        <f t="shared" si="18"/>
        <v>0.3</v>
      </c>
      <c r="W31" s="9">
        <f t="shared" si="19"/>
        <v>0.37</v>
      </c>
      <c r="X31" s="9">
        <f t="shared" si="12"/>
        <v>0.26</v>
      </c>
      <c r="Y31" s="9">
        <f t="shared" si="20"/>
        <v>0.8</v>
      </c>
      <c r="Z31" s="9">
        <f t="shared" si="3"/>
        <v>1658.81</v>
      </c>
      <c r="AA31" s="9">
        <f t="shared" si="4"/>
        <v>1658.64</v>
      </c>
      <c r="AB31" s="14">
        <f t="shared" si="5"/>
        <v>1659.1000000000001</v>
      </c>
      <c r="AC31" s="12"/>
      <c r="AD31">
        <f t="shared" si="13"/>
        <v>0.16999999999984539</v>
      </c>
    </row>
    <row r="32" spans="2:30">
      <c r="B32" t="s">
        <v>59</v>
      </c>
      <c r="C32">
        <v>2500</v>
      </c>
      <c r="D32">
        <v>1658.617</v>
      </c>
      <c r="E32">
        <f t="shared" si="0"/>
        <v>1658.62</v>
      </c>
      <c r="F32">
        <f t="shared" si="14"/>
        <v>1658.24</v>
      </c>
      <c r="G32">
        <f t="shared" si="6"/>
        <v>0.37999999999988177</v>
      </c>
      <c r="H32">
        <v>4.0000000000000001E-3</v>
      </c>
      <c r="I32">
        <f>I31/(C31-C21)</f>
        <v>4.5999999999999088E-3</v>
      </c>
      <c r="J32" s="12"/>
      <c r="K32" s="10">
        <f t="shared" si="1"/>
        <v>2500</v>
      </c>
      <c r="L32" s="9">
        <f t="shared" si="2"/>
        <v>0.61</v>
      </c>
      <c r="M32" s="9">
        <f t="shared" si="7"/>
        <v>0.47</v>
      </c>
      <c r="N32" s="9">
        <f t="shared" si="8"/>
        <v>1.65</v>
      </c>
      <c r="O32" s="9">
        <f t="shared" si="9"/>
        <v>1.57</v>
      </c>
      <c r="P32" s="9">
        <f t="shared" si="15"/>
        <v>0.54</v>
      </c>
      <c r="Q32" s="9">
        <f t="shared" si="16"/>
        <v>0.46</v>
      </c>
      <c r="R32" s="9">
        <v>1.4999999999999999E-2</v>
      </c>
      <c r="S32" s="9">
        <f t="shared" si="10"/>
        <v>4.0000000000000001E-3</v>
      </c>
      <c r="T32" s="9" t="str">
        <f t="shared" si="11"/>
        <v>1/250</v>
      </c>
      <c r="U32" s="9" t="str">
        <f t="shared" si="17"/>
        <v>U80</v>
      </c>
      <c r="V32" s="9">
        <f t="shared" si="18"/>
        <v>0.3</v>
      </c>
      <c r="W32" s="9">
        <f t="shared" si="19"/>
        <v>0.37</v>
      </c>
      <c r="X32" s="9">
        <f t="shared" si="12"/>
        <v>0.26</v>
      </c>
      <c r="Y32" s="9">
        <f t="shared" si="20"/>
        <v>0.8</v>
      </c>
      <c r="Z32" s="9">
        <f t="shared" si="3"/>
        <v>1658.62</v>
      </c>
      <c r="AA32" s="9">
        <f t="shared" si="4"/>
        <v>1658.24</v>
      </c>
      <c r="AB32" s="14">
        <f t="shared" si="5"/>
        <v>1658.7</v>
      </c>
      <c r="AC32" s="12"/>
      <c r="AD32">
        <f t="shared" si="13"/>
        <v>0.37999999999988177</v>
      </c>
    </row>
    <row r="33" spans="2:30">
      <c r="B33" t="s">
        <v>62</v>
      </c>
      <c r="C33">
        <v>2600</v>
      </c>
      <c r="D33">
        <v>1658.0419999999999</v>
      </c>
      <c r="E33">
        <f t="shared" si="0"/>
        <v>1658.04</v>
      </c>
      <c r="F33">
        <f t="shared" si="14"/>
        <v>1657.84</v>
      </c>
      <c r="G33">
        <f t="shared" si="6"/>
        <v>0.20000000000004547</v>
      </c>
      <c r="H33">
        <v>4.0000000000000001E-3</v>
      </c>
      <c r="J33" s="12"/>
      <c r="K33" s="10">
        <f t="shared" si="1"/>
        <v>2600</v>
      </c>
      <c r="L33" s="9">
        <f t="shared" si="2"/>
        <v>0.61</v>
      </c>
      <c r="M33" s="9">
        <f t="shared" si="7"/>
        <v>0.47</v>
      </c>
      <c r="N33" s="9">
        <f t="shared" si="8"/>
        <v>1.65</v>
      </c>
      <c r="O33" s="9">
        <f t="shared" si="9"/>
        <v>1.57</v>
      </c>
      <c r="P33" s="9">
        <f t="shared" si="15"/>
        <v>0.54</v>
      </c>
      <c r="Q33" s="9">
        <f t="shared" si="16"/>
        <v>0.46</v>
      </c>
      <c r="R33" s="9">
        <v>1.4999999999999999E-2</v>
      </c>
      <c r="S33" s="9">
        <f t="shared" si="10"/>
        <v>4.0000000000000001E-3</v>
      </c>
      <c r="T33" s="9" t="str">
        <f t="shared" si="11"/>
        <v>1/250</v>
      </c>
      <c r="U33" s="9" t="str">
        <f t="shared" si="17"/>
        <v>U80</v>
      </c>
      <c r="V33" s="9">
        <f t="shared" si="18"/>
        <v>0.3</v>
      </c>
      <c r="W33" s="9">
        <f t="shared" si="19"/>
        <v>0.37</v>
      </c>
      <c r="X33" s="9">
        <f t="shared" si="12"/>
        <v>0.26</v>
      </c>
      <c r="Y33" s="9">
        <f t="shared" si="20"/>
        <v>0.8</v>
      </c>
      <c r="Z33" s="9">
        <f t="shared" si="3"/>
        <v>1658.04</v>
      </c>
      <c r="AA33" s="9">
        <f t="shared" si="4"/>
        <v>1657.84</v>
      </c>
      <c r="AB33" s="14">
        <f t="shared" si="5"/>
        <v>1658.3</v>
      </c>
      <c r="AC33" s="12"/>
      <c r="AD33">
        <f t="shared" si="13"/>
        <v>0.20000000000004547</v>
      </c>
    </row>
    <row r="34" spans="2:30">
      <c r="B34" t="s">
        <v>64</v>
      </c>
      <c r="C34">
        <v>2700</v>
      </c>
      <c r="D34">
        <v>1657.7660000000001</v>
      </c>
      <c r="E34">
        <f t="shared" si="0"/>
        <v>1657.77</v>
      </c>
      <c r="F34">
        <f t="shared" si="14"/>
        <v>1657.44</v>
      </c>
      <c r="G34">
        <f t="shared" si="6"/>
        <v>0.32999999999992724</v>
      </c>
      <c r="H34">
        <v>4.0000000000000001E-3</v>
      </c>
      <c r="J34" s="12" t="s">
        <v>474</v>
      </c>
      <c r="K34" s="10">
        <f t="shared" si="1"/>
        <v>2700</v>
      </c>
      <c r="L34" s="9">
        <f t="shared" si="2"/>
        <v>0.61</v>
      </c>
      <c r="M34" s="9">
        <f>M33</f>
        <v>0.47</v>
      </c>
      <c r="N34" s="9">
        <f t="shared" si="8"/>
        <v>1.65</v>
      </c>
      <c r="O34" s="9">
        <f t="shared" si="9"/>
        <v>1.57</v>
      </c>
      <c r="P34" s="9">
        <f t="shared" si="15"/>
        <v>0.54</v>
      </c>
      <c r="Q34" s="9">
        <f t="shared" si="16"/>
        <v>0.46</v>
      </c>
      <c r="R34" s="9">
        <v>1.4999999999999999E-2</v>
      </c>
      <c r="S34" s="9">
        <f t="shared" si="10"/>
        <v>4.0000000000000001E-3</v>
      </c>
      <c r="T34" s="9" t="str">
        <f t="shared" si="11"/>
        <v>1/250</v>
      </c>
      <c r="U34" s="9" t="str">
        <f t="shared" si="17"/>
        <v>U80</v>
      </c>
      <c r="V34" s="9">
        <f t="shared" si="18"/>
        <v>0.3</v>
      </c>
      <c r="W34" s="9">
        <f t="shared" si="19"/>
        <v>0.37</v>
      </c>
      <c r="X34" s="9">
        <f t="shared" si="12"/>
        <v>0.26</v>
      </c>
      <c r="Y34" s="9">
        <f t="shared" si="20"/>
        <v>0.8</v>
      </c>
      <c r="Z34" s="9">
        <f t="shared" si="3"/>
        <v>1657.77</v>
      </c>
      <c r="AA34" s="9">
        <f t="shared" si="4"/>
        <v>1657.44</v>
      </c>
      <c r="AB34" s="14">
        <f t="shared" si="5"/>
        <v>1657.9</v>
      </c>
      <c r="AC34" s="12"/>
      <c r="AD34">
        <f t="shared" si="13"/>
        <v>0.32999999999992724</v>
      </c>
    </row>
    <row r="35" spans="2:30">
      <c r="B35" t="s">
        <v>66</v>
      </c>
      <c r="C35">
        <v>2800</v>
      </c>
      <c r="D35">
        <v>1657.4090000000001</v>
      </c>
      <c r="E35">
        <f t="shared" si="0"/>
        <v>1657.41</v>
      </c>
      <c r="F35">
        <f t="shared" si="14"/>
        <v>1657.04</v>
      </c>
      <c r="G35">
        <f t="shared" si="6"/>
        <v>0.37000000000011823</v>
      </c>
      <c r="H35">
        <v>2.2000000000000001E-3</v>
      </c>
      <c r="J35" s="12"/>
      <c r="K35" s="10">
        <f t="shared" si="1"/>
        <v>2800</v>
      </c>
      <c r="L35" s="9">
        <f t="shared" si="2"/>
        <v>0.46</v>
      </c>
      <c r="M35" s="9">
        <v>0.35</v>
      </c>
      <c r="N35" s="9">
        <f t="shared" si="8"/>
        <v>1.31</v>
      </c>
      <c r="O35" s="9">
        <f t="shared" si="9"/>
        <v>1.21</v>
      </c>
      <c r="P35" s="9">
        <v>0.51</v>
      </c>
      <c r="Q35" s="9">
        <v>0.44</v>
      </c>
      <c r="R35" s="9">
        <v>1.4999999999999999E-2</v>
      </c>
      <c r="S35" s="9">
        <f t="shared" si="10"/>
        <v>2.2000000000000001E-3</v>
      </c>
      <c r="T35" s="9" t="str">
        <f t="shared" si="11"/>
        <v>1/455</v>
      </c>
      <c r="U35" s="9" t="str">
        <f t="shared" si="17"/>
        <v>U80</v>
      </c>
      <c r="V35" s="9">
        <v>0.28999999999999998</v>
      </c>
      <c r="W35" s="9">
        <v>0.35</v>
      </c>
      <c r="X35" s="9">
        <f t="shared" si="12"/>
        <v>0.29000000000000004</v>
      </c>
      <c r="Y35" s="9">
        <f t="shared" si="20"/>
        <v>0.8</v>
      </c>
      <c r="Z35" s="9">
        <f t="shared" si="3"/>
        <v>1657.41</v>
      </c>
      <c r="AA35" s="9">
        <f t="shared" si="4"/>
        <v>1657.04</v>
      </c>
      <c r="AB35" s="14">
        <f t="shared" si="5"/>
        <v>1657.48</v>
      </c>
      <c r="AC35" s="12"/>
      <c r="AD35">
        <f t="shared" si="13"/>
        <v>0.37000000000011823</v>
      </c>
    </row>
    <row r="36" spans="2:30">
      <c r="B36" t="s">
        <v>71</v>
      </c>
      <c r="C36">
        <v>2900</v>
      </c>
      <c r="D36">
        <v>1656.9580000000001</v>
      </c>
      <c r="E36">
        <f t="shared" si="0"/>
        <v>1656.96</v>
      </c>
      <c r="F36">
        <f t="shared" si="14"/>
        <v>1656.82</v>
      </c>
      <c r="G36">
        <f t="shared" si="6"/>
        <v>0.14000000000010004</v>
      </c>
      <c r="H36">
        <v>2.2000000000000001E-3</v>
      </c>
      <c r="J36" s="12"/>
      <c r="K36" s="10">
        <f t="shared" si="1"/>
        <v>2900</v>
      </c>
      <c r="L36" s="9">
        <f t="shared" si="2"/>
        <v>0.46</v>
      </c>
      <c r="M36" s="9">
        <f>M35</f>
        <v>0.35</v>
      </c>
      <c r="N36" s="9">
        <f t="shared" si="8"/>
        <v>1.31</v>
      </c>
      <c r="O36" s="9">
        <f t="shared" si="9"/>
        <v>1.21</v>
      </c>
      <c r="P36" s="9">
        <f>P35</f>
        <v>0.51</v>
      </c>
      <c r="Q36" s="9">
        <f>Q35</f>
        <v>0.44</v>
      </c>
      <c r="R36" s="9">
        <v>1.4999999999999999E-2</v>
      </c>
      <c r="S36" s="9">
        <f t="shared" si="10"/>
        <v>2.2000000000000001E-3</v>
      </c>
      <c r="T36" s="9" t="str">
        <f t="shared" si="11"/>
        <v>1/455</v>
      </c>
      <c r="U36" s="9" t="str">
        <f t="shared" si="17"/>
        <v>U80</v>
      </c>
      <c r="V36" s="9">
        <f>V35</f>
        <v>0.28999999999999998</v>
      </c>
      <c r="W36" s="9">
        <f>W35</f>
        <v>0.35</v>
      </c>
      <c r="X36" s="9">
        <f t="shared" si="12"/>
        <v>0.29000000000000004</v>
      </c>
      <c r="Y36" s="9">
        <f t="shared" si="20"/>
        <v>0.8</v>
      </c>
      <c r="Z36" s="9">
        <f t="shared" ref="Z36:Z75" si="22">E36</f>
        <v>1656.96</v>
      </c>
      <c r="AA36" s="9">
        <f t="shared" ref="AA36:AA75" si="23">F36</f>
        <v>1656.82</v>
      </c>
      <c r="AB36" s="14">
        <f t="shared" ref="AB36:AB75" si="24">AA36+Q36</f>
        <v>1657.26</v>
      </c>
      <c r="AC36" s="12"/>
      <c r="AD36">
        <f t="shared" si="13"/>
        <v>0.14000000000010004</v>
      </c>
    </row>
    <row r="37" spans="2:30">
      <c r="B37" t="s">
        <v>73</v>
      </c>
      <c r="C37">
        <v>3000</v>
      </c>
      <c r="D37">
        <v>1657.1010000000001</v>
      </c>
      <c r="E37">
        <f t="shared" si="0"/>
        <v>1657.1</v>
      </c>
      <c r="F37">
        <f t="shared" si="14"/>
        <v>1656.6</v>
      </c>
      <c r="G37">
        <f t="shared" si="6"/>
        <v>0.5</v>
      </c>
      <c r="H37">
        <v>2.2000000000000001E-3</v>
      </c>
      <c r="J37" s="12"/>
      <c r="K37" s="10">
        <f t="shared" si="1"/>
        <v>3000</v>
      </c>
      <c r="L37" s="9">
        <f t="shared" si="2"/>
        <v>0.46</v>
      </c>
      <c r="M37" s="9">
        <f t="shared" ref="M37:M76" si="25">M36</f>
        <v>0.35</v>
      </c>
      <c r="N37" s="9">
        <f t="shared" si="8"/>
        <v>1.31</v>
      </c>
      <c r="O37" s="9">
        <f t="shared" si="9"/>
        <v>1.21</v>
      </c>
      <c r="P37" s="9">
        <f t="shared" ref="P37:P50" si="26">P36</f>
        <v>0.51</v>
      </c>
      <c r="Q37" s="9">
        <f t="shared" ref="Q37:Q50" si="27">Q36</f>
        <v>0.44</v>
      </c>
      <c r="R37" s="9">
        <v>1.4999999999999999E-2</v>
      </c>
      <c r="S37" s="9">
        <f t="shared" si="10"/>
        <v>2.2000000000000001E-3</v>
      </c>
      <c r="T37" s="9" t="str">
        <f t="shared" si="11"/>
        <v>1/455</v>
      </c>
      <c r="U37" s="9" t="str">
        <f t="shared" si="17"/>
        <v>U80</v>
      </c>
      <c r="V37" s="9">
        <f t="shared" ref="V37:V50" si="28">V36</f>
        <v>0.28999999999999998</v>
      </c>
      <c r="W37" s="9">
        <f t="shared" ref="W37:W50" si="29">W36</f>
        <v>0.35</v>
      </c>
      <c r="X37" s="9">
        <f t="shared" si="12"/>
        <v>0.29000000000000004</v>
      </c>
      <c r="Y37" s="9">
        <f t="shared" si="20"/>
        <v>0.8</v>
      </c>
      <c r="Z37" s="9">
        <f t="shared" si="22"/>
        <v>1657.1</v>
      </c>
      <c r="AA37" s="9">
        <f t="shared" si="23"/>
        <v>1656.6</v>
      </c>
      <c r="AB37" s="14">
        <f t="shared" si="24"/>
        <v>1657.04</v>
      </c>
      <c r="AC37" s="12"/>
      <c r="AD37">
        <f t="shared" si="13"/>
        <v>0.5</v>
      </c>
    </row>
    <row r="38" spans="2:30">
      <c r="B38" t="s">
        <v>75</v>
      </c>
      <c r="C38">
        <v>3100</v>
      </c>
      <c r="D38">
        <v>1656.5820000000001</v>
      </c>
      <c r="E38">
        <f t="shared" si="0"/>
        <v>1656.58</v>
      </c>
      <c r="F38">
        <f t="shared" si="14"/>
        <v>1656.38</v>
      </c>
      <c r="G38">
        <f t="shared" si="6"/>
        <v>0.1999999999998181</v>
      </c>
      <c r="H38">
        <v>2.2000000000000001E-3</v>
      </c>
      <c r="J38" s="12"/>
      <c r="K38" s="10">
        <f t="shared" si="1"/>
        <v>3100</v>
      </c>
      <c r="L38" s="9">
        <f t="shared" si="2"/>
        <v>0.46</v>
      </c>
      <c r="M38" s="9">
        <f t="shared" si="25"/>
        <v>0.35</v>
      </c>
      <c r="N38" s="9">
        <f t="shared" si="8"/>
        <v>1.31</v>
      </c>
      <c r="O38" s="9">
        <f t="shared" si="9"/>
        <v>1.21</v>
      </c>
      <c r="P38" s="9">
        <f t="shared" si="26"/>
        <v>0.51</v>
      </c>
      <c r="Q38" s="9">
        <f t="shared" si="27"/>
        <v>0.44</v>
      </c>
      <c r="R38" s="9">
        <v>1.4999999999999999E-2</v>
      </c>
      <c r="S38" s="9">
        <f t="shared" si="10"/>
        <v>2.2000000000000001E-3</v>
      </c>
      <c r="T38" s="9" t="str">
        <f t="shared" si="11"/>
        <v>1/455</v>
      </c>
      <c r="U38" s="9" t="str">
        <f t="shared" si="17"/>
        <v>U80</v>
      </c>
      <c r="V38" s="9">
        <f t="shared" si="28"/>
        <v>0.28999999999999998</v>
      </c>
      <c r="W38" s="9">
        <f t="shared" si="29"/>
        <v>0.35</v>
      </c>
      <c r="X38" s="9">
        <f t="shared" si="12"/>
        <v>0.29000000000000004</v>
      </c>
      <c r="Y38" s="9">
        <f t="shared" si="20"/>
        <v>0.8</v>
      </c>
      <c r="Z38" s="9">
        <f t="shared" si="22"/>
        <v>1656.58</v>
      </c>
      <c r="AA38" s="9">
        <f t="shared" si="23"/>
        <v>1656.38</v>
      </c>
      <c r="AB38" s="14">
        <f t="shared" si="24"/>
        <v>1656.8200000000002</v>
      </c>
      <c r="AC38" s="12"/>
      <c r="AD38">
        <f t="shared" si="13"/>
        <v>0.1999999999998181</v>
      </c>
    </row>
    <row r="39" spans="2:30">
      <c r="B39" t="s">
        <v>78</v>
      </c>
      <c r="C39">
        <v>3200</v>
      </c>
      <c r="D39">
        <v>1656.4559999999999</v>
      </c>
      <c r="E39">
        <f t="shared" si="0"/>
        <v>1656.46</v>
      </c>
      <c r="F39">
        <f t="shared" si="14"/>
        <v>1656.16</v>
      </c>
      <c r="G39">
        <f t="shared" si="6"/>
        <v>0.29999999999995453</v>
      </c>
      <c r="H39">
        <v>2.2000000000000001E-3</v>
      </c>
      <c r="J39" s="12"/>
      <c r="K39" s="10">
        <f t="shared" si="1"/>
        <v>3200</v>
      </c>
      <c r="L39" s="9">
        <f t="shared" si="2"/>
        <v>0.46</v>
      </c>
      <c r="M39" s="9">
        <f t="shared" si="25"/>
        <v>0.35</v>
      </c>
      <c r="N39" s="9">
        <f t="shared" si="8"/>
        <v>1.31</v>
      </c>
      <c r="O39" s="9">
        <f t="shared" si="9"/>
        <v>1.21</v>
      </c>
      <c r="P39" s="9">
        <f t="shared" si="26"/>
        <v>0.51</v>
      </c>
      <c r="Q39" s="9">
        <f t="shared" si="27"/>
        <v>0.44</v>
      </c>
      <c r="R39" s="9">
        <v>1.4999999999999999E-2</v>
      </c>
      <c r="S39" s="9">
        <f t="shared" si="10"/>
        <v>2.2000000000000001E-3</v>
      </c>
      <c r="T39" s="9" t="str">
        <f t="shared" si="11"/>
        <v>1/455</v>
      </c>
      <c r="U39" s="9" t="str">
        <f t="shared" si="17"/>
        <v>U80</v>
      </c>
      <c r="V39" s="9">
        <f t="shared" si="28"/>
        <v>0.28999999999999998</v>
      </c>
      <c r="W39" s="9">
        <f t="shared" si="29"/>
        <v>0.35</v>
      </c>
      <c r="X39" s="9">
        <f t="shared" si="12"/>
        <v>0.29000000000000004</v>
      </c>
      <c r="Y39" s="9">
        <f t="shared" si="20"/>
        <v>0.8</v>
      </c>
      <c r="Z39" s="9">
        <f t="shared" si="22"/>
        <v>1656.46</v>
      </c>
      <c r="AA39" s="9">
        <f t="shared" si="23"/>
        <v>1656.16</v>
      </c>
      <c r="AB39" s="14">
        <f t="shared" si="24"/>
        <v>1656.6000000000001</v>
      </c>
      <c r="AC39" s="12"/>
      <c r="AD39">
        <f t="shared" si="13"/>
        <v>0.29999999999995453</v>
      </c>
    </row>
    <row r="40" spans="2:30">
      <c r="B40" t="s">
        <v>80</v>
      </c>
      <c r="C40">
        <v>3300</v>
      </c>
      <c r="D40">
        <v>1656.1369999999999</v>
      </c>
      <c r="E40">
        <f t="shared" si="0"/>
        <v>1656.14</v>
      </c>
      <c r="F40">
        <f t="shared" si="14"/>
        <v>1655.94</v>
      </c>
      <c r="G40">
        <f t="shared" si="6"/>
        <v>0.20000000000004547</v>
      </c>
      <c r="H40">
        <v>2.2000000000000001E-3</v>
      </c>
      <c r="J40" s="12"/>
      <c r="K40" s="10">
        <f t="shared" si="1"/>
        <v>3300</v>
      </c>
      <c r="L40" s="9">
        <f t="shared" si="2"/>
        <v>0.46</v>
      </c>
      <c r="M40" s="9">
        <f t="shared" si="25"/>
        <v>0.35</v>
      </c>
      <c r="N40" s="9">
        <f t="shared" si="8"/>
        <v>1.31</v>
      </c>
      <c r="O40" s="9">
        <f t="shared" si="9"/>
        <v>1.21</v>
      </c>
      <c r="P40" s="9">
        <f t="shared" si="26"/>
        <v>0.51</v>
      </c>
      <c r="Q40" s="9">
        <f t="shared" si="27"/>
        <v>0.44</v>
      </c>
      <c r="R40" s="9">
        <v>1.4999999999999999E-2</v>
      </c>
      <c r="S40" s="9">
        <f t="shared" si="10"/>
        <v>2.2000000000000001E-3</v>
      </c>
      <c r="T40" s="9" t="str">
        <f t="shared" si="11"/>
        <v>1/455</v>
      </c>
      <c r="U40" s="9" t="str">
        <f t="shared" si="17"/>
        <v>U80</v>
      </c>
      <c r="V40" s="9">
        <f t="shared" si="28"/>
        <v>0.28999999999999998</v>
      </c>
      <c r="W40" s="9">
        <f t="shared" si="29"/>
        <v>0.35</v>
      </c>
      <c r="X40" s="9">
        <f t="shared" si="12"/>
        <v>0.29000000000000004</v>
      </c>
      <c r="Y40" s="9">
        <f t="shared" si="20"/>
        <v>0.8</v>
      </c>
      <c r="Z40" s="9">
        <f t="shared" si="22"/>
        <v>1656.14</v>
      </c>
      <c r="AA40" s="9">
        <f t="shared" si="23"/>
        <v>1655.94</v>
      </c>
      <c r="AB40" s="14">
        <f t="shared" si="24"/>
        <v>1656.38</v>
      </c>
      <c r="AC40" s="12"/>
      <c r="AD40">
        <f t="shared" si="13"/>
        <v>0.20000000000004547</v>
      </c>
    </row>
    <row r="41" spans="2:30">
      <c r="B41" t="s">
        <v>82</v>
      </c>
      <c r="C41">
        <v>3400</v>
      </c>
      <c r="D41">
        <v>1656.049</v>
      </c>
      <c r="E41">
        <f t="shared" si="0"/>
        <v>1656.05</v>
      </c>
      <c r="F41">
        <f t="shared" si="14"/>
        <v>1655.72</v>
      </c>
      <c r="G41">
        <f t="shared" si="6"/>
        <v>0.32999999999992724</v>
      </c>
      <c r="H41">
        <v>2.2000000000000001E-3</v>
      </c>
      <c r="J41" s="12"/>
      <c r="K41" s="10">
        <f t="shared" si="1"/>
        <v>3400</v>
      </c>
      <c r="L41" s="9">
        <f t="shared" si="2"/>
        <v>0.46</v>
      </c>
      <c r="M41" s="9">
        <f t="shared" si="25"/>
        <v>0.35</v>
      </c>
      <c r="N41" s="9">
        <f t="shared" si="8"/>
        <v>1.31</v>
      </c>
      <c r="O41" s="9">
        <f t="shared" si="9"/>
        <v>1.21</v>
      </c>
      <c r="P41" s="9">
        <f t="shared" si="26"/>
        <v>0.51</v>
      </c>
      <c r="Q41" s="9">
        <f t="shared" si="27"/>
        <v>0.44</v>
      </c>
      <c r="R41" s="9">
        <v>1.4999999999999999E-2</v>
      </c>
      <c r="S41" s="9">
        <f t="shared" si="10"/>
        <v>2.2000000000000001E-3</v>
      </c>
      <c r="T41" s="9" t="str">
        <f t="shared" si="11"/>
        <v>1/455</v>
      </c>
      <c r="U41" s="9" t="str">
        <f t="shared" si="17"/>
        <v>U80</v>
      </c>
      <c r="V41" s="9">
        <f t="shared" si="28"/>
        <v>0.28999999999999998</v>
      </c>
      <c r="W41" s="9">
        <f t="shared" si="29"/>
        <v>0.35</v>
      </c>
      <c r="X41" s="9">
        <f t="shared" si="12"/>
        <v>0.29000000000000004</v>
      </c>
      <c r="Y41" s="9">
        <f t="shared" si="20"/>
        <v>0.8</v>
      </c>
      <c r="Z41" s="9">
        <f t="shared" si="22"/>
        <v>1656.05</v>
      </c>
      <c r="AA41" s="9">
        <f t="shared" si="23"/>
        <v>1655.72</v>
      </c>
      <c r="AB41" s="14">
        <f t="shared" si="24"/>
        <v>1656.16</v>
      </c>
      <c r="AC41" s="12"/>
      <c r="AD41">
        <f t="shared" si="13"/>
        <v>0.32999999999992724</v>
      </c>
    </row>
    <row r="42" spans="2:30">
      <c r="B42" t="s">
        <v>86</v>
      </c>
      <c r="C42">
        <v>3500</v>
      </c>
      <c r="D42">
        <v>1656.2090000000001</v>
      </c>
      <c r="E42">
        <f t="shared" si="0"/>
        <v>1656.21</v>
      </c>
      <c r="F42">
        <f t="shared" si="14"/>
        <v>1655.5</v>
      </c>
      <c r="G42">
        <f t="shared" si="6"/>
        <v>0.71000000000003638</v>
      </c>
      <c r="H42">
        <v>2.2000000000000001E-3</v>
      </c>
      <c r="J42" s="12" t="s">
        <v>475</v>
      </c>
      <c r="K42" s="10">
        <f t="shared" si="1"/>
        <v>3500</v>
      </c>
      <c r="L42" s="9">
        <f t="shared" si="2"/>
        <v>0.46</v>
      </c>
      <c r="M42" s="9">
        <f t="shared" si="25"/>
        <v>0.35</v>
      </c>
      <c r="N42" s="9">
        <f t="shared" si="8"/>
        <v>1.31</v>
      </c>
      <c r="O42" s="9">
        <f t="shared" si="9"/>
        <v>1.21</v>
      </c>
      <c r="P42" s="9">
        <f t="shared" si="26"/>
        <v>0.51</v>
      </c>
      <c r="Q42" s="9">
        <f t="shared" si="27"/>
        <v>0.44</v>
      </c>
      <c r="R42" s="9">
        <v>1.4999999999999999E-2</v>
      </c>
      <c r="S42" s="9">
        <f t="shared" si="10"/>
        <v>2.2000000000000001E-3</v>
      </c>
      <c r="T42" s="9" t="str">
        <f t="shared" si="11"/>
        <v>1/455</v>
      </c>
      <c r="U42" s="9" t="str">
        <f t="shared" si="17"/>
        <v>U80</v>
      </c>
      <c r="V42" s="9">
        <f t="shared" si="28"/>
        <v>0.28999999999999998</v>
      </c>
      <c r="W42" s="9">
        <f t="shared" si="29"/>
        <v>0.35</v>
      </c>
      <c r="X42" s="9">
        <f t="shared" si="12"/>
        <v>0.29000000000000004</v>
      </c>
      <c r="Y42" s="9">
        <f t="shared" si="20"/>
        <v>0.8</v>
      </c>
      <c r="Z42" s="9">
        <f t="shared" si="22"/>
        <v>1656.21</v>
      </c>
      <c r="AA42" s="9">
        <f t="shared" si="23"/>
        <v>1655.5</v>
      </c>
      <c r="AB42" s="14">
        <f t="shared" si="24"/>
        <v>1655.94</v>
      </c>
      <c r="AC42" s="12"/>
      <c r="AD42">
        <f t="shared" si="13"/>
        <v>0.71000000000003638</v>
      </c>
    </row>
    <row r="43" spans="2:30">
      <c r="B43" t="s">
        <v>88</v>
      </c>
      <c r="C43">
        <v>3600</v>
      </c>
      <c r="D43">
        <v>1656.046</v>
      </c>
      <c r="E43">
        <f t="shared" si="0"/>
        <v>1656.05</v>
      </c>
      <c r="F43">
        <f t="shared" si="14"/>
        <v>1655.28</v>
      </c>
      <c r="G43">
        <f t="shared" si="6"/>
        <v>0.76999999999998181</v>
      </c>
      <c r="H43">
        <v>2.2000000000000001E-3</v>
      </c>
      <c r="J43" s="12"/>
      <c r="K43" s="10">
        <f t="shared" si="1"/>
        <v>3600</v>
      </c>
      <c r="L43" s="9">
        <f t="shared" si="2"/>
        <v>0.46</v>
      </c>
      <c r="M43" s="9">
        <f t="shared" si="25"/>
        <v>0.35</v>
      </c>
      <c r="N43" s="9">
        <f t="shared" si="8"/>
        <v>1.31</v>
      </c>
      <c r="O43" s="9">
        <f t="shared" si="9"/>
        <v>1.21</v>
      </c>
      <c r="P43" s="9">
        <f t="shared" si="26"/>
        <v>0.51</v>
      </c>
      <c r="Q43" s="9">
        <f t="shared" si="27"/>
        <v>0.44</v>
      </c>
      <c r="R43" s="9">
        <v>1.4999999999999999E-2</v>
      </c>
      <c r="S43" s="9">
        <f t="shared" si="10"/>
        <v>2.2000000000000001E-3</v>
      </c>
      <c r="T43" s="9" t="str">
        <f t="shared" si="11"/>
        <v>1/455</v>
      </c>
      <c r="U43" s="9" t="str">
        <f t="shared" si="17"/>
        <v>U80</v>
      </c>
      <c r="V43" s="9">
        <f t="shared" si="28"/>
        <v>0.28999999999999998</v>
      </c>
      <c r="W43" s="9">
        <f t="shared" si="29"/>
        <v>0.35</v>
      </c>
      <c r="X43" s="9">
        <f t="shared" si="12"/>
        <v>0.29000000000000004</v>
      </c>
      <c r="Y43" s="9">
        <f t="shared" si="20"/>
        <v>0.8</v>
      </c>
      <c r="Z43" s="9">
        <f t="shared" si="22"/>
        <v>1656.05</v>
      </c>
      <c r="AA43" s="9">
        <f t="shared" si="23"/>
        <v>1655.28</v>
      </c>
      <c r="AB43" s="14">
        <f t="shared" si="24"/>
        <v>1655.72</v>
      </c>
      <c r="AC43" s="12"/>
      <c r="AD43">
        <f t="shared" si="13"/>
        <v>0.76999999999998181</v>
      </c>
    </row>
    <row r="44" spans="2:30">
      <c r="B44" t="s">
        <v>90</v>
      </c>
      <c r="C44">
        <v>3700</v>
      </c>
      <c r="D44">
        <v>1656.7809999999999</v>
      </c>
      <c r="E44">
        <f t="shared" si="0"/>
        <v>1656.78</v>
      </c>
      <c r="F44">
        <f t="shared" si="14"/>
        <v>1655.06</v>
      </c>
      <c r="G44">
        <f t="shared" si="6"/>
        <v>1.7200000000000273</v>
      </c>
      <c r="H44">
        <v>2.2000000000000001E-3</v>
      </c>
      <c r="J44" s="12"/>
      <c r="K44" s="10">
        <f t="shared" si="1"/>
        <v>3700</v>
      </c>
      <c r="L44" s="9">
        <f t="shared" si="2"/>
        <v>0.46</v>
      </c>
      <c r="M44" s="9">
        <f t="shared" si="25"/>
        <v>0.35</v>
      </c>
      <c r="N44" s="9">
        <f t="shared" si="8"/>
        <v>1.31</v>
      </c>
      <c r="O44" s="9">
        <f t="shared" si="9"/>
        <v>1.21</v>
      </c>
      <c r="P44" s="9">
        <f t="shared" si="26"/>
        <v>0.51</v>
      </c>
      <c r="Q44" s="9">
        <f t="shared" si="27"/>
        <v>0.44</v>
      </c>
      <c r="R44" s="9">
        <v>1.4999999999999999E-2</v>
      </c>
      <c r="S44" s="9">
        <f t="shared" si="10"/>
        <v>2.2000000000000001E-3</v>
      </c>
      <c r="T44" s="9" t="str">
        <f t="shared" si="11"/>
        <v>1/455</v>
      </c>
      <c r="U44" s="9" t="str">
        <f t="shared" si="17"/>
        <v>U80</v>
      </c>
      <c r="V44" s="9">
        <f t="shared" si="28"/>
        <v>0.28999999999999998</v>
      </c>
      <c r="W44" s="9">
        <f t="shared" si="29"/>
        <v>0.35</v>
      </c>
      <c r="X44" s="9">
        <f t="shared" si="12"/>
        <v>0.29000000000000004</v>
      </c>
      <c r="Y44" s="9">
        <f t="shared" si="20"/>
        <v>0.8</v>
      </c>
      <c r="Z44" s="9">
        <f t="shared" si="22"/>
        <v>1656.78</v>
      </c>
      <c r="AA44" s="9">
        <f t="shared" si="23"/>
        <v>1655.06</v>
      </c>
      <c r="AB44" s="14">
        <f t="shared" si="24"/>
        <v>1655.5</v>
      </c>
      <c r="AC44" s="12"/>
      <c r="AD44">
        <f t="shared" si="13"/>
        <v>1.7200000000000273</v>
      </c>
    </row>
    <row r="45" spans="2:30">
      <c r="B45" t="s">
        <v>93</v>
      </c>
      <c r="C45">
        <v>3800</v>
      </c>
      <c r="D45">
        <v>1655.597</v>
      </c>
      <c r="E45">
        <f t="shared" si="0"/>
        <v>1655.6</v>
      </c>
      <c r="F45">
        <f t="shared" si="14"/>
        <v>1654.84</v>
      </c>
      <c r="G45">
        <f t="shared" si="6"/>
        <v>0.75999999999999091</v>
      </c>
      <c r="H45">
        <v>2.2000000000000001E-3</v>
      </c>
      <c r="J45" s="12"/>
      <c r="K45" s="10">
        <f t="shared" si="1"/>
        <v>3800</v>
      </c>
      <c r="L45" s="9">
        <f t="shared" si="2"/>
        <v>0.46</v>
      </c>
      <c r="M45" s="9">
        <f t="shared" si="25"/>
        <v>0.35</v>
      </c>
      <c r="N45" s="9">
        <f t="shared" si="8"/>
        <v>1.31</v>
      </c>
      <c r="O45" s="9">
        <f t="shared" si="9"/>
        <v>1.21</v>
      </c>
      <c r="P45" s="9">
        <f t="shared" si="26"/>
        <v>0.51</v>
      </c>
      <c r="Q45" s="9">
        <f t="shared" si="27"/>
        <v>0.44</v>
      </c>
      <c r="R45" s="9">
        <v>1.4999999999999999E-2</v>
      </c>
      <c r="S45" s="9">
        <f t="shared" si="10"/>
        <v>2.2000000000000001E-3</v>
      </c>
      <c r="T45" s="9" t="str">
        <f t="shared" si="11"/>
        <v>1/455</v>
      </c>
      <c r="U45" s="9" t="str">
        <f t="shared" si="17"/>
        <v>U80</v>
      </c>
      <c r="V45" s="9">
        <f t="shared" si="28"/>
        <v>0.28999999999999998</v>
      </c>
      <c r="W45" s="9">
        <f t="shared" si="29"/>
        <v>0.35</v>
      </c>
      <c r="X45" s="9">
        <f t="shared" si="12"/>
        <v>0.29000000000000004</v>
      </c>
      <c r="Y45" s="9">
        <f t="shared" si="20"/>
        <v>0.8</v>
      </c>
      <c r="Z45" s="9">
        <f t="shared" si="22"/>
        <v>1655.6</v>
      </c>
      <c r="AA45" s="9">
        <f t="shared" si="23"/>
        <v>1654.84</v>
      </c>
      <c r="AB45" s="14">
        <f t="shared" si="24"/>
        <v>1655.28</v>
      </c>
      <c r="AC45" s="12"/>
      <c r="AD45">
        <f t="shared" si="13"/>
        <v>0.75999999999999091</v>
      </c>
    </row>
    <row r="46" spans="2:30">
      <c r="B46" t="s">
        <v>95</v>
      </c>
      <c r="C46">
        <v>3900</v>
      </c>
      <c r="D46">
        <v>1655.1</v>
      </c>
      <c r="E46">
        <f t="shared" si="0"/>
        <v>1655.1</v>
      </c>
      <c r="F46">
        <f t="shared" si="14"/>
        <v>1654.62</v>
      </c>
      <c r="G46">
        <f t="shared" si="6"/>
        <v>0.48000000000001819</v>
      </c>
      <c r="H46">
        <v>2.2000000000000001E-3</v>
      </c>
      <c r="J46" s="12"/>
      <c r="K46" s="10">
        <f t="shared" si="1"/>
        <v>3900</v>
      </c>
      <c r="L46" s="9">
        <f t="shared" si="2"/>
        <v>0.46</v>
      </c>
      <c r="M46" s="9">
        <f t="shared" si="25"/>
        <v>0.35</v>
      </c>
      <c r="N46" s="9">
        <f t="shared" si="8"/>
        <v>1.31</v>
      </c>
      <c r="O46" s="9">
        <f t="shared" si="9"/>
        <v>1.21</v>
      </c>
      <c r="P46" s="9">
        <f t="shared" si="26"/>
        <v>0.51</v>
      </c>
      <c r="Q46" s="9">
        <f t="shared" si="27"/>
        <v>0.44</v>
      </c>
      <c r="R46" s="9">
        <v>1.4999999999999999E-2</v>
      </c>
      <c r="S46" s="9">
        <f t="shared" si="10"/>
        <v>2.2000000000000001E-3</v>
      </c>
      <c r="T46" s="9" t="str">
        <f t="shared" si="11"/>
        <v>1/455</v>
      </c>
      <c r="U46" s="9" t="str">
        <f t="shared" si="17"/>
        <v>U80</v>
      </c>
      <c r="V46" s="9">
        <f t="shared" si="28"/>
        <v>0.28999999999999998</v>
      </c>
      <c r="W46" s="9">
        <f t="shared" si="29"/>
        <v>0.35</v>
      </c>
      <c r="X46" s="9">
        <f t="shared" si="12"/>
        <v>0.29000000000000004</v>
      </c>
      <c r="Y46" s="9">
        <f t="shared" si="20"/>
        <v>0.8</v>
      </c>
      <c r="Z46" s="9">
        <f t="shared" si="22"/>
        <v>1655.1</v>
      </c>
      <c r="AA46" s="9">
        <f t="shared" si="23"/>
        <v>1654.62</v>
      </c>
      <c r="AB46" s="14">
        <f t="shared" si="24"/>
        <v>1655.06</v>
      </c>
      <c r="AC46" s="12"/>
      <c r="AD46">
        <f t="shared" si="13"/>
        <v>0.48000000000001819</v>
      </c>
    </row>
    <row r="47" spans="2:30">
      <c r="B47" t="s">
        <v>97</v>
      </c>
      <c r="C47">
        <v>4000</v>
      </c>
      <c r="D47">
        <v>1654.904</v>
      </c>
      <c r="E47">
        <f t="shared" si="0"/>
        <v>1654.9</v>
      </c>
      <c r="F47">
        <f t="shared" si="14"/>
        <v>1654.4</v>
      </c>
      <c r="G47">
        <f t="shared" si="6"/>
        <v>0.5</v>
      </c>
      <c r="H47">
        <v>2.2000000000000001E-3</v>
      </c>
      <c r="J47" s="12"/>
      <c r="K47" s="10">
        <f t="shared" si="1"/>
        <v>4000</v>
      </c>
      <c r="L47" s="9">
        <f t="shared" si="2"/>
        <v>0.46</v>
      </c>
      <c r="M47" s="9">
        <f t="shared" si="25"/>
        <v>0.35</v>
      </c>
      <c r="N47" s="9">
        <f t="shared" si="8"/>
        <v>1.31</v>
      </c>
      <c r="O47" s="9">
        <f t="shared" si="9"/>
        <v>1.21</v>
      </c>
      <c r="P47" s="9">
        <f t="shared" si="26"/>
        <v>0.51</v>
      </c>
      <c r="Q47" s="9">
        <f t="shared" si="27"/>
        <v>0.44</v>
      </c>
      <c r="R47" s="9">
        <v>1.4999999999999999E-2</v>
      </c>
      <c r="S47" s="9">
        <f t="shared" si="10"/>
        <v>2.2000000000000001E-3</v>
      </c>
      <c r="T47" s="9" t="str">
        <f t="shared" si="11"/>
        <v>1/455</v>
      </c>
      <c r="U47" s="9" t="str">
        <f t="shared" si="17"/>
        <v>U80</v>
      </c>
      <c r="V47" s="9">
        <f t="shared" si="28"/>
        <v>0.28999999999999998</v>
      </c>
      <c r="W47" s="9">
        <f t="shared" si="29"/>
        <v>0.35</v>
      </c>
      <c r="X47" s="9">
        <f t="shared" si="12"/>
        <v>0.29000000000000004</v>
      </c>
      <c r="Y47" s="9">
        <f t="shared" si="20"/>
        <v>0.8</v>
      </c>
      <c r="Z47" s="9">
        <f t="shared" si="22"/>
        <v>1654.9</v>
      </c>
      <c r="AA47" s="9">
        <f t="shared" si="23"/>
        <v>1654.4</v>
      </c>
      <c r="AB47" s="14">
        <f t="shared" si="24"/>
        <v>1654.8400000000001</v>
      </c>
      <c r="AC47" s="12"/>
      <c r="AD47">
        <f t="shared" si="13"/>
        <v>0.5</v>
      </c>
    </row>
    <row r="48" spans="2:30">
      <c r="B48" t="s">
        <v>100</v>
      </c>
      <c r="C48">
        <v>4100</v>
      </c>
      <c r="D48">
        <v>1654.6690000000001</v>
      </c>
      <c r="E48">
        <f t="shared" si="0"/>
        <v>1654.67</v>
      </c>
      <c r="F48">
        <f t="shared" si="14"/>
        <v>1654.18</v>
      </c>
      <c r="G48">
        <f t="shared" si="6"/>
        <v>0.49000000000000909</v>
      </c>
      <c r="H48">
        <v>2.2000000000000001E-3</v>
      </c>
      <c r="J48" s="12"/>
      <c r="K48" s="10">
        <f t="shared" si="1"/>
        <v>4100</v>
      </c>
      <c r="L48" s="9">
        <f t="shared" si="2"/>
        <v>0.46</v>
      </c>
      <c r="M48" s="9">
        <f t="shared" si="25"/>
        <v>0.35</v>
      </c>
      <c r="N48" s="9">
        <f t="shared" si="8"/>
        <v>1.31</v>
      </c>
      <c r="O48" s="9">
        <f t="shared" si="9"/>
        <v>1.21</v>
      </c>
      <c r="P48" s="9">
        <f t="shared" si="26"/>
        <v>0.51</v>
      </c>
      <c r="Q48" s="9">
        <f t="shared" si="27"/>
        <v>0.44</v>
      </c>
      <c r="R48" s="9">
        <v>1.4999999999999999E-2</v>
      </c>
      <c r="S48" s="9">
        <f t="shared" si="10"/>
        <v>2.2000000000000001E-3</v>
      </c>
      <c r="T48" s="9" t="str">
        <f t="shared" si="11"/>
        <v>1/455</v>
      </c>
      <c r="U48" s="9" t="str">
        <f t="shared" si="17"/>
        <v>U80</v>
      </c>
      <c r="V48" s="9">
        <f t="shared" si="28"/>
        <v>0.28999999999999998</v>
      </c>
      <c r="W48" s="9">
        <f t="shared" si="29"/>
        <v>0.35</v>
      </c>
      <c r="X48" s="9">
        <f t="shared" si="12"/>
        <v>0.29000000000000004</v>
      </c>
      <c r="Y48" s="9">
        <f t="shared" si="20"/>
        <v>0.8</v>
      </c>
      <c r="Z48" s="9">
        <f t="shared" si="22"/>
        <v>1654.67</v>
      </c>
      <c r="AA48" s="9">
        <f t="shared" si="23"/>
        <v>1654.18</v>
      </c>
      <c r="AB48" s="14">
        <f t="shared" si="24"/>
        <v>1654.6200000000001</v>
      </c>
      <c r="AC48" s="12"/>
      <c r="AD48">
        <f t="shared" si="13"/>
        <v>0.49000000000000909</v>
      </c>
    </row>
    <row r="49" spans="2:30">
      <c r="B49" t="s">
        <v>102</v>
      </c>
      <c r="C49">
        <v>4200</v>
      </c>
      <c r="D49">
        <v>1654.3710000000001</v>
      </c>
      <c r="E49">
        <f t="shared" si="0"/>
        <v>1654.37</v>
      </c>
      <c r="F49">
        <f t="shared" si="14"/>
        <v>1653.96</v>
      </c>
      <c r="G49">
        <f t="shared" si="6"/>
        <v>0.40999999999985448</v>
      </c>
      <c r="H49">
        <v>2.2000000000000001E-3</v>
      </c>
      <c r="J49" s="12"/>
      <c r="K49" s="10">
        <f t="shared" si="1"/>
        <v>4200</v>
      </c>
      <c r="L49" s="9">
        <f t="shared" si="2"/>
        <v>0.46</v>
      </c>
      <c r="M49" s="9">
        <f t="shared" si="25"/>
        <v>0.35</v>
      </c>
      <c r="N49" s="9">
        <f t="shared" si="8"/>
        <v>1.31</v>
      </c>
      <c r="O49" s="9">
        <f t="shared" si="9"/>
        <v>1.21</v>
      </c>
      <c r="P49" s="9">
        <f t="shared" si="26"/>
        <v>0.51</v>
      </c>
      <c r="Q49" s="9">
        <f t="shared" si="27"/>
        <v>0.44</v>
      </c>
      <c r="R49" s="9">
        <v>1.4999999999999999E-2</v>
      </c>
      <c r="S49" s="9">
        <f t="shared" si="10"/>
        <v>2.2000000000000001E-3</v>
      </c>
      <c r="T49" s="9" t="str">
        <f t="shared" si="11"/>
        <v>1/455</v>
      </c>
      <c r="U49" s="9" t="str">
        <f t="shared" si="17"/>
        <v>U80</v>
      </c>
      <c r="V49" s="9">
        <f t="shared" si="28"/>
        <v>0.28999999999999998</v>
      </c>
      <c r="W49" s="9">
        <f t="shared" si="29"/>
        <v>0.35</v>
      </c>
      <c r="X49" s="9">
        <f t="shared" si="12"/>
        <v>0.29000000000000004</v>
      </c>
      <c r="Y49" s="9">
        <f t="shared" si="20"/>
        <v>0.8</v>
      </c>
      <c r="Z49" s="9">
        <f t="shared" si="22"/>
        <v>1654.37</v>
      </c>
      <c r="AA49" s="9">
        <f t="shared" si="23"/>
        <v>1653.96</v>
      </c>
      <c r="AB49" s="14">
        <f t="shared" si="24"/>
        <v>1654.4</v>
      </c>
      <c r="AC49" s="12"/>
      <c r="AD49">
        <f t="shared" si="13"/>
        <v>0.40999999999985448</v>
      </c>
    </row>
    <row r="50" spans="2:30">
      <c r="B50" t="s">
        <v>104</v>
      </c>
      <c r="C50">
        <v>4300</v>
      </c>
      <c r="D50">
        <v>1653.933</v>
      </c>
      <c r="E50">
        <f t="shared" si="0"/>
        <v>1653.93</v>
      </c>
      <c r="F50">
        <f t="shared" si="14"/>
        <v>1653.74</v>
      </c>
      <c r="G50">
        <f t="shared" si="6"/>
        <v>0.19000000000005457</v>
      </c>
      <c r="H50">
        <v>2.2000000000000001E-3</v>
      </c>
      <c r="I50">
        <f>0.3/0.185*0.217</f>
        <v>0.35189189189189185</v>
      </c>
      <c r="J50" s="12" t="s">
        <v>476</v>
      </c>
      <c r="K50" s="10">
        <f t="shared" si="1"/>
        <v>4300</v>
      </c>
      <c r="L50" s="9">
        <f t="shared" si="2"/>
        <v>0.46</v>
      </c>
      <c r="M50" s="9">
        <f t="shared" si="25"/>
        <v>0.35</v>
      </c>
      <c r="N50" s="9">
        <f t="shared" si="8"/>
        <v>1.31</v>
      </c>
      <c r="O50" s="9">
        <f t="shared" si="9"/>
        <v>1.21</v>
      </c>
      <c r="P50" s="9">
        <f t="shared" si="26"/>
        <v>0.51</v>
      </c>
      <c r="Q50" s="9">
        <f t="shared" si="27"/>
        <v>0.44</v>
      </c>
      <c r="R50" s="9">
        <v>1.4999999999999999E-2</v>
      </c>
      <c r="S50" s="9">
        <f t="shared" si="10"/>
        <v>2.2000000000000001E-3</v>
      </c>
      <c r="T50" s="9" t="str">
        <f t="shared" si="11"/>
        <v>1/455</v>
      </c>
      <c r="U50" s="9" t="str">
        <f t="shared" si="17"/>
        <v>U80</v>
      </c>
      <c r="V50" s="9">
        <f t="shared" si="28"/>
        <v>0.28999999999999998</v>
      </c>
      <c r="W50" s="9">
        <f t="shared" si="29"/>
        <v>0.35</v>
      </c>
      <c r="X50" s="9">
        <f t="shared" si="12"/>
        <v>0.29000000000000004</v>
      </c>
      <c r="Y50" s="9">
        <f t="shared" si="20"/>
        <v>0.8</v>
      </c>
      <c r="Z50" s="9">
        <f t="shared" si="22"/>
        <v>1653.93</v>
      </c>
      <c r="AA50" s="9">
        <f t="shared" si="23"/>
        <v>1653.74</v>
      </c>
      <c r="AB50" s="14">
        <f t="shared" si="24"/>
        <v>1654.18</v>
      </c>
      <c r="AC50" s="12"/>
      <c r="AD50">
        <f t="shared" si="13"/>
        <v>0.19000000000005457</v>
      </c>
    </row>
    <row r="51" spans="2:30">
      <c r="B51" t="s">
        <v>107</v>
      </c>
      <c r="C51">
        <v>4400</v>
      </c>
      <c r="D51">
        <v>1654.1669999999999</v>
      </c>
      <c r="E51">
        <f t="shared" si="0"/>
        <v>1654.17</v>
      </c>
      <c r="F51">
        <f t="shared" si="14"/>
        <v>1653.52</v>
      </c>
      <c r="G51">
        <f t="shared" si="6"/>
        <v>0.65000000000009095</v>
      </c>
      <c r="H51">
        <v>2.2000000000000001E-3</v>
      </c>
      <c r="J51" s="12"/>
      <c r="K51" s="10">
        <f t="shared" si="1"/>
        <v>4400</v>
      </c>
      <c r="L51" s="9">
        <f t="shared" si="2"/>
        <v>0.46</v>
      </c>
      <c r="M51" s="9">
        <f t="shared" si="25"/>
        <v>0.35</v>
      </c>
      <c r="N51" s="9">
        <f t="shared" si="8"/>
        <v>1.35</v>
      </c>
      <c r="O51" s="9">
        <f t="shared" si="9"/>
        <v>1.21</v>
      </c>
      <c r="P51" s="9">
        <v>0.5</v>
      </c>
      <c r="Q51" s="9">
        <v>0.43</v>
      </c>
      <c r="R51" s="9">
        <v>1.4999999999999999E-2</v>
      </c>
      <c r="S51" s="9">
        <f t="shared" si="10"/>
        <v>2.2000000000000001E-3</v>
      </c>
      <c r="T51" s="9" t="str">
        <f t="shared" si="11"/>
        <v>1/455</v>
      </c>
      <c r="U51" s="9" t="str">
        <f t="shared" si="17"/>
        <v>U80</v>
      </c>
      <c r="V51" s="9">
        <f>V50</f>
        <v>0.28999999999999998</v>
      </c>
      <c r="W51" s="9">
        <v>0.34</v>
      </c>
      <c r="X51" s="9">
        <f t="shared" si="12"/>
        <v>0.30000000000000004</v>
      </c>
      <c r="Y51" s="9">
        <f t="shared" si="20"/>
        <v>0.8</v>
      </c>
      <c r="Z51" s="9">
        <f t="shared" si="22"/>
        <v>1654.17</v>
      </c>
      <c r="AA51" s="9">
        <f t="shared" si="23"/>
        <v>1653.52</v>
      </c>
      <c r="AB51" s="14">
        <f t="shared" si="24"/>
        <v>1653.95</v>
      </c>
      <c r="AC51" s="12"/>
      <c r="AD51">
        <f t="shared" si="13"/>
        <v>0.65000000000009095</v>
      </c>
    </row>
    <row r="52" spans="2:30">
      <c r="B52" t="s">
        <v>109</v>
      </c>
      <c r="C52">
        <v>4500</v>
      </c>
      <c r="D52">
        <v>1653.655</v>
      </c>
      <c r="E52">
        <f t="shared" si="0"/>
        <v>1653.66</v>
      </c>
      <c r="F52">
        <f t="shared" si="14"/>
        <v>1653.3</v>
      </c>
      <c r="G52">
        <f t="shared" si="6"/>
        <v>0.36000000000012733</v>
      </c>
      <c r="H52">
        <v>2.2000000000000001E-3</v>
      </c>
      <c r="J52" s="12"/>
      <c r="K52" s="10">
        <f t="shared" si="1"/>
        <v>4500</v>
      </c>
      <c r="L52" s="9">
        <f t="shared" si="2"/>
        <v>0.46</v>
      </c>
      <c r="M52" s="9">
        <f t="shared" si="25"/>
        <v>0.35</v>
      </c>
      <c r="N52" s="9">
        <f t="shared" si="8"/>
        <v>1.35</v>
      </c>
      <c r="O52" s="9">
        <f t="shared" si="9"/>
        <v>1.21</v>
      </c>
      <c r="P52" s="9">
        <f t="shared" ref="P52:P76" si="30">P51</f>
        <v>0.5</v>
      </c>
      <c r="Q52" s="9">
        <f t="shared" ref="Q52:Q76" si="31">Q51</f>
        <v>0.43</v>
      </c>
      <c r="R52" s="9">
        <v>1.4999999999999999E-2</v>
      </c>
      <c r="S52" s="9">
        <f t="shared" si="10"/>
        <v>2.2000000000000001E-3</v>
      </c>
      <c r="T52" s="9" t="str">
        <f t="shared" si="11"/>
        <v>1/455</v>
      </c>
      <c r="U52" s="9" t="str">
        <f t="shared" si="17"/>
        <v>U80</v>
      </c>
      <c r="V52" s="9">
        <f t="shared" ref="V52:V76" si="32">V51</f>
        <v>0.28999999999999998</v>
      </c>
      <c r="W52" s="9">
        <f t="shared" ref="W52:W76" si="33">W51</f>
        <v>0.34</v>
      </c>
      <c r="X52" s="9">
        <f t="shared" si="12"/>
        <v>0.30000000000000004</v>
      </c>
      <c r="Y52" s="9">
        <f t="shared" si="20"/>
        <v>0.8</v>
      </c>
      <c r="Z52" s="9">
        <f t="shared" si="22"/>
        <v>1653.66</v>
      </c>
      <c r="AA52" s="9">
        <f t="shared" si="23"/>
        <v>1653.3</v>
      </c>
      <c r="AB52" s="14">
        <f t="shared" si="24"/>
        <v>1653.73</v>
      </c>
      <c r="AC52" s="12"/>
      <c r="AD52">
        <f t="shared" si="13"/>
        <v>0.36000000000012733</v>
      </c>
    </row>
    <row r="53" spans="2:30">
      <c r="B53" t="s">
        <v>111</v>
      </c>
      <c r="C53">
        <v>4600</v>
      </c>
      <c r="D53">
        <v>1653.6479999999999</v>
      </c>
      <c r="E53">
        <f t="shared" si="0"/>
        <v>1653.65</v>
      </c>
      <c r="F53">
        <f t="shared" si="14"/>
        <v>1653.08</v>
      </c>
      <c r="G53">
        <f t="shared" si="6"/>
        <v>0.57000000000016371</v>
      </c>
      <c r="H53">
        <v>2.2000000000000001E-3</v>
      </c>
      <c r="J53" s="12"/>
      <c r="K53" s="10">
        <f t="shared" si="1"/>
        <v>4600</v>
      </c>
      <c r="L53" s="9">
        <f t="shared" si="2"/>
        <v>0.46</v>
      </c>
      <c r="M53" s="9">
        <f t="shared" si="25"/>
        <v>0.35</v>
      </c>
      <c r="N53" s="9">
        <f t="shared" si="8"/>
        <v>1.35</v>
      </c>
      <c r="O53" s="9">
        <f t="shared" si="9"/>
        <v>1.21</v>
      </c>
      <c r="P53" s="9">
        <f t="shared" si="30"/>
        <v>0.5</v>
      </c>
      <c r="Q53" s="9">
        <f t="shared" si="31"/>
        <v>0.43</v>
      </c>
      <c r="R53" s="9">
        <v>1.4999999999999999E-2</v>
      </c>
      <c r="S53" s="9">
        <f t="shared" si="10"/>
        <v>2.2000000000000001E-3</v>
      </c>
      <c r="T53" s="9" t="str">
        <f t="shared" si="11"/>
        <v>1/455</v>
      </c>
      <c r="U53" s="9" t="str">
        <f t="shared" si="17"/>
        <v>U80</v>
      </c>
      <c r="V53" s="9">
        <f t="shared" si="32"/>
        <v>0.28999999999999998</v>
      </c>
      <c r="W53" s="9">
        <f t="shared" si="33"/>
        <v>0.34</v>
      </c>
      <c r="X53" s="9">
        <f t="shared" si="12"/>
        <v>0.30000000000000004</v>
      </c>
      <c r="Y53" s="9">
        <f t="shared" si="20"/>
        <v>0.8</v>
      </c>
      <c r="Z53" s="9">
        <f t="shared" si="22"/>
        <v>1653.65</v>
      </c>
      <c r="AA53" s="9">
        <f t="shared" si="23"/>
        <v>1653.08</v>
      </c>
      <c r="AB53" s="14">
        <f t="shared" si="24"/>
        <v>1653.51</v>
      </c>
      <c r="AC53" s="12"/>
      <c r="AD53">
        <f t="shared" si="13"/>
        <v>0.57000000000016371</v>
      </c>
    </row>
    <row r="54" spans="2:30">
      <c r="B54" t="s">
        <v>113</v>
      </c>
      <c r="C54">
        <v>4700</v>
      </c>
      <c r="D54">
        <v>1653.4680000000001</v>
      </c>
      <c r="E54">
        <f t="shared" si="0"/>
        <v>1653.47</v>
      </c>
      <c r="F54">
        <f t="shared" si="14"/>
        <v>1652.86</v>
      </c>
      <c r="G54">
        <f t="shared" si="6"/>
        <v>0.61000000000012733</v>
      </c>
      <c r="H54">
        <v>2.2000000000000001E-3</v>
      </c>
      <c r="J54" s="12"/>
      <c r="K54" s="10">
        <f t="shared" si="1"/>
        <v>4700</v>
      </c>
      <c r="L54" s="9">
        <f t="shared" si="2"/>
        <v>0.46</v>
      </c>
      <c r="M54" s="9">
        <f t="shared" si="25"/>
        <v>0.35</v>
      </c>
      <c r="N54" s="9">
        <f t="shared" si="8"/>
        <v>1.35</v>
      </c>
      <c r="O54" s="9">
        <f t="shared" si="9"/>
        <v>1.21</v>
      </c>
      <c r="P54" s="9">
        <f t="shared" si="30"/>
        <v>0.5</v>
      </c>
      <c r="Q54" s="9">
        <f t="shared" si="31"/>
        <v>0.43</v>
      </c>
      <c r="R54" s="9">
        <v>1.4999999999999999E-2</v>
      </c>
      <c r="S54" s="9">
        <f t="shared" si="10"/>
        <v>2.2000000000000001E-3</v>
      </c>
      <c r="T54" s="9" t="str">
        <f t="shared" si="11"/>
        <v>1/455</v>
      </c>
      <c r="U54" s="9" t="str">
        <f t="shared" si="17"/>
        <v>U80</v>
      </c>
      <c r="V54" s="9">
        <f t="shared" si="32"/>
        <v>0.28999999999999998</v>
      </c>
      <c r="W54" s="9">
        <f t="shared" si="33"/>
        <v>0.34</v>
      </c>
      <c r="X54" s="9">
        <f t="shared" si="12"/>
        <v>0.30000000000000004</v>
      </c>
      <c r="Y54" s="9">
        <f t="shared" si="20"/>
        <v>0.8</v>
      </c>
      <c r="Z54" s="9">
        <f t="shared" si="22"/>
        <v>1653.47</v>
      </c>
      <c r="AA54" s="9">
        <f t="shared" si="23"/>
        <v>1652.86</v>
      </c>
      <c r="AB54" s="14">
        <f t="shared" si="24"/>
        <v>1653.29</v>
      </c>
      <c r="AC54" s="12"/>
      <c r="AD54">
        <f t="shared" si="13"/>
        <v>0.61000000000012733</v>
      </c>
    </row>
    <row r="55" spans="2:30">
      <c r="B55" t="s">
        <v>115</v>
      </c>
      <c r="C55">
        <v>4800</v>
      </c>
      <c r="D55">
        <v>1653.0450000000001</v>
      </c>
      <c r="E55">
        <f t="shared" si="0"/>
        <v>1653.05</v>
      </c>
      <c r="F55">
        <f t="shared" si="14"/>
        <v>1652.64</v>
      </c>
      <c r="G55">
        <f t="shared" si="6"/>
        <v>0.40999999999985448</v>
      </c>
      <c r="H55">
        <v>2.2000000000000001E-3</v>
      </c>
      <c r="J55" s="12"/>
      <c r="K55" s="10">
        <f t="shared" si="1"/>
        <v>4800</v>
      </c>
      <c r="L55" s="9">
        <f t="shared" si="2"/>
        <v>0.46</v>
      </c>
      <c r="M55" s="9">
        <f t="shared" si="25"/>
        <v>0.35</v>
      </c>
      <c r="N55" s="9">
        <f t="shared" si="8"/>
        <v>1.35</v>
      </c>
      <c r="O55" s="9">
        <f t="shared" si="9"/>
        <v>1.21</v>
      </c>
      <c r="P55" s="9">
        <f t="shared" si="30"/>
        <v>0.5</v>
      </c>
      <c r="Q55" s="9">
        <f t="shared" si="31"/>
        <v>0.43</v>
      </c>
      <c r="R55" s="9">
        <v>1.4999999999999999E-2</v>
      </c>
      <c r="S55" s="9">
        <f t="shared" si="10"/>
        <v>2.2000000000000001E-3</v>
      </c>
      <c r="T55" s="9" t="str">
        <f t="shared" si="11"/>
        <v>1/455</v>
      </c>
      <c r="U55" s="9" t="str">
        <f t="shared" si="17"/>
        <v>U80</v>
      </c>
      <c r="V55" s="9">
        <f t="shared" si="32"/>
        <v>0.28999999999999998</v>
      </c>
      <c r="W55" s="9">
        <f t="shared" si="33"/>
        <v>0.34</v>
      </c>
      <c r="X55" s="9">
        <f t="shared" si="12"/>
        <v>0.30000000000000004</v>
      </c>
      <c r="Y55" s="9">
        <f t="shared" si="20"/>
        <v>0.8</v>
      </c>
      <c r="Z55" s="9">
        <f t="shared" si="22"/>
        <v>1653.05</v>
      </c>
      <c r="AA55" s="9">
        <f t="shared" si="23"/>
        <v>1652.64</v>
      </c>
      <c r="AB55" s="14">
        <f t="shared" si="24"/>
        <v>1653.0700000000002</v>
      </c>
      <c r="AC55" s="12"/>
      <c r="AD55">
        <f t="shared" si="13"/>
        <v>0.40999999999985448</v>
      </c>
    </row>
    <row r="56" spans="2:30">
      <c r="B56" t="s">
        <v>117</v>
      </c>
      <c r="C56">
        <v>4900</v>
      </c>
      <c r="D56">
        <v>1653.451</v>
      </c>
      <c r="E56">
        <f t="shared" si="0"/>
        <v>1653.45</v>
      </c>
      <c r="F56">
        <f t="shared" si="14"/>
        <v>1652.42</v>
      </c>
      <c r="G56">
        <f t="shared" si="6"/>
        <v>1.0299999999999727</v>
      </c>
      <c r="H56">
        <v>2.2000000000000001E-3</v>
      </c>
      <c r="J56" s="12"/>
      <c r="K56" s="10">
        <f t="shared" si="1"/>
        <v>4900</v>
      </c>
      <c r="L56" s="9">
        <f t="shared" si="2"/>
        <v>0.46</v>
      </c>
      <c r="M56" s="9">
        <f t="shared" si="25"/>
        <v>0.35</v>
      </c>
      <c r="N56" s="9">
        <f t="shared" si="8"/>
        <v>1.35</v>
      </c>
      <c r="O56" s="9">
        <f t="shared" si="9"/>
        <v>1.21</v>
      </c>
      <c r="P56" s="9">
        <f t="shared" si="30"/>
        <v>0.5</v>
      </c>
      <c r="Q56" s="9">
        <f t="shared" si="31"/>
        <v>0.43</v>
      </c>
      <c r="R56" s="9">
        <v>1.4999999999999999E-2</v>
      </c>
      <c r="S56" s="9">
        <f t="shared" si="10"/>
        <v>2.2000000000000001E-3</v>
      </c>
      <c r="T56" s="9" t="str">
        <f t="shared" si="11"/>
        <v>1/455</v>
      </c>
      <c r="U56" s="9" t="str">
        <f t="shared" si="17"/>
        <v>U80</v>
      </c>
      <c r="V56" s="9">
        <f t="shared" si="32"/>
        <v>0.28999999999999998</v>
      </c>
      <c r="W56" s="9">
        <f t="shared" si="33"/>
        <v>0.34</v>
      </c>
      <c r="X56" s="9">
        <f t="shared" si="12"/>
        <v>0.30000000000000004</v>
      </c>
      <c r="Y56" s="9">
        <f t="shared" si="20"/>
        <v>0.8</v>
      </c>
      <c r="Z56" s="9">
        <f t="shared" si="22"/>
        <v>1653.45</v>
      </c>
      <c r="AA56" s="9">
        <f t="shared" si="23"/>
        <v>1652.42</v>
      </c>
      <c r="AB56" s="14">
        <f t="shared" si="24"/>
        <v>1652.8500000000001</v>
      </c>
      <c r="AC56" s="12"/>
      <c r="AD56">
        <f t="shared" si="13"/>
        <v>1.0299999999999727</v>
      </c>
    </row>
    <row r="57" spans="2:30">
      <c r="B57" t="s">
        <v>119</v>
      </c>
      <c r="C57">
        <v>5000</v>
      </c>
      <c r="D57">
        <v>1653.6110000000001</v>
      </c>
      <c r="E57">
        <f t="shared" si="0"/>
        <v>1653.61</v>
      </c>
      <c r="F57">
        <f t="shared" si="14"/>
        <v>1652.2</v>
      </c>
      <c r="G57">
        <f t="shared" si="6"/>
        <v>1.4099999999998545</v>
      </c>
      <c r="H57">
        <v>2.2000000000000001E-3</v>
      </c>
      <c r="J57" s="12" t="s">
        <v>477</v>
      </c>
      <c r="K57" s="10">
        <f t="shared" si="1"/>
        <v>5000</v>
      </c>
      <c r="L57" s="9">
        <f t="shared" si="2"/>
        <v>0.46</v>
      </c>
      <c r="M57" s="9">
        <f t="shared" si="25"/>
        <v>0.35</v>
      </c>
      <c r="N57" s="9">
        <f t="shared" si="8"/>
        <v>1.35</v>
      </c>
      <c r="O57" s="9">
        <f t="shared" si="9"/>
        <v>1.21</v>
      </c>
      <c r="P57" s="9">
        <f t="shared" si="30"/>
        <v>0.5</v>
      </c>
      <c r="Q57" s="9">
        <f t="shared" si="31"/>
        <v>0.43</v>
      </c>
      <c r="R57" s="9">
        <v>1.4999999999999999E-2</v>
      </c>
      <c r="S57" s="9">
        <f t="shared" si="10"/>
        <v>2.2000000000000001E-3</v>
      </c>
      <c r="T57" s="9" t="str">
        <f t="shared" si="11"/>
        <v>1/455</v>
      </c>
      <c r="U57" s="9" t="str">
        <f t="shared" si="17"/>
        <v>U80</v>
      </c>
      <c r="V57" s="9">
        <f t="shared" si="32"/>
        <v>0.28999999999999998</v>
      </c>
      <c r="W57" s="9">
        <f t="shared" si="33"/>
        <v>0.34</v>
      </c>
      <c r="X57" s="9">
        <f t="shared" si="12"/>
        <v>0.30000000000000004</v>
      </c>
      <c r="Y57" s="9">
        <f t="shared" si="20"/>
        <v>0.8</v>
      </c>
      <c r="Z57" s="9">
        <f t="shared" si="22"/>
        <v>1653.61</v>
      </c>
      <c r="AA57" s="9">
        <f t="shared" si="23"/>
        <v>1652.2</v>
      </c>
      <c r="AB57" s="14">
        <f t="shared" si="24"/>
        <v>1652.63</v>
      </c>
      <c r="AC57" s="12"/>
      <c r="AD57">
        <f t="shared" si="13"/>
        <v>1.4099999999998545</v>
      </c>
    </row>
    <row r="58" spans="2:30">
      <c r="B58" t="s">
        <v>122</v>
      </c>
      <c r="C58">
        <v>5100</v>
      </c>
      <c r="D58">
        <v>1653.24</v>
      </c>
      <c r="E58">
        <f t="shared" si="0"/>
        <v>1653.24</v>
      </c>
      <c r="F58">
        <f t="shared" si="14"/>
        <v>1651.98</v>
      </c>
      <c r="G58">
        <f t="shared" si="6"/>
        <v>1.2599999999999909</v>
      </c>
      <c r="H58">
        <v>2.2000000000000001E-3</v>
      </c>
      <c r="J58" s="12"/>
      <c r="K58" s="10">
        <f t="shared" si="1"/>
        <v>5100</v>
      </c>
      <c r="L58" s="9">
        <f t="shared" si="2"/>
        <v>0.46</v>
      </c>
      <c r="M58" s="9">
        <f t="shared" si="25"/>
        <v>0.35</v>
      </c>
      <c r="N58" s="9">
        <f t="shared" si="8"/>
        <v>1.35</v>
      </c>
      <c r="O58" s="9">
        <f t="shared" si="9"/>
        <v>1.21</v>
      </c>
      <c r="P58" s="9">
        <f t="shared" si="30"/>
        <v>0.5</v>
      </c>
      <c r="Q58" s="9">
        <f t="shared" si="31"/>
        <v>0.43</v>
      </c>
      <c r="R58" s="9">
        <v>1.4999999999999999E-2</v>
      </c>
      <c r="S58" s="9">
        <f t="shared" si="10"/>
        <v>2.2000000000000001E-3</v>
      </c>
      <c r="T58" s="9" t="str">
        <f t="shared" si="11"/>
        <v>1/455</v>
      </c>
      <c r="U58" s="9" t="str">
        <f t="shared" si="17"/>
        <v>U80</v>
      </c>
      <c r="V58" s="9">
        <f t="shared" si="32"/>
        <v>0.28999999999999998</v>
      </c>
      <c r="W58" s="9">
        <f t="shared" si="33"/>
        <v>0.34</v>
      </c>
      <c r="X58" s="9">
        <f t="shared" si="12"/>
        <v>0.30000000000000004</v>
      </c>
      <c r="Y58" s="9">
        <f t="shared" si="20"/>
        <v>0.8</v>
      </c>
      <c r="Z58" s="9">
        <f t="shared" si="22"/>
        <v>1653.24</v>
      </c>
      <c r="AA58" s="9">
        <f t="shared" si="23"/>
        <v>1651.98</v>
      </c>
      <c r="AB58" s="14">
        <f t="shared" si="24"/>
        <v>1652.41</v>
      </c>
      <c r="AC58" s="12"/>
      <c r="AD58">
        <f t="shared" si="13"/>
        <v>1.2599999999999909</v>
      </c>
    </row>
    <row r="59" spans="2:30">
      <c r="B59" t="s">
        <v>124</v>
      </c>
      <c r="C59">
        <v>5200</v>
      </c>
      <c r="D59">
        <v>1652.962</v>
      </c>
      <c r="E59">
        <f t="shared" si="0"/>
        <v>1652.96</v>
      </c>
      <c r="F59">
        <f t="shared" si="14"/>
        <v>1651.76</v>
      </c>
      <c r="G59">
        <f t="shared" si="6"/>
        <v>1.2000000000000455</v>
      </c>
      <c r="H59">
        <v>2.2000000000000001E-3</v>
      </c>
      <c r="J59" s="12"/>
      <c r="K59" s="10">
        <f t="shared" si="1"/>
        <v>5200</v>
      </c>
      <c r="L59" s="9">
        <f t="shared" si="2"/>
        <v>0.46</v>
      </c>
      <c r="M59" s="9">
        <f t="shared" si="25"/>
        <v>0.35</v>
      </c>
      <c r="N59" s="9">
        <f t="shared" si="8"/>
        <v>1.35</v>
      </c>
      <c r="O59" s="9">
        <f t="shared" si="9"/>
        <v>1.21</v>
      </c>
      <c r="P59" s="9">
        <f t="shared" si="30"/>
        <v>0.5</v>
      </c>
      <c r="Q59" s="9">
        <f t="shared" si="31"/>
        <v>0.43</v>
      </c>
      <c r="R59" s="9">
        <v>1.4999999999999999E-2</v>
      </c>
      <c r="S59" s="9">
        <f t="shared" si="10"/>
        <v>2.2000000000000001E-3</v>
      </c>
      <c r="T59" s="9" t="str">
        <f t="shared" si="11"/>
        <v>1/455</v>
      </c>
      <c r="U59" s="9" t="str">
        <f t="shared" si="17"/>
        <v>U80</v>
      </c>
      <c r="V59" s="9">
        <f t="shared" si="32"/>
        <v>0.28999999999999998</v>
      </c>
      <c r="W59" s="9">
        <f t="shared" si="33"/>
        <v>0.34</v>
      </c>
      <c r="X59" s="9">
        <f t="shared" si="12"/>
        <v>0.30000000000000004</v>
      </c>
      <c r="Y59" s="9">
        <f t="shared" si="20"/>
        <v>0.8</v>
      </c>
      <c r="Z59" s="9">
        <f t="shared" si="22"/>
        <v>1652.96</v>
      </c>
      <c r="AA59" s="9">
        <f t="shared" si="23"/>
        <v>1651.76</v>
      </c>
      <c r="AB59" s="14">
        <f t="shared" si="24"/>
        <v>1652.19</v>
      </c>
      <c r="AC59" s="12"/>
      <c r="AD59">
        <f t="shared" si="13"/>
        <v>1.2000000000000455</v>
      </c>
    </row>
    <row r="60" spans="2:30">
      <c r="B60" t="s">
        <v>127</v>
      </c>
      <c r="C60">
        <v>5300</v>
      </c>
      <c r="D60">
        <v>1652.95</v>
      </c>
      <c r="E60">
        <f t="shared" si="0"/>
        <v>1652.95</v>
      </c>
      <c r="F60">
        <f t="shared" si="14"/>
        <v>1651.54</v>
      </c>
      <c r="G60">
        <f t="shared" si="6"/>
        <v>1.4100000000000819</v>
      </c>
      <c r="H60">
        <v>2.2000000000000001E-3</v>
      </c>
      <c r="J60" s="12"/>
      <c r="K60" s="10">
        <f t="shared" si="1"/>
        <v>5300</v>
      </c>
      <c r="L60" s="9">
        <f t="shared" si="2"/>
        <v>0.46</v>
      </c>
      <c r="M60" s="9">
        <f t="shared" si="25"/>
        <v>0.35</v>
      </c>
      <c r="N60" s="9">
        <f t="shared" si="8"/>
        <v>1.35</v>
      </c>
      <c r="O60" s="9">
        <f t="shared" si="9"/>
        <v>1.21</v>
      </c>
      <c r="P60" s="9">
        <f t="shared" si="30"/>
        <v>0.5</v>
      </c>
      <c r="Q60" s="9">
        <f t="shared" si="31"/>
        <v>0.43</v>
      </c>
      <c r="R60" s="9">
        <v>1.4999999999999999E-2</v>
      </c>
      <c r="S60" s="9">
        <f t="shared" si="10"/>
        <v>2.2000000000000001E-3</v>
      </c>
      <c r="T60" s="9" t="str">
        <f t="shared" si="11"/>
        <v>1/455</v>
      </c>
      <c r="U60" s="9" t="str">
        <f t="shared" si="17"/>
        <v>U80</v>
      </c>
      <c r="V60" s="9">
        <f t="shared" si="32"/>
        <v>0.28999999999999998</v>
      </c>
      <c r="W60" s="9">
        <f t="shared" si="33"/>
        <v>0.34</v>
      </c>
      <c r="X60" s="9">
        <f t="shared" si="12"/>
        <v>0.30000000000000004</v>
      </c>
      <c r="Y60" s="9">
        <f t="shared" si="20"/>
        <v>0.8</v>
      </c>
      <c r="Z60" s="9">
        <f t="shared" si="22"/>
        <v>1652.95</v>
      </c>
      <c r="AA60" s="9">
        <f t="shared" si="23"/>
        <v>1651.54</v>
      </c>
      <c r="AB60" s="14">
        <f t="shared" si="24"/>
        <v>1651.97</v>
      </c>
      <c r="AC60" s="12"/>
      <c r="AD60">
        <f t="shared" si="13"/>
        <v>1.4100000000000819</v>
      </c>
    </row>
    <row r="61" spans="2:30">
      <c r="B61" t="s">
        <v>129</v>
      </c>
      <c r="C61">
        <v>5400</v>
      </c>
      <c r="D61">
        <v>1651.9670000000001</v>
      </c>
      <c r="E61">
        <f t="shared" si="0"/>
        <v>1651.97</v>
      </c>
      <c r="F61">
        <f t="shared" si="14"/>
        <v>1651.32</v>
      </c>
      <c r="G61">
        <f t="shared" si="6"/>
        <v>0.65000000000009095</v>
      </c>
      <c r="H61">
        <v>2.2000000000000001E-3</v>
      </c>
      <c r="J61" s="12"/>
      <c r="K61" s="10">
        <f t="shared" si="1"/>
        <v>5400</v>
      </c>
      <c r="L61" s="9">
        <f t="shared" si="2"/>
        <v>0.46</v>
      </c>
      <c r="M61" s="9">
        <f t="shared" si="25"/>
        <v>0.35</v>
      </c>
      <c r="N61" s="9">
        <f t="shared" si="8"/>
        <v>1.35</v>
      </c>
      <c r="O61" s="9">
        <f t="shared" si="9"/>
        <v>1.21</v>
      </c>
      <c r="P61" s="9">
        <f t="shared" si="30"/>
        <v>0.5</v>
      </c>
      <c r="Q61" s="9">
        <f t="shared" si="31"/>
        <v>0.43</v>
      </c>
      <c r="R61" s="9">
        <v>1.4999999999999999E-2</v>
      </c>
      <c r="S61" s="9">
        <f t="shared" si="10"/>
        <v>2.2000000000000001E-3</v>
      </c>
      <c r="T61" s="9" t="str">
        <f t="shared" si="11"/>
        <v>1/455</v>
      </c>
      <c r="U61" s="9" t="str">
        <f t="shared" si="17"/>
        <v>U80</v>
      </c>
      <c r="V61" s="9">
        <f t="shared" si="32"/>
        <v>0.28999999999999998</v>
      </c>
      <c r="W61" s="9">
        <f t="shared" si="33"/>
        <v>0.34</v>
      </c>
      <c r="X61" s="9">
        <f t="shared" si="12"/>
        <v>0.30000000000000004</v>
      </c>
      <c r="Y61" s="9">
        <f t="shared" si="20"/>
        <v>0.8</v>
      </c>
      <c r="Z61" s="9">
        <f t="shared" si="22"/>
        <v>1651.97</v>
      </c>
      <c r="AA61" s="9">
        <f t="shared" si="23"/>
        <v>1651.32</v>
      </c>
      <c r="AB61" s="14">
        <f t="shared" si="24"/>
        <v>1651.75</v>
      </c>
      <c r="AC61" s="12"/>
      <c r="AD61">
        <f t="shared" si="13"/>
        <v>0.65000000000009095</v>
      </c>
    </row>
    <row r="62" spans="2:30">
      <c r="B62" t="s">
        <v>131</v>
      </c>
      <c r="C62">
        <v>5500</v>
      </c>
      <c r="D62">
        <v>1651.2860000000001</v>
      </c>
      <c r="E62">
        <f t="shared" si="0"/>
        <v>1651.29</v>
      </c>
      <c r="F62">
        <f t="shared" si="14"/>
        <v>1651.1</v>
      </c>
      <c r="G62">
        <f t="shared" si="6"/>
        <v>0.19000000000005457</v>
      </c>
      <c r="H62">
        <v>2.2000000000000001E-3</v>
      </c>
      <c r="J62" s="12"/>
      <c r="K62" s="10">
        <f t="shared" si="1"/>
        <v>5500</v>
      </c>
      <c r="L62" s="9">
        <f t="shared" si="2"/>
        <v>0.46</v>
      </c>
      <c r="M62" s="9">
        <f t="shared" si="25"/>
        <v>0.35</v>
      </c>
      <c r="N62" s="9">
        <f t="shared" si="8"/>
        <v>1.35</v>
      </c>
      <c r="O62" s="9">
        <f t="shared" si="9"/>
        <v>1.21</v>
      </c>
      <c r="P62" s="9">
        <f t="shared" si="30"/>
        <v>0.5</v>
      </c>
      <c r="Q62" s="9">
        <f t="shared" si="31"/>
        <v>0.43</v>
      </c>
      <c r="R62" s="9">
        <v>1.4999999999999999E-2</v>
      </c>
      <c r="S62" s="9">
        <f t="shared" si="10"/>
        <v>2.2000000000000001E-3</v>
      </c>
      <c r="T62" s="9" t="str">
        <f t="shared" si="11"/>
        <v>1/455</v>
      </c>
      <c r="U62" s="9" t="str">
        <f t="shared" si="17"/>
        <v>U80</v>
      </c>
      <c r="V62" s="9">
        <f t="shared" si="32"/>
        <v>0.28999999999999998</v>
      </c>
      <c r="W62" s="9">
        <f t="shared" si="33"/>
        <v>0.34</v>
      </c>
      <c r="X62" s="9">
        <f t="shared" si="12"/>
        <v>0.30000000000000004</v>
      </c>
      <c r="Y62" s="9">
        <f t="shared" si="20"/>
        <v>0.8</v>
      </c>
      <c r="Z62" s="9">
        <f t="shared" si="22"/>
        <v>1651.29</v>
      </c>
      <c r="AA62" s="9">
        <f t="shared" si="23"/>
        <v>1651.1</v>
      </c>
      <c r="AB62" s="14">
        <f t="shared" si="24"/>
        <v>1651.53</v>
      </c>
      <c r="AC62" s="12"/>
      <c r="AD62">
        <f t="shared" si="13"/>
        <v>0.19000000000005457</v>
      </c>
    </row>
    <row r="63" spans="2:30">
      <c r="B63" t="s">
        <v>133</v>
      </c>
      <c r="C63">
        <v>5600</v>
      </c>
      <c r="D63">
        <v>1650.9839999999999</v>
      </c>
      <c r="E63">
        <f t="shared" si="0"/>
        <v>1650.98</v>
      </c>
      <c r="F63">
        <f t="shared" si="14"/>
        <v>1650.88</v>
      </c>
      <c r="G63">
        <f t="shared" si="6"/>
        <v>9.9999999999909051E-2</v>
      </c>
      <c r="H63">
        <v>2.2000000000000001E-3</v>
      </c>
      <c r="J63" s="12"/>
      <c r="K63" s="10">
        <f t="shared" si="1"/>
        <v>5600</v>
      </c>
      <c r="L63" s="9">
        <f t="shared" si="2"/>
        <v>0.46</v>
      </c>
      <c r="M63" s="9">
        <f t="shared" si="25"/>
        <v>0.35</v>
      </c>
      <c r="N63" s="9">
        <f t="shared" si="8"/>
        <v>1.35</v>
      </c>
      <c r="O63" s="9">
        <f t="shared" si="9"/>
        <v>1.21</v>
      </c>
      <c r="P63" s="9">
        <f t="shared" si="30"/>
        <v>0.5</v>
      </c>
      <c r="Q63" s="9">
        <f t="shared" si="31"/>
        <v>0.43</v>
      </c>
      <c r="R63" s="9">
        <v>1.4999999999999999E-2</v>
      </c>
      <c r="S63" s="9">
        <f t="shared" si="10"/>
        <v>2.2000000000000001E-3</v>
      </c>
      <c r="T63" s="9" t="str">
        <f t="shared" si="11"/>
        <v>1/455</v>
      </c>
      <c r="U63" s="9" t="str">
        <f t="shared" si="17"/>
        <v>U80</v>
      </c>
      <c r="V63" s="9">
        <f t="shared" si="32"/>
        <v>0.28999999999999998</v>
      </c>
      <c r="W63" s="9">
        <f t="shared" si="33"/>
        <v>0.34</v>
      </c>
      <c r="X63" s="9">
        <f t="shared" si="12"/>
        <v>0.30000000000000004</v>
      </c>
      <c r="Y63" s="9">
        <f t="shared" si="20"/>
        <v>0.8</v>
      </c>
      <c r="Z63" s="9">
        <f t="shared" si="22"/>
        <v>1650.98</v>
      </c>
      <c r="AA63" s="9">
        <f t="shared" si="23"/>
        <v>1650.88</v>
      </c>
      <c r="AB63" s="14">
        <f t="shared" si="24"/>
        <v>1651.3100000000002</v>
      </c>
      <c r="AC63" s="12"/>
      <c r="AD63">
        <f t="shared" si="13"/>
        <v>9.9999999999909051E-2</v>
      </c>
    </row>
    <row r="64" spans="2:30">
      <c r="B64" t="s">
        <v>135</v>
      </c>
      <c r="C64">
        <v>5700</v>
      </c>
      <c r="D64">
        <v>1650.681</v>
      </c>
      <c r="E64">
        <f t="shared" si="0"/>
        <v>1650.68</v>
      </c>
      <c r="F64">
        <f t="shared" si="14"/>
        <v>1650.66</v>
      </c>
      <c r="G64">
        <f t="shared" si="6"/>
        <v>1.999999999998181E-2</v>
      </c>
      <c r="H64">
        <v>2.2000000000000001E-3</v>
      </c>
      <c r="J64" s="12"/>
      <c r="K64" s="10">
        <f t="shared" si="1"/>
        <v>5700</v>
      </c>
      <c r="L64" s="9">
        <f t="shared" si="2"/>
        <v>0.46</v>
      </c>
      <c r="M64" s="9">
        <f t="shared" si="25"/>
        <v>0.35</v>
      </c>
      <c r="N64" s="9">
        <f t="shared" si="8"/>
        <v>1.35</v>
      </c>
      <c r="O64" s="9">
        <f t="shared" si="9"/>
        <v>1.21</v>
      </c>
      <c r="P64" s="9">
        <f t="shared" si="30"/>
        <v>0.5</v>
      </c>
      <c r="Q64" s="9">
        <f t="shared" si="31"/>
        <v>0.43</v>
      </c>
      <c r="R64" s="9">
        <v>1.4999999999999999E-2</v>
      </c>
      <c r="S64" s="9">
        <f t="shared" si="10"/>
        <v>2.2000000000000001E-3</v>
      </c>
      <c r="T64" s="9" t="str">
        <f t="shared" si="11"/>
        <v>1/455</v>
      </c>
      <c r="U64" s="9" t="str">
        <f t="shared" si="17"/>
        <v>U80</v>
      </c>
      <c r="V64" s="9">
        <f t="shared" si="32"/>
        <v>0.28999999999999998</v>
      </c>
      <c r="W64" s="9">
        <f t="shared" si="33"/>
        <v>0.34</v>
      </c>
      <c r="X64" s="9">
        <f t="shared" si="12"/>
        <v>0.30000000000000004</v>
      </c>
      <c r="Y64" s="9">
        <f t="shared" si="20"/>
        <v>0.8</v>
      </c>
      <c r="Z64" s="9">
        <f t="shared" si="22"/>
        <v>1650.68</v>
      </c>
      <c r="AA64" s="9">
        <f t="shared" si="23"/>
        <v>1650.66</v>
      </c>
      <c r="AB64" s="14">
        <f t="shared" si="24"/>
        <v>1651.0900000000001</v>
      </c>
      <c r="AC64" s="12"/>
      <c r="AD64">
        <f t="shared" si="13"/>
        <v>1.999999999998181E-2</v>
      </c>
    </row>
    <row r="65" spans="2:30">
      <c r="B65" t="s">
        <v>137</v>
      </c>
      <c r="C65">
        <v>5800</v>
      </c>
      <c r="D65">
        <v>1650.6310000000001</v>
      </c>
      <c r="E65">
        <f t="shared" si="0"/>
        <v>1650.63</v>
      </c>
      <c r="F65">
        <f t="shared" si="14"/>
        <v>1650.44</v>
      </c>
      <c r="G65">
        <f t="shared" si="6"/>
        <v>0.19000000000005457</v>
      </c>
      <c r="H65">
        <v>2.2000000000000001E-3</v>
      </c>
      <c r="J65" s="12"/>
      <c r="K65" s="10">
        <f t="shared" si="1"/>
        <v>5800</v>
      </c>
      <c r="L65" s="9">
        <f t="shared" si="2"/>
        <v>0.46</v>
      </c>
      <c r="M65" s="9">
        <f t="shared" si="25"/>
        <v>0.35</v>
      </c>
      <c r="N65" s="9">
        <f t="shared" si="8"/>
        <v>1.35</v>
      </c>
      <c r="O65" s="9">
        <f t="shared" si="9"/>
        <v>1.21</v>
      </c>
      <c r="P65" s="9">
        <f t="shared" si="30"/>
        <v>0.5</v>
      </c>
      <c r="Q65" s="9">
        <f t="shared" si="31"/>
        <v>0.43</v>
      </c>
      <c r="R65" s="9">
        <v>1.4999999999999999E-2</v>
      </c>
      <c r="S65" s="9">
        <f t="shared" si="10"/>
        <v>2.2000000000000001E-3</v>
      </c>
      <c r="T65" s="9" t="str">
        <f t="shared" si="11"/>
        <v>1/455</v>
      </c>
      <c r="U65" s="9" t="str">
        <f t="shared" si="17"/>
        <v>U80</v>
      </c>
      <c r="V65" s="9">
        <f t="shared" si="32"/>
        <v>0.28999999999999998</v>
      </c>
      <c r="W65" s="9">
        <f t="shared" si="33"/>
        <v>0.34</v>
      </c>
      <c r="X65" s="9">
        <f t="shared" si="12"/>
        <v>0.30000000000000004</v>
      </c>
      <c r="Y65" s="9">
        <f t="shared" si="20"/>
        <v>0.8</v>
      </c>
      <c r="Z65" s="9">
        <f t="shared" si="22"/>
        <v>1650.63</v>
      </c>
      <c r="AA65" s="9">
        <f t="shared" si="23"/>
        <v>1650.44</v>
      </c>
      <c r="AB65" s="14">
        <f t="shared" si="24"/>
        <v>1650.8700000000001</v>
      </c>
      <c r="AC65" s="12"/>
      <c r="AD65">
        <f t="shared" si="13"/>
        <v>0.19000000000005457</v>
      </c>
    </row>
    <row r="66" spans="2:30">
      <c r="B66" t="s">
        <v>421</v>
      </c>
      <c r="C66">
        <v>5871</v>
      </c>
      <c r="D66">
        <v>1650.7239999999999</v>
      </c>
      <c r="E66">
        <f t="shared" si="0"/>
        <v>1650.72</v>
      </c>
      <c r="F66">
        <f t="shared" si="14"/>
        <v>1650.28</v>
      </c>
      <c r="G66">
        <f t="shared" si="6"/>
        <v>0.44000000000005457</v>
      </c>
      <c r="H66">
        <v>2.2000000000000001E-3</v>
      </c>
      <c r="J66" s="12" t="s">
        <v>478</v>
      </c>
      <c r="K66" s="10">
        <f t="shared" si="1"/>
        <v>5871</v>
      </c>
      <c r="L66" s="9">
        <f t="shared" si="2"/>
        <v>0.46</v>
      </c>
      <c r="M66" s="9">
        <f t="shared" si="25"/>
        <v>0.35</v>
      </c>
      <c r="N66" s="9">
        <f t="shared" si="8"/>
        <v>1.35</v>
      </c>
      <c r="O66" s="9">
        <f t="shared" si="9"/>
        <v>1.21</v>
      </c>
      <c r="P66" s="9">
        <f t="shared" si="30"/>
        <v>0.5</v>
      </c>
      <c r="Q66" s="9">
        <f t="shared" si="31"/>
        <v>0.43</v>
      </c>
      <c r="R66" s="9">
        <v>1.4999999999999999E-2</v>
      </c>
      <c r="S66" s="9">
        <f t="shared" si="10"/>
        <v>2.2000000000000001E-3</v>
      </c>
      <c r="T66" s="9" t="str">
        <f t="shared" si="11"/>
        <v>1/455</v>
      </c>
      <c r="U66" s="9" t="str">
        <f t="shared" si="17"/>
        <v>U80</v>
      </c>
      <c r="V66" s="9">
        <f t="shared" si="32"/>
        <v>0.28999999999999998</v>
      </c>
      <c r="W66" s="9">
        <f t="shared" si="33"/>
        <v>0.34</v>
      </c>
      <c r="X66" s="9">
        <f t="shared" si="12"/>
        <v>0.30000000000000004</v>
      </c>
      <c r="Y66" s="9">
        <f t="shared" si="20"/>
        <v>0.8</v>
      </c>
      <c r="Z66" s="9">
        <f t="shared" si="22"/>
        <v>1650.72</v>
      </c>
      <c r="AA66" s="9">
        <f t="shared" si="23"/>
        <v>1650.28</v>
      </c>
      <c r="AB66" s="14">
        <f t="shared" si="24"/>
        <v>1650.71</v>
      </c>
      <c r="AC66" s="12"/>
      <c r="AD66">
        <f t="shared" si="13"/>
        <v>0.44000000000005457</v>
      </c>
    </row>
    <row r="67" spans="2:30">
      <c r="B67" s="10">
        <v>5900</v>
      </c>
      <c r="C67" s="10">
        <v>5900</v>
      </c>
      <c r="E67">
        <v>1650.67</v>
      </c>
      <c r="F67">
        <f t="shared" si="14"/>
        <v>1650.22</v>
      </c>
      <c r="G67">
        <f t="shared" si="6"/>
        <v>0.45000000000004547</v>
      </c>
      <c r="H67">
        <v>2.2000000000000001E-3</v>
      </c>
      <c r="K67" s="31">
        <f t="shared" si="1"/>
        <v>5900</v>
      </c>
      <c r="L67" s="32">
        <f t="shared" si="2"/>
        <v>0.46</v>
      </c>
      <c r="M67" s="9">
        <f t="shared" si="25"/>
        <v>0.35</v>
      </c>
      <c r="N67" s="32">
        <f t="shared" si="8"/>
        <v>1.35</v>
      </c>
      <c r="O67" s="32">
        <f t="shared" si="9"/>
        <v>1.21</v>
      </c>
      <c r="P67" s="32">
        <f t="shared" si="30"/>
        <v>0.5</v>
      </c>
      <c r="Q67" s="32">
        <f t="shared" si="31"/>
        <v>0.43</v>
      </c>
      <c r="R67" s="32">
        <v>1.4999999999999999E-2</v>
      </c>
      <c r="S67" s="32">
        <f t="shared" si="10"/>
        <v>2.2000000000000001E-3</v>
      </c>
      <c r="T67" s="32" t="str">
        <f t="shared" si="11"/>
        <v>1/455</v>
      </c>
      <c r="U67" s="32" t="str">
        <f t="shared" si="17"/>
        <v>U80</v>
      </c>
      <c r="V67" s="32">
        <f t="shared" si="32"/>
        <v>0.28999999999999998</v>
      </c>
      <c r="W67" s="32">
        <f t="shared" si="33"/>
        <v>0.34</v>
      </c>
      <c r="X67" s="32">
        <f t="shared" ref="X67:X75" si="34">Y67-P67</f>
        <v>0.30000000000000004</v>
      </c>
      <c r="Y67" s="32">
        <f t="shared" si="20"/>
        <v>0.8</v>
      </c>
      <c r="Z67" s="32">
        <f t="shared" si="22"/>
        <v>1650.67</v>
      </c>
      <c r="AA67" s="32">
        <f t="shared" si="23"/>
        <v>1650.22</v>
      </c>
      <c r="AB67" s="33">
        <f t="shared" si="24"/>
        <v>1650.65</v>
      </c>
    </row>
    <row r="68" spans="2:30">
      <c r="B68" s="10">
        <v>6000</v>
      </c>
      <c r="C68" s="10">
        <v>6000</v>
      </c>
      <c r="E68">
        <v>1650.51</v>
      </c>
      <c r="F68">
        <f t="shared" si="14"/>
        <v>1650</v>
      </c>
      <c r="G68">
        <f t="shared" si="6"/>
        <v>0.50999999999999091</v>
      </c>
      <c r="H68">
        <v>2.2000000000000001E-3</v>
      </c>
      <c r="K68" s="31">
        <f t="shared" si="1"/>
        <v>6000</v>
      </c>
      <c r="L68" s="32">
        <f t="shared" si="2"/>
        <v>0.46</v>
      </c>
      <c r="M68" s="9">
        <f t="shared" si="25"/>
        <v>0.35</v>
      </c>
      <c r="N68" s="32">
        <f t="shared" si="8"/>
        <v>1.35</v>
      </c>
      <c r="O68" s="32">
        <f t="shared" si="9"/>
        <v>1.21</v>
      </c>
      <c r="P68" s="32">
        <f t="shared" si="30"/>
        <v>0.5</v>
      </c>
      <c r="Q68" s="32">
        <f t="shared" si="31"/>
        <v>0.43</v>
      </c>
      <c r="R68" s="32">
        <v>1.4999999999999999E-2</v>
      </c>
      <c r="S68" s="32">
        <f t="shared" si="10"/>
        <v>2.2000000000000001E-3</v>
      </c>
      <c r="T68" s="32" t="str">
        <f t="shared" si="11"/>
        <v>1/455</v>
      </c>
      <c r="U68" s="32" t="str">
        <f t="shared" si="17"/>
        <v>U80</v>
      </c>
      <c r="V68" s="32">
        <f t="shared" si="32"/>
        <v>0.28999999999999998</v>
      </c>
      <c r="W68" s="32">
        <f t="shared" si="33"/>
        <v>0.34</v>
      </c>
      <c r="X68" s="32">
        <f t="shared" si="34"/>
        <v>0.30000000000000004</v>
      </c>
      <c r="Y68" s="32">
        <f t="shared" si="20"/>
        <v>0.8</v>
      </c>
      <c r="Z68" s="32">
        <f t="shared" si="22"/>
        <v>1650.51</v>
      </c>
      <c r="AA68" s="32">
        <f t="shared" si="23"/>
        <v>1650</v>
      </c>
      <c r="AB68" s="33">
        <f t="shared" si="24"/>
        <v>1650.43</v>
      </c>
    </row>
    <row r="69" spans="2:30">
      <c r="B69" s="10">
        <v>6100</v>
      </c>
      <c r="C69" s="10">
        <v>6100</v>
      </c>
      <c r="E69">
        <v>1650.26</v>
      </c>
      <c r="F69">
        <f t="shared" si="14"/>
        <v>1649.78</v>
      </c>
      <c r="G69">
        <f t="shared" si="6"/>
        <v>0.48000000000001819</v>
      </c>
      <c r="H69">
        <v>2.2000000000000001E-3</v>
      </c>
      <c r="K69" s="31">
        <f t="shared" ref="K69:K76" si="35">C69</f>
        <v>6100</v>
      </c>
      <c r="L69" s="32">
        <f t="shared" ref="L69:L76" si="36">ROUND(M69*1.3,2)</f>
        <v>0.46</v>
      </c>
      <c r="M69" s="9">
        <f t="shared" si="25"/>
        <v>0.35</v>
      </c>
      <c r="N69" s="32">
        <f t="shared" si="8"/>
        <v>1.35</v>
      </c>
      <c r="O69" s="32">
        <f t="shared" si="9"/>
        <v>1.21</v>
      </c>
      <c r="P69" s="32">
        <f t="shared" si="30"/>
        <v>0.5</v>
      </c>
      <c r="Q69" s="32">
        <f t="shared" si="31"/>
        <v>0.43</v>
      </c>
      <c r="R69" s="32">
        <v>1.4999999999999999E-2</v>
      </c>
      <c r="S69" s="32">
        <f t="shared" si="10"/>
        <v>2.2000000000000001E-3</v>
      </c>
      <c r="T69" s="32" t="str">
        <f t="shared" si="11"/>
        <v>1/455</v>
      </c>
      <c r="U69" s="32" t="str">
        <f t="shared" si="17"/>
        <v>U80</v>
      </c>
      <c r="V69" s="32">
        <f t="shared" si="32"/>
        <v>0.28999999999999998</v>
      </c>
      <c r="W69" s="32">
        <f t="shared" si="33"/>
        <v>0.34</v>
      </c>
      <c r="X69" s="32">
        <f t="shared" si="34"/>
        <v>0.30000000000000004</v>
      </c>
      <c r="Y69" s="32">
        <f t="shared" si="20"/>
        <v>0.8</v>
      </c>
      <c r="Z69" s="32">
        <f t="shared" si="22"/>
        <v>1650.26</v>
      </c>
      <c r="AA69" s="32">
        <f t="shared" si="23"/>
        <v>1649.78</v>
      </c>
      <c r="AB69" s="33">
        <f t="shared" si="24"/>
        <v>1650.21</v>
      </c>
    </row>
    <row r="70" spans="2:30">
      <c r="B70" s="10">
        <v>6200</v>
      </c>
      <c r="C70" s="10">
        <v>6200</v>
      </c>
      <c r="E70">
        <v>1650.05</v>
      </c>
      <c r="F70">
        <f t="shared" si="14"/>
        <v>1649.56</v>
      </c>
      <c r="G70">
        <f t="shared" ref="G70:G77" si="37">E70-F70</f>
        <v>0.49000000000000909</v>
      </c>
      <c r="H70">
        <v>2.2000000000000001E-3</v>
      </c>
      <c r="K70" s="31">
        <f t="shared" si="35"/>
        <v>6200</v>
      </c>
      <c r="L70" s="32">
        <f t="shared" si="36"/>
        <v>0.46</v>
      </c>
      <c r="M70" s="9">
        <f t="shared" si="25"/>
        <v>0.35</v>
      </c>
      <c r="N70" s="32">
        <f t="shared" ref="N70:N76" si="38">ROUND(L70/W70,2)</f>
        <v>1.35</v>
      </c>
      <c r="O70" s="32">
        <f t="shared" ref="O70:O76" si="39">ROUND(M70/V70,2)</f>
        <v>1.21</v>
      </c>
      <c r="P70" s="32">
        <v>0.55000000000000004</v>
      </c>
      <c r="Q70" s="32">
        <v>0.46</v>
      </c>
      <c r="R70" s="32">
        <v>1.4999999999999999E-2</v>
      </c>
      <c r="S70" s="32">
        <f t="shared" ref="S70:S76" si="40">H70</f>
        <v>2.2000000000000001E-3</v>
      </c>
      <c r="T70" s="32" t="str">
        <f t="shared" ref="T70:T75" si="41">"1/"&amp;ROUND(1/S70,0)</f>
        <v>1/455</v>
      </c>
      <c r="U70" s="32" t="str">
        <f t="shared" si="17"/>
        <v>U80</v>
      </c>
      <c r="V70" s="32">
        <f t="shared" si="32"/>
        <v>0.28999999999999998</v>
      </c>
      <c r="W70" s="32">
        <f t="shared" si="33"/>
        <v>0.34</v>
      </c>
      <c r="X70" s="32">
        <f t="shared" si="34"/>
        <v>0.25</v>
      </c>
      <c r="Y70" s="32">
        <f t="shared" si="20"/>
        <v>0.8</v>
      </c>
      <c r="Z70" s="32">
        <f t="shared" si="22"/>
        <v>1650.05</v>
      </c>
      <c r="AA70" s="32">
        <f t="shared" si="23"/>
        <v>1649.56</v>
      </c>
      <c r="AB70" s="33">
        <f t="shared" si="24"/>
        <v>1650.02</v>
      </c>
    </row>
    <row r="71" spans="2:30">
      <c r="B71" s="10">
        <v>6300</v>
      </c>
      <c r="C71" s="10">
        <v>6300</v>
      </c>
      <c r="E71">
        <v>1649.33</v>
      </c>
      <c r="F71">
        <f t="shared" ref="F71:F77" si="42">ROUND(F70-(C71-C70)*H70,2)</f>
        <v>1649.34</v>
      </c>
      <c r="G71">
        <f t="shared" si="37"/>
        <v>-9.9999999999909051E-3</v>
      </c>
      <c r="H71">
        <v>1E-3</v>
      </c>
      <c r="K71" s="31">
        <f t="shared" si="35"/>
        <v>6300</v>
      </c>
      <c r="L71" s="32">
        <f t="shared" si="36"/>
        <v>0.46</v>
      </c>
      <c r="M71" s="9">
        <f t="shared" si="25"/>
        <v>0.35</v>
      </c>
      <c r="N71" s="32">
        <f t="shared" si="38"/>
        <v>1.21</v>
      </c>
      <c r="O71" s="32">
        <f t="shared" si="39"/>
        <v>1.17</v>
      </c>
      <c r="P71" s="32">
        <f t="shared" si="30"/>
        <v>0.55000000000000004</v>
      </c>
      <c r="Q71" s="32">
        <f t="shared" si="31"/>
        <v>0.46</v>
      </c>
      <c r="R71" s="32">
        <v>1.4999999999999999E-2</v>
      </c>
      <c r="S71" s="32">
        <f t="shared" si="40"/>
        <v>1E-3</v>
      </c>
      <c r="T71" s="32" t="str">
        <f t="shared" si="41"/>
        <v>1/1000</v>
      </c>
      <c r="U71" s="32" t="str">
        <f t="shared" ref="U71:U76" si="43">U70</f>
        <v>U80</v>
      </c>
      <c r="V71" s="32">
        <v>0.3</v>
      </c>
      <c r="W71" s="32">
        <v>0.38</v>
      </c>
      <c r="X71" s="32">
        <f t="shared" si="34"/>
        <v>0.25</v>
      </c>
      <c r="Y71" s="32">
        <f t="shared" ref="Y71:Y76" si="44">Y70</f>
        <v>0.8</v>
      </c>
      <c r="Z71" s="32">
        <f t="shared" si="22"/>
        <v>1649.33</v>
      </c>
      <c r="AA71" s="32">
        <f t="shared" si="23"/>
        <v>1649.34</v>
      </c>
      <c r="AB71" s="33">
        <f t="shared" si="24"/>
        <v>1649.8</v>
      </c>
    </row>
    <row r="72" spans="2:30">
      <c r="B72" s="10">
        <v>6400</v>
      </c>
      <c r="C72" s="10">
        <v>6400</v>
      </c>
      <c r="E72">
        <v>1649.69</v>
      </c>
      <c r="F72">
        <f t="shared" si="42"/>
        <v>1649.24</v>
      </c>
      <c r="G72">
        <f t="shared" si="37"/>
        <v>0.45000000000004547</v>
      </c>
      <c r="H72">
        <v>1E-3</v>
      </c>
      <c r="K72" s="31">
        <f t="shared" si="35"/>
        <v>6400</v>
      </c>
      <c r="L72" s="32">
        <f t="shared" si="36"/>
        <v>0.46</v>
      </c>
      <c r="M72" s="9">
        <f t="shared" si="25"/>
        <v>0.35</v>
      </c>
      <c r="N72" s="32">
        <f t="shared" si="38"/>
        <v>1.21</v>
      </c>
      <c r="O72" s="32">
        <f t="shared" si="39"/>
        <v>1.17</v>
      </c>
      <c r="P72" s="32">
        <f t="shared" si="30"/>
        <v>0.55000000000000004</v>
      </c>
      <c r="Q72" s="32">
        <f t="shared" si="31"/>
        <v>0.46</v>
      </c>
      <c r="R72" s="32">
        <v>1.4999999999999999E-2</v>
      </c>
      <c r="S72" s="32">
        <f t="shared" si="40"/>
        <v>1E-3</v>
      </c>
      <c r="T72" s="32" t="str">
        <f t="shared" si="41"/>
        <v>1/1000</v>
      </c>
      <c r="U72" s="32" t="str">
        <f t="shared" si="43"/>
        <v>U80</v>
      </c>
      <c r="V72" s="32">
        <f t="shared" si="32"/>
        <v>0.3</v>
      </c>
      <c r="W72" s="32">
        <f t="shared" si="33"/>
        <v>0.38</v>
      </c>
      <c r="X72" s="32">
        <f t="shared" si="34"/>
        <v>0.25</v>
      </c>
      <c r="Y72" s="32">
        <f t="shared" si="44"/>
        <v>0.8</v>
      </c>
      <c r="Z72" s="32">
        <f t="shared" si="22"/>
        <v>1649.69</v>
      </c>
      <c r="AA72" s="32">
        <f t="shared" si="23"/>
        <v>1649.24</v>
      </c>
      <c r="AB72" s="33">
        <f t="shared" si="24"/>
        <v>1649.7</v>
      </c>
    </row>
    <row r="73" spans="2:30">
      <c r="B73" s="10">
        <v>6500</v>
      </c>
      <c r="C73" s="10">
        <v>6500</v>
      </c>
      <c r="E73">
        <v>1649.61</v>
      </c>
      <c r="F73">
        <f t="shared" si="42"/>
        <v>1649.14</v>
      </c>
      <c r="G73">
        <f t="shared" si="37"/>
        <v>0.46999999999979991</v>
      </c>
      <c r="H73">
        <v>1E-3</v>
      </c>
      <c r="K73" s="31">
        <f t="shared" si="35"/>
        <v>6500</v>
      </c>
      <c r="L73" s="32">
        <f t="shared" si="36"/>
        <v>0.46</v>
      </c>
      <c r="M73" s="9">
        <f t="shared" si="25"/>
        <v>0.35</v>
      </c>
      <c r="N73" s="32">
        <f t="shared" si="38"/>
        <v>1.21</v>
      </c>
      <c r="O73" s="32">
        <f t="shared" si="39"/>
        <v>1.17</v>
      </c>
      <c r="P73" s="32">
        <f t="shared" si="30"/>
        <v>0.55000000000000004</v>
      </c>
      <c r="Q73" s="32">
        <f t="shared" si="31"/>
        <v>0.46</v>
      </c>
      <c r="R73" s="32">
        <v>1.4999999999999999E-2</v>
      </c>
      <c r="S73" s="32">
        <f t="shared" si="40"/>
        <v>1E-3</v>
      </c>
      <c r="T73" s="32" t="str">
        <f t="shared" si="41"/>
        <v>1/1000</v>
      </c>
      <c r="U73" s="32" t="str">
        <f t="shared" si="43"/>
        <v>U80</v>
      </c>
      <c r="V73" s="32">
        <f t="shared" si="32"/>
        <v>0.3</v>
      </c>
      <c r="W73" s="32">
        <f t="shared" si="33"/>
        <v>0.38</v>
      </c>
      <c r="X73" s="32">
        <f t="shared" si="34"/>
        <v>0.25</v>
      </c>
      <c r="Y73" s="32">
        <f t="shared" si="44"/>
        <v>0.8</v>
      </c>
      <c r="Z73" s="32">
        <f t="shared" si="22"/>
        <v>1649.61</v>
      </c>
      <c r="AA73" s="32">
        <f t="shared" si="23"/>
        <v>1649.14</v>
      </c>
      <c r="AB73" s="33">
        <f t="shared" si="24"/>
        <v>1649.6000000000001</v>
      </c>
    </row>
    <row r="74" spans="2:30">
      <c r="B74" s="10">
        <v>6600</v>
      </c>
      <c r="C74" s="10">
        <v>6600</v>
      </c>
      <c r="E74">
        <v>1649.55</v>
      </c>
      <c r="F74">
        <f t="shared" si="42"/>
        <v>1649.04</v>
      </c>
      <c r="G74">
        <f t="shared" si="37"/>
        <v>0.50999999999999091</v>
      </c>
      <c r="H74">
        <v>1E-3</v>
      </c>
      <c r="K74" s="31">
        <f t="shared" si="35"/>
        <v>6600</v>
      </c>
      <c r="L74" s="32">
        <f t="shared" si="36"/>
        <v>0.46</v>
      </c>
      <c r="M74" s="9">
        <f t="shared" si="25"/>
        <v>0.35</v>
      </c>
      <c r="N74" s="32">
        <f t="shared" si="38"/>
        <v>1.21</v>
      </c>
      <c r="O74" s="32">
        <f t="shared" si="39"/>
        <v>1.17</v>
      </c>
      <c r="P74" s="32">
        <f t="shared" si="30"/>
        <v>0.55000000000000004</v>
      </c>
      <c r="Q74" s="32">
        <f t="shared" si="31"/>
        <v>0.46</v>
      </c>
      <c r="R74" s="32">
        <v>1.4999999999999999E-2</v>
      </c>
      <c r="S74" s="32">
        <f t="shared" si="40"/>
        <v>1E-3</v>
      </c>
      <c r="T74" s="32" t="str">
        <f t="shared" si="41"/>
        <v>1/1000</v>
      </c>
      <c r="U74" s="32" t="str">
        <f t="shared" si="43"/>
        <v>U80</v>
      </c>
      <c r="V74" s="32">
        <f t="shared" si="32"/>
        <v>0.3</v>
      </c>
      <c r="W74" s="32">
        <f t="shared" si="33"/>
        <v>0.38</v>
      </c>
      <c r="X74" s="32">
        <f t="shared" si="34"/>
        <v>0.25</v>
      </c>
      <c r="Y74" s="32">
        <f t="shared" si="44"/>
        <v>0.8</v>
      </c>
      <c r="Z74" s="32">
        <f t="shared" si="22"/>
        <v>1649.55</v>
      </c>
      <c r="AA74" s="32">
        <f t="shared" si="23"/>
        <v>1649.04</v>
      </c>
      <c r="AB74" s="33">
        <f t="shared" si="24"/>
        <v>1649.5</v>
      </c>
    </row>
    <row r="75" spans="2:30">
      <c r="B75" s="10">
        <v>6700</v>
      </c>
      <c r="C75" s="10">
        <v>6700</v>
      </c>
      <c r="E75">
        <v>1649.55</v>
      </c>
      <c r="F75">
        <f t="shared" si="42"/>
        <v>1648.94</v>
      </c>
      <c r="G75">
        <f t="shared" si="37"/>
        <v>0.60999999999989996</v>
      </c>
      <c r="H75">
        <v>1E-3</v>
      </c>
      <c r="K75" s="31">
        <f t="shared" si="35"/>
        <v>6700</v>
      </c>
      <c r="L75" s="32">
        <f t="shared" si="36"/>
        <v>0.46</v>
      </c>
      <c r="M75" s="9">
        <f t="shared" si="25"/>
        <v>0.35</v>
      </c>
      <c r="N75" s="32">
        <f t="shared" si="38"/>
        <v>1.21</v>
      </c>
      <c r="O75" s="32">
        <f t="shared" si="39"/>
        <v>1.17</v>
      </c>
      <c r="P75" s="32">
        <f t="shared" si="30"/>
        <v>0.55000000000000004</v>
      </c>
      <c r="Q75" s="32">
        <f t="shared" si="31"/>
        <v>0.46</v>
      </c>
      <c r="R75" s="32">
        <v>1.4999999999999999E-2</v>
      </c>
      <c r="S75" s="32">
        <f t="shared" si="40"/>
        <v>1E-3</v>
      </c>
      <c r="T75" s="32" t="str">
        <f t="shared" si="41"/>
        <v>1/1000</v>
      </c>
      <c r="U75" s="32" t="str">
        <f t="shared" si="43"/>
        <v>U80</v>
      </c>
      <c r="V75" s="32">
        <f t="shared" si="32"/>
        <v>0.3</v>
      </c>
      <c r="W75" s="32">
        <f t="shared" si="33"/>
        <v>0.38</v>
      </c>
      <c r="X75" s="32">
        <f t="shared" si="34"/>
        <v>0.25</v>
      </c>
      <c r="Y75" s="32">
        <f t="shared" si="44"/>
        <v>0.8</v>
      </c>
      <c r="Z75" s="32">
        <f t="shared" si="22"/>
        <v>1649.55</v>
      </c>
      <c r="AA75" s="32">
        <f t="shared" si="23"/>
        <v>1648.94</v>
      </c>
      <c r="AB75" s="33">
        <f t="shared" si="24"/>
        <v>1649.4</v>
      </c>
    </row>
    <row r="76" spans="2:30">
      <c r="B76" s="10">
        <v>6803</v>
      </c>
      <c r="C76" s="10">
        <v>6803</v>
      </c>
      <c r="E76">
        <v>1649.61</v>
      </c>
      <c r="F76">
        <f t="shared" si="42"/>
        <v>1648.84</v>
      </c>
      <c r="G76">
        <f t="shared" si="37"/>
        <v>0.76999999999998181</v>
      </c>
      <c r="H76">
        <v>1E-3</v>
      </c>
      <c r="K76" s="31">
        <f t="shared" si="35"/>
        <v>6803</v>
      </c>
      <c r="L76" s="32">
        <f t="shared" si="36"/>
        <v>0.46</v>
      </c>
      <c r="M76" s="9">
        <f t="shared" si="25"/>
        <v>0.35</v>
      </c>
      <c r="N76" s="32">
        <f t="shared" si="38"/>
        <v>1.21</v>
      </c>
      <c r="O76" s="32">
        <f t="shared" si="39"/>
        <v>1.17</v>
      </c>
      <c r="P76" s="32">
        <f t="shared" si="30"/>
        <v>0.55000000000000004</v>
      </c>
      <c r="Q76" s="32">
        <f t="shared" si="31"/>
        <v>0.46</v>
      </c>
      <c r="R76" s="32">
        <v>1.4999999999999999E-2</v>
      </c>
      <c r="S76" s="32">
        <f t="shared" si="40"/>
        <v>1E-3</v>
      </c>
      <c r="T76" s="32" t="str">
        <f t="shared" ref="T76" si="45">"1/"&amp;ROUND(1/S76,0)</f>
        <v>1/1000</v>
      </c>
      <c r="U76" s="32" t="str">
        <f t="shared" si="43"/>
        <v>U80</v>
      </c>
      <c r="V76" s="32">
        <f t="shared" si="32"/>
        <v>0.3</v>
      </c>
      <c r="W76" s="32">
        <f t="shared" si="33"/>
        <v>0.38</v>
      </c>
      <c r="X76" s="32">
        <f t="shared" ref="X76" si="46">Y76-P76</f>
        <v>0.25</v>
      </c>
      <c r="Y76" s="32">
        <f t="shared" si="44"/>
        <v>0.8</v>
      </c>
      <c r="Z76" s="32">
        <f t="shared" ref="Z76" si="47">E76</f>
        <v>1649.61</v>
      </c>
      <c r="AA76" s="32">
        <f t="shared" ref="AA76" si="48">F76</f>
        <v>1648.84</v>
      </c>
      <c r="AB76" s="33">
        <f t="shared" ref="AB76" si="49">AA76+Q76</f>
        <v>1649.3</v>
      </c>
    </row>
    <row r="77" spans="2:30">
      <c r="F77">
        <f t="shared" si="42"/>
        <v>1655.64</v>
      </c>
      <c r="G77">
        <f t="shared" si="37"/>
        <v>-1655.64</v>
      </c>
    </row>
    <row r="80" spans="2:30">
      <c r="K80" s="43" t="s">
        <v>336</v>
      </c>
      <c r="L80" s="43" t="s">
        <v>337</v>
      </c>
      <c r="M80" s="43"/>
      <c r="N80" s="43" t="s">
        <v>338</v>
      </c>
      <c r="O80" s="43"/>
      <c r="P80" s="43" t="s">
        <v>339</v>
      </c>
      <c r="Q80" s="43"/>
      <c r="R80" s="9" t="s">
        <v>340</v>
      </c>
      <c r="S80" s="9" t="s">
        <v>289</v>
      </c>
      <c r="T80" s="9" t="s">
        <v>863</v>
      </c>
      <c r="U80" s="43" t="s">
        <v>786</v>
      </c>
      <c r="V80" s="43"/>
      <c r="W80" s="43" t="s">
        <v>793</v>
      </c>
      <c r="X80" s="43"/>
      <c r="Y80" s="43" t="s">
        <v>794</v>
      </c>
      <c r="Z80" s="43"/>
      <c r="AA80" s="9" t="s">
        <v>789</v>
      </c>
      <c r="AB80" s="9" t="s">
        <v>790</v>
      </c>
    </row>
    <row r="81" spans="11:28" ht="15.6">
      <c r="K81" s="43"/>
      <c r="L81" s="9" t="s">
        <v>349</v>
      </c>
      <c r="M81" s="9" t="s">
        <v>348</v>
      </c>
      <c r="N81" s="9" t="s">
        <v>351</v>
      </c>
      <c r="O81" s="9" t="s">
        <v>352</v>
      </c>
      <c r="P81" s="9" t="s">
        <v>353</v>
      </c>
      <c r="Q81" s="9" t="s">
        <v>354</v>
      </c>
      <c r="R81" s="9" t="s">
        <v>309</v>
      </c>
      <c r="S81" s="9" t="s">
        <v>308</v>
      </c>
      <c r="T81" s="9" t="s">
        <v>864</v>
      </c>
      <c r="U81" s="9" t="s">
        <v>787</v>
      </c>
      <c r="V81" s="9" t="s">
        <v>788</v>
      </c>
      <c r="W81" s="9" t="s">
        <v>798</v>
      </c>
      <c r="X81" s="9" t="s">
        <v>799</v>
      </c>
      <c r="Y81" s="9" t="s">
        <v>800</v>
      </c>
      <c r="Z81" s="9" t="s">
        <v>801</v>
      </c>
      <c r="AA81" s="9" t="s">
        <v>792</v>
      </c>
      <c r="AB81" s="9" t="s">
        <v>791</v>
      </c>
    </row>
    <row r="82" spans="11:28" ht="16.2">
      <c r="K82" s="9" t="s">
        <v>356</v>
      </c>
      <c r="L82" s="9" t="s">
        <v>358</v>
      </c>
      <c r="M82" s="9" t="s">
        <v>358</v>
      </c>
      <c r="N82" s="9" t="s">
        <v>357</v>
      </c>
      <c r="O82" s="9" t="s">
        <v>357</v>
      </c>
      <c r="P82" s="9" t="s">
        <v>307</v>
      </c>
      <c r="Q82" s="9" t="s">
        <v>307</v>
      </c>
      <c r="R82" s="9"/>
      <c r="S82" s="9"/>
      <c r="T82" s="9" t="s">
        <v>795</v>
      </c>
      <c r="U82" s="9" t="s">
        <v>796</v>
      </c>
      <c r="V82" s="9" t="s">
        <v>796</v>
      </c>
      <c r="W82" s="9" t="s">
        <v>797</v>
      </c>
      <c r="X82" s="9"/>
      <c r="Y82" s="9" t="s">
        <v>797</v>
      </c>
      <c r="Z82" s="9"/>
      <c r="AA82" s="9" t="s">
        <v>797</v>
      </c>
      <c r="AB82" s="9" t="s">
        <v>797</v>
      </c>
    </row>
    <row r="83" spans="11:28">
      <c r="K83" s="10">
        <f>K5</f>
        <v>10</v>
      </c>
      <c r="L83" s="9">
        <f>L5</f>
        <v>0.61</v>
      </c>
      <c r="M83" s="9">
        <f t="shared" ref="M83:R83" si="50">M5</f>
        <v>0.47</v>
      </c>
      <c r="N83" s="9">
        <f t="shared" si="50"/>
        <v>1.65</v>
      </c>
      <c r="O83" s="9">
        <f t="shared" si="50"/>
        <v>1.57</v>
      </c>
      <c r="P83" s="9">
        <f t="shared" si="50"/>
        <v>0.54</v>
      </c>
      <c r="Q83" s="9">
        <f t="shared" si="50"/>
        <v>0.46</v>
      </c>
      <c r="R83" s="9">
        <f t="shared" si="50"/>
        <v>1.4999999999999999E-2</v>
      </c>
      <c r="S83" s="9" t="str">
        <f>T5</f>
        <v>1/250</v>
      </c>
      <c r="T83" s="9" t="str">
        <f>U5</f>
        <v>U80</v>
      </c>
      <c r="U83" s="9">
        <f>W5</f>
        <v>0.37</v>
      </c>
      <c r="V83" s="9">
        <f>V5</f>
        <v>0.3</v>
      </c>
      <c r="W83" s="13">
        <v>1.4430000000000001</v>
      </c>
      <c r="X83" s="13">
        <v>1.32</v>
      </c>
      <c r="Y83" s="13">
        <f>U83/W83</f>
        <v>0.25641025641025639</v>
      </c>
      <c r="Z83" s="13">
        <f>V83/X83</f>
        <v>0.22727272727272727</v>
      </c>
      <c r="AA83" s="9">
        <f>X5</f>
        <v>0.26</v>
      </c>
      <c r="AB83" s="9">
        <f>Y5</f>
        <v>0.8</v>
      </c>
    </row>
    <row r="84" spans="11:28">
      <c r="K84" s="10">
        <f t="shared" ref="K84:R84" si="51">K7</f>
        <v>200</v>
      </c>
      <c r="L84" s="9">
        <f t="shared" si="51"/>
        <v>0.61</v>
      </c>
      <c r="M84" s="9">
        <f t="shared" si="51"/>
        <v>0.47</v>
      </c>
      <c r="N84" s="9">
        <f t="shared" si="51"/>
        <v>1.65</v>
      </c>
      <c r="O84" s="9">
        <f t="shared" si="51"/>
        <v>1.57</v>
      </c>
      <c r="P84" s="9">
        <f t="shared" si="51"/>
        <v>0.54</v>
      </c>
      <c r="Q84" s="9">
        <f t="shared" si="51"/>
        <v>0.46</v>
      </c>
      <c r="R84" s="9">
        <f t="shared" si="51"/>
        <v>1.4999999999999999E-2</v>
      </c>
      <c r="S84" s="9" t="str">
        <f t="shared" ref="S84:T84" si="52">T7</f>
        <v>1/250</v>
      </c>
      <c r="T84" s="9" t="str">
        <f t="shared" si="52"/>
        <v>U80</v>
      </c>
      <c r="U84" s="9">
        <f>W7</f>
        <v>0.37</v>
      </c>
      <c r="V84" s="9">
        <f>V7</f>
        <v>0.3</v>
      </c>
      <c r="W84" s="13">
        <v>1.4430000000000001</v>
      </c>
      <c r="X84" s="13">
        <v>1.32</v>
      </c>
      <c r="Y84" s="13">
        <f t="shared" ref="Y84:Y115" si="53">U84/W84</f>
        <v>0.25641025641025639</v>
      </c>
      <c r="Z84" s="13">
        <f t="shared" ref="Z84:Z115" si="54">V84/X84</f>
        <v>0.22727272727272727</v>
      </c>
      <c r="AA84" s="9">
        <f t="shared" ref="AA84:AB84" si="55">X7</f>
        <v>0.26</v>
      </c>
      <c r="AB84" s="9">
        <f t="shared" si="55"/>
        <v>0.8</v>
      </c>
    </row>
    <row r="85" spans="11:28">
      <c r="K85" s="10">
        <f t="shared" ref="K85:R85" si="56">K9</f>
        <v>400</v>
      </c>
      <c r="L85" s="9">
        <f t="shared" si="56"/>
        <v>0.61</v>
      </c>
      <c r="M85" s="9">
        <f t="shared" si="56"/>
        <v>0.47</v>
      </c>
      <c r="N85" s="9">
        <f t="shared" si="56"/>
        <v>1.65</v>
      </c>
      <c r="O85" s="9">
        <f t="shared" si="56"/>
        <v>1.57</v>
      </c>
      <c r="P85" s="9">
        <f t="shared" si="56"/>
        <v>0.54</v>
      </c>
      <c r="Q85" s="9">
        <f t="shared" si="56"/>
        <v>0.46</v>
      </c>
      <c r="R85" s="9">
        <f t="shared" si="56"/>
        <v>1.4999999999999999E-2</v>
      </c>
      <c r="S85" s="9" t="str">
        <f t="shared" ref="S85:T85" si="57">T9</f>
        <v>1/250</v>
      </c>
      <c r="T85" s="9" t="str">
        <f t="shared" si="57"/>
        <v>U80</v>
      </c>
      <c r="U85" s="9">
        <f>W9</f>
        <v>0.37</v>
      </c>
      <c r="V85" s="9">
        <f>V9</f>
        <v>0.3</v>
      </c>
      <c r="W85" s="13">
        <v>1.4430000000000001</v>
      </c>
      <c r="X85" s="13">
        <v>1.32</v>
      </c>
      <c r="Y85" s="13">
        <f t="shared" si="53"/>
        <v>0.25641025641025639</v>
      </c>
      <c r="Z85" s="13">
        <f t="shared" si="54"/>
        <v>0.22727272727272727</v>
      </c>
      <c r="AA85" s="9">
        <f t="shared" ref="AA85:AB85" si="58">X9</f>
        <v>0.26</v>
      </c>
      <c r="AB85" s="9">
        <f t="shared" si="58"/>
        <v>0.8</v>
      </c>
    </row>
    <row r="86" spans="11:28">
      <c r="K86" s="10">
        <f t="shared" ref="K86:R86" si="59">K11</f>
        <v>600</v>
      </c>
      <c r="L86" s="9">
        <f t="shared" si="59"/>
        <v>0.61</v>
      </c>
      <c r="M86" s="9">
        <f t="shared" si="59"/>
        <v>0.47</v>
      </c>
      <c r="N86" s="9">
        <f t="shared" si="59"/>
        <v>1.65</v>
      </c>
      <c r="O86" s="9">
        <f t="shared" si="59"/>
        <v>1.57</v>
      </c>
      <c r="P86" s="9">
        <f t="shared" si="59"/>
        <v>0.54</v>
      </c>
      <c r="Q86" s="9">
        <f t="shared" si="59"/>
        <v>0.46</v>
      </c>
      <c r="R86" s="9">
        <f t="shared" si="59"/>
        <v>1.4999999999999999E-2</v>
      </c>
      <c r="S86" s="9" t="str">
        <f t="shared" ref="S86:T86" si="60">T11</f>
        <v>1/250</v>
      </c>
      <c r="T86" s="9" t="str">
        <f t="shared" si="60"/>
        <v>U80</v>
      </c>
      <c r="U86" s="9">
        <f>W11</f>
        <v>0.37</v>
      </c>
      <c r="V86" s="9">
        <f>V11</f>
        <v>0.3</v>
      </c>
      <c r="W86" s="13">
        <v>1.4430000000000001</v>
      </c>
      <c r="X86" s="13">
        <v>1.32</v>
      </c>
      <c r="Y86" s="13">
        <f t="shared" si="53"/>
        <v>0.25641025641025639</v>
      </c>
      <c r="Z86" s="13">
        <f t="shared" si="54"/>
        <v>0.22727272727272727</v>
      </c>
      <c r="AA86" s="9">
        <f t="shared" ref="AA86:AB86" si="61">X11</f>
        <v>0.26</v>
      </c>
      <c r="AB86" s="9">
        <f t="shared" si="61"/>
        <v>0.8</v>
      </c>
    </row>
    <row r="87" spans="11:28">
      <c r="K87" s="10">
        <f t="shared" ref="K87:R87" si="62">K13</f>
        <v>800</v>
      </c>
      <c r="L87" s="9">
        <f t="shared" si="62"/>
        <v>0.61</v>
      </c>
      <c r="M87" s="9">
        <f t="shared" si="62"/>
        <v>0.47</v>
      </c>
      <c r="N87" s="9">
        <f t="shared" si="62"/>
        <v>1.65</v>
      </c>
      <c r="O87" s="9">
        <f t="shared" si="62"/>
        <v>1.57</v>
      </c>
      <c r="P87" s="9">
        <f t="shared" si="62"/>
        <v>0.54</v>
      </c>
      <c r="Q87" s="9">
        <f t="shared" si="62"/>
        <v>0.46</v>
      </c>
      <c r="R87" s="9">
        <f t="shared" si="62"/>
        <v>1.4999999999999999E-2</v>
      </c>
      <c r="S87" s="9" t="str">
        <f t="shared" ref="S87:T87" si="63">T13</f>
        <v>1/250</v>
      </c>
      <c r="T87" s="9" t="str">
        <f t="shared" si="63"/>
        <v>U80</v>
      </c>
      <c r="U87" s="9">
        <f>W13</f>
        <v>0.37</v>
      </c>
      <c r="V87" s="9">
        <f>V13</f>
        <v>0.3</v>
      </c>
      <c r="W87" s="13">
        <v>1.4430000000000001</v>
      </c>
      <c r="X87" s="13">
        <v>1.32</v>
      </c>
      <c r="Y87" s="13">
        <f t="shared" si="53"/>
        <v>0.25641025641025639</v>
      </c>
      <c r="Z87" s="13">
        <f t="shared" si="54"/>
        <v>0.22727272727272727</v>
      </c>
      <c r="AA87" s="9">
        <f t="shared" ref="AA87:AB87" si="64">X13</f>
        <v>0.26</v>
      </c>
      <c r="AB87" s="9">
        <f t="shared" si="64"/>
        <v>0.8</v>
      </c>
    </row>
    <row r="88" spans="11:28">
      <c r="K88" s="10">
        <f t="shared" ref="K88:R88" si="65">K15</f>
        <v>1000</v>
      </c>
      <c r="L88" s="9">
        <f t="shared" si="65"/>
        <v>0.61</v>
      </c>
      <c r="M88" s="9">
        <f t="shared" si="65"/>
        <v>0.47</v>
      </c>
      <c r="N88" s="9">
        <f t="shared" si="65"/>
        <v>1.65</v>
      </c>
      <c r="O88" s="9">
        <f t="shared" si="65"/>
        <v>1.57</v>
      </c>
      <c r="P88" s="9">
        <f t="shared" si="65"/>
        <v>0.54</v>
      </c>
      <c r="Q88" s="9">
        <f t="shared" si="65"/>
        <v>0.46</v>
      </c>
      <c r="R88" s="9">
        <f t="shared" si="65"/>
        <v>1.4999999999999999E-2</v>
      </c>
      <c r="S88" s="9" t="str">
        <f t="shared" ref="S88:T88" si="66">T15</f>
        <v>1/250</v>
      </c>
      <c r="T88" s="9" t="str">
        <f t="shared" si="66"/>
        <v>U80</v>
      </c>
      <c r="U88" s="9">
        <f>W15</f>
        <v>0.37</v>
      </c>
      <c r="V88" s="9">
        <f>V15</f>
        <v>0.3</v>
      </c>
      <c r="W88" s="13">
        <v>1.4430000000000001</v>
      </c>
      <c r="X88" s="13">
        <v>1.32</v>
      </c>
      <c r="Y88" s="13">
        <f t="shared" si="53"/>
        <v>0.25641025641025639</v>
      </c>
      <c r="Z88" s="13">
        <f t="shared" si="54"/>
        <v>0.22727272727272727</v>
      </c>
      <c r="AA88" s="9">
        <f t="shared" ref="AA88:AB88" si="67">X15</f>
        <v>0.26</v>
      </c>
      <c r="AB88" s="9">
        <f t="shared" si="67"/>
        <v>0.8</v>
      </c>
    </row>
    <row r="89" spans="11:28">
      <c r="K89" s="10">
        <f t="shared" ref="K89:R89" si="68">K19</f>
        <v>1200</v>
      </c>
      <c r="L89" s="9">
        <f t="shared" si="68"/>
        <v>0.61</v>
      </c>
      <c r="M89" s="9">
        <f t="shared" si="68"/>
        <v>0.47</v>
      </c>
      <c r="N89" s="9">
        <f t="shared" si="68"/>
        <v>1.65</v>
      </c>
      <c r="O89" s="9">
        <f t="shared" si="68"/>
        <v>1.57</v>
      </c>
      <c r="P89" s="9">
        <f t="shared" si="68"/>
        <v>0.54</v>
      </c>
      <c r="Q89" s="9">
        <f t="shared" si="68"/>
        <v>0.46</v>
      </c>
      <c r="R89" s="9">
        <f t="shared" si="68"/>
        <v>1.4999999999999999E-2</v>
      </c>
      <c r="S89" s="9" t="str">
        <f t="shared" ref="S89:T89" si="69">T19</f>
        <v>1/250</v>
      </c>
      <c r="T89" s="9" t="str">
        <f t="shared" si="69"/>
        <v>U80</v>
      </c>
      <c r="U89" s="9">
        <f>W19</f>
        <v>0.37</v>
      </c>
      <c r="V89" s="9">
        <f>V19</f>
        <v>0.3</v>
      </c>
      <c r="W89" s="13">
        <v>1.4430000000000001</v>
      </c>
      <c r="X89" s="13">
        <v>1.32</v>
      </c>
      <c r="Y89" s="13">
        <f t="shared" si="53"/>
        <v>0.25641025641025639</v>
      </c>
      <c r="Z89" s="13">
        <f t="shared" si="54"/>
        <v>0.22727272727272727</v>
      </c>
      <c r="AA89" s="9">
        <f t="shared" ref="AA89:AB89" si="70">X19</f>
        <v>0.26</v>
      </c>
      <c r="AB89" s="9">
        <f t="shared" si="70"/>
        <v>0.8</v>
      </c>
    </row>
    <row r="90" spans="11:28">
      <c r="K90" s="10">
        <f t="shared" ref="K90:R90" si="71">K21</f>
        <v>1400</v>
      </c>
      <c r="L90" s="9">
        <f t="shared" si="71"/>
        <v>0.61</v>
      </c>
      <c r="M90" s="9">
        <f t="shared" si="71"/>
        <v>0.47</v>
      </c>
      <c r="N90" s="9">
        <f t="shared" si="71"/>
        <v>1.65</v>
      </c>
      <c r="O90" s="9">
        <f t="shared" si="71"/>
        <v>1.57</v>
      </c>
      <c r="P90" s="9">
        <f t="shared" si="71"/>
        <v>0.54</v>
      </c>
      <c r="Q90" s="9">
        <f t="shared" si="71"/>
        <v>0.46</v>
      </c>
      <c r="R90" s="9">
        <f t="shared" si="71"/>
        <v>1.4999999999999999E-2</v>
      </c>
      <c r="S90" s="9" t="str">
        <f t="shared" ref="S90:T90" si="72">T21</f>
        <v>1/250</v>
      </c>
      <c r="T90" s="9" t="str">
        <f t="shared" si="72"/>
        <v>U80</v>
      </c>
      <c r="U90" s="9">
        <f>W21</f>
        <v>0.37</v>
      </c>
      <c r="V90" s="9">
        <f>V21</f>
        <v>0.3</v>
      </c>
      <c r="W90" s="13">
        <v>1.4430000000000001</v>
      </c>
      <c r="X90" s="13">
        <v>1.32</v>
      </c>
      <c r="Y90" s="13">
        <f t="shared" si="53"/>
        <v>0.25641025641025639</v>
      </c>
      <c r="Z90" s="13">
        <f t="shared" si="54"/>
        <v>0.22727272727272727</v>
      </c>
      <c r="AA90" s="9">
        <f t="shared" ref="AA90:AB90" si="73">X21</f>
        <v>0.26</v>
      </c>
      <c r="AB90" s="9">
        <f t="shared" si="73"/>
        <v>0.8</v>
      </c>
    </row>
    <row r="91" spans="11:28">
      <c r="K91" s="10">
        <f t="shared" ref="K91:R91" si="74">K23</f>
        <v>1600</v>
      </c>
      <c r="L91" s="9">
        <f t="shared" si="74"/>
        <v>0.61</v>
      </c>
      <c r="M91" s="9">
        <f t="shared" si="74"/>
        <v>0.47</v>
      </c>
      <c r="N91" s="9">
        <f t="shared" si="74"/>
        <v>1.65</v>
      </c>
      <c r="O91" s="9">
        <f t="shared" si="74"/>
        <v>1.57</v>
      </c>
      <c r="P91" s="9">
        <f t="shared" si="74"/>
        <v>0.54</v>
      </c>
      <c r="Q91" s="9">
        <f t="shared" si="74"/>
        <v>0.46</v>
      </c>
      <c r="R91" s="9">
        <f t="shared" si="74"/>
        <v>1.4999999999999999E-2</v>
      </c>
      <c r="S91" s="9" t="str">
        <f t="shared" ref="S91:T91" si="75">T23</f>
        <v>1/250</v>
      </c>
      <c r="T91" s="9" t="str">
        <f t="shared" si="75"/>
        <v>U80</v>
      </c>
      <c r="U91" s="9">
        <f>W23</f>
        <v>0.37</v>
      </c>
      <c r="V91" s="9">
        <f>V23</f>
        <v>0.3</v>
      </c>
      <c r="W91" s="13">
        <v>1.4430000000000001</v>
      </c>
      <c r="X91" s="13">
        <v>1.32</v>
      </c>
      <c r="Y91" s="13">
        <f t="shared" si="53"/>
        <v>0.25641025641025639</v>
      </c>
      <c r="Z91" s="13">
        <f t="shared" si="54"/>
        <v>0.22727272727272727</v>
      </c>
      <c r="AA91" s="9">
        <f t="shared" ref="AA91:AB91" si="76">X23</f>
        <v>0.26</v>
      </c>
      <c r="AB91" s="9">
        <f t="shared" si="76"/>
        <v>0.8</v>
      </c>
    </row>
    <row r="92" spans="11:28">
      <c r="K92" s="10">
        <f t="shared" ref="K92:R92" si="77">K25</f>
        <v>1800</v>
      </c>
      <c r="L92" s="9">
        <f t="shared" si="77"/>
        <v>0.61</v>
      </c>
      <c r="M92" s="9">
        <f t="shared" si="77"/>
        <v>0.47</v>
      </c>
      <c r="N92" s="9">
        <f t="shared" si="77"/>
        <v>1.65</v>
      </c>
      <c r="O92" s="9">
        <f t="shared" si="77"/>
        <v>1.57</v>
      </c>
      <c r="P92" s="9">
        <f t="shared" si="77"/>
        <v>0.54</v>
      </c>
      <c r="Q92" s="9">
        <f t="shared" si="77"/>
        <v>0.46</v>
      </c>
      <c r="R92" s="9">
        <f t="shared" si="77"/>
        <v>1.4999999999999999E-2</v>
      </c>
      <c r="S92" s="9" t="str">
        <f t="shared" ref="S92:T92" si="78">T25</f>
        <v>1/250</v>
      </c>
      <c r="T92" s="9" t="str">
        <f t="shared" si="78"/>
        <v>U80</v>
      </c>
      <c r="U92" s="9">
        <f>W25</f>
        <v>0.37</v>
      </c>
      <c r="V92" s="9">
        <f>V25</f>
        <v>0.3</v>
      </c>
      <c r="W92" s="13">
        <v>1.4430000000000001</v>
      </c>
      <c r="X92" s="13">
        <v>1.32</v>
      </c>
      <c r="Y92" s="13">
        <f t="shared" si="53"/>
        <v>0.25641025641025639</v>
      </c>
      <c r="Z92" s="13">
        <f t="shared" si="54"/>
        <v>0.22727272727272727</v>
      </c>
      <c r="AA92" s="9">
        <f t="shared" ref="AA92:AB92" si="79">X25</f>
        <v>0.26</v>
      </c>
      <c r="AB92" s="9">
        <f t="shared" si="79"/>
        <v>0.8</v>
      </c>
    </row>
    <row r="93" spans="11:28">
      <c r="K93" s="10">
        <f t="shared" ref="K93:R93" si="80">K27</f>
        <v>2000</v>
      </c>
      <c r="L93" s="9">
        <f t="shared" si="80"/>
        <v>0.61</v>
      </c>
      <c r="M93" s="9">
        <f t="shared" si="80"/>
        <v>0.47</v>
      </c>
      <c r="N93" s="9">
        <f t="shared" si="80"/>
        <v>1.65</v>
      </c>
      <c r="O93" s="9">
        <f t="shared" si="80"/>
        <v>1.57</v>
      </c>
      <c r="P93" s="9">
        <f t="shared" si="80"/>
        <v>0.54</v>
      </c>
      <c r="Q93" s="9">
        <f t="shared" si="80"/>
        <v>0.46</v>
      </c>
      <c r="R93" s="9">
        <f t="shared" si="80"/>
        <v>1.4999999999999999E-2</v>
      </c>
      <c r="S93" s="9" t="str">
        <f t="shared" ref="S93:T93" si="81">T27</f>
        <v>1/250</v>
      </c>
      <c r="T93" s="9" t="str">
        <f t="shared" si="81"/>
        <v>U80</v>
      </c>
      <c r="U93" s="9">
        <f>W27</f>
        <v>0.37</v>
      </c>
      <c r="V93" s="9">
        <f>V27</f>
        <v>0.3</v>
      </c>
      <c r="W93" s="13">
        <v>1.4430000000000001</v>
      </c>
      <c r="X93" s="13">
        <v>1.32</v>
      </c>
      <c r="Y93" s="13">
        <f t="shared" si="53"/>
        <v>0.25641025641025639</v>
      </c>
      <c r="Z93" s="13">
        <f t="shared" si="54"/>
        <v>0.22727272727272727</v>
      </c>
      <c r="AA93" s="9">
        <f t="shared" ref="AA93:AB93" si="82">X27</f>
        <v>0.26</v>
      </c>
      <c r="AB93" s="9">
        <f t="shared" si="82"/>
        <v>0.8</v>
      </c>
    </row>
    <row r="94" spans="11:28">
      <c r="K94" s="10">
        <f t="shared" ref="K94:R94" si="83">K29</f>
        <v>2200</v>
      </c>
      <c r="L94" s="9">
        <f t="shared" si="83"/>
        <v>0.61</v>
      </c>
      <c r="M94" s="9">
        <f t="shared" si="83"/>
        <v>0.47</v>
      </c>
      <c r="N94" s="9">
        <f t="shared" si="83"/>
        <v>1.65</v>
      </c>
      <c r="O94" s="9">
        <f t="shared" si="83"/>
        <v>1.57</v>
      </c>
      <c r="P94" s="9">
        <f t="shared" si="83"/>
        <v>0.54</v>
      </c>
      <c r="Q94" s="9">
        <f t="shared" si="83"/>
        <v>0.46</v>
      </c>
      <c r="R94" s="9">
        <f t="shared" si="83"/>
        <v>1.4999999999999999E-2</v>
      </c>
      <c r="S94" s="9" t="str">
        <f t="shared" ref="S94:T94" si="84">T29</f>
        <v>1/250</v>
      </c>
      <c r="T94" s="9" t="str">
        <f t="shared" si="84"/>
        <v>U80</v>
      </c>
      <c r="U94" s="9">
        <f>W29</f>
        <v>0.37</v>
      </c>
      <c r="V94" s="9">
        <f>V29</f>
        <v>0.3</v>
      </c>
      <c r="W94" s="13">
        <v>1.4430000000000001</v>
      </c>
      <c r="X94" s="13">
        <v>1.32</v>
      </c>
      <c r="Y94" s="13">
        <f t="shared" si="53"/>
        <v>0.25641025641025639</v>
      </c>
      <c r="Z94" s="13">
        <f t="shared" si="54"/>
        <v>0.22727272727272727</v>
      </c>
      <c r="AA94" s="9">
        <f t="shared" ref="AA94:AB94" si="85">X29</f>
        <v>0.26</v>
      </c>
      <c r="AB94" s="9">
        <f t="shared" si="85"/>
        <v>0.8</v>
      </c>
    </row>
    <row r="95" spans="11:28">
      <c r="K95" s="10">
        <f t="shared" ref="K95:R95" si="86">K31</f>
        <v>2400</v>
      </c>
      <c r="L95" s="9">
        <f t="shared" si="86"/>
        <v>0.61</v>
      </c>
      <c r="M95" s="9">
        <f t="shared" si="86"/>
        <v>0.47</v>
      </c>
      <c r="N95" s="9">
        <f t="shared" si="86"/>
        <v>1.65</v>
      </c>
      <c r="O95" s="9">
        <f t="shared" si="86"/>
        <v>1.57</v>
      </c>
      <c r="P95" s="9">
        <f t="shared" si="86"/>
        <v>0.54</v>
      </c>
      <c r="Q95" s="9">
        <f t="shared" si="86"/>
        <v>0.46</v>
      </c>
      <c r="R95" s="9">
        <f t="shared" si="86"/>
        <v>1.4999999999999999E-2</v>
      </c>
      <c r="S95" s="9" t="str">
        <f t="shared" ref="S95:T95" si="87">T31</f>
        <v>1/250</v>
      </c>
      <c r="T95" s="9" t="str">
        <f t="shared" si="87"/>
        <v>U80</v>
      </c>
      <c r="U95" s="9">
        <f>W31</f>
        <v>0.37</v>
      </c>
      <c r="V95" s="9">
        <f>V31</f>
        <v>0.3</v>
      </c>
      <c r="W95" s="13">
        <v>1.4430000000000001</v>
      </c>
      <c r="X95" s="13">
        <v>1.32</v>
      </c>
      <c r="Y95" s="13">
        <f t="shared" si="53"/>
        <v>0.25641025641025639</v>
      </c>
      <c r="Z95" s="13">
        <f t="shared" si="54"/>
        <v>0.22727272727272727</v>
      </c>
      <c r="AA95" s="9">
        <f t="shared" ref="AA95:AB95" si="88">X31</f>
        <v>0.26</v>
      </c>
      <c r="AB95" s="9">
        <f t="shared" si="88"/>
        <v>0.8</v>
      </c>
    </row>
    <row r="96" spans="11:28">
      <c r="K96" s="10">
        <f>K33</f>
        <v>2600</v>
      </c>
      <c r="L96" s="9">
        <f>L33</f>
        <v>0.61</v>
      </c>
      <c r="M96" s="9">
        <f>M33</f>
        <v>0.47</v>
      </c>
      <c r="N96" s="9">
        <f t="shared" ref="N96:R96" si="89">N33</f>
        <v>1.65</v>
      </c>
      <c r="O96" s="9">
        <f t="shared" si="89"/>
        <v>1.57</v>
      </c>
      <c r="P96" s="9">
        <f t="shared" si="89"/>
        <v>0.54</v>
      </c>
      <c r="Q96" s="9">
        <f t="shared" si="89"/>
        <v>0.46</v>
      </c>
      <c r="R96" s="9">
        <f t="shared" si="89"/>
        <v>1.4999999999999999E-2</v>
      </c>
      <c r="S96" s="9" t="str">
        <f t="shared" ref="S96:T96" si="90">T33</f>
        <v>1/250</v>
      </c>
      <c r="T96" s="9" t="str">
        <f t="shared" si="90"/>
        <v>U80</v>
      </c>
      <c r="U96" s="9">
        <f>W33</f>
        <v>0.37</v>
      </c>
      <c r="V96" s="9">
        <f>V33</f>
        <v>0.3</v>
      </c>
      <c r="W96" s="13">
        <v>1.4430000000000001</v>
      </c>
      <c r="X96" s="13">
        <v>1.32</v>
      </c>
      <c r="Y96" s="13">
        <f t="shared" si="53"/>
        <v>0.25641025641025639</v>
      </c>
      <c r="Z96" s="13">
        <f t="shared" si="54"/>
        <v>0.22727272727272727</v>
      </c>
      <c r="AA96" s="9">
        <f t="shared" ref="AA96:AB96" si="91">X33</f>
        <v>0.26</v>
      </c>
      <c r="AB96" s="9">
        <f t="shared" si="91"/>
        <v>0.8</v>
      </c>
    </row>
    <row r="97" spans="11:28">
      <c r="K97" s="10">
        <f>K34</f>
        <v>2700</v>
      </c>
      <c r="L97" s="9">
        <f t="shared" ref="L97:R97" si="92">L34</f>
        <v>0.61</v>
      </c>
      <c r="M97" s="9">
        <f t="shared" si="92"/>
        <v>0.47</v>
      </c>
      <c r="N97" s="9">
        <f t="shared" si="92"/>
        <v>1.65</v>
      </c>
      <c r="O97" s="9">
        <f t="shared" si="92"/>
        <v>1.57</v>
      </c>
      <c r="P97" s="9">
        <f t="shared" si="92"/>
        <v>0.54</v>
      </c>
      <c r="Q97" s="9">
        <f t="shared" si="92"/>
        <v>0.46</v>
      </c>
      <c r="R97" s="9">
        <f t="shared" si="92"/>
        <v>1.4999999999999999E-2</v>
      </c>
      <c r="S97" s="9" t="str">
        <f t="shared" ref="S97:T97" si="93">T34</f>
        <v>1/250</v>
      </c>
      <c r="T97" s="9" t="str">
        <f t="shared" si="93"/>
        <v>U80</v>
      </c>
      <c r="U97" s="9">
        <f>W34</f>
        <v>0.37</v>
      </c>
      <c r="V97" s="9">
        <f>V34</f>
        <v>0.3</v>
      </c>
      <c r="W97" s="13">
        <v>1.4430000000000001</v>
      </c>
      <c r="X97" s="13">
        <v>1.32</v>
      </c>
      <c r="Y97" s="13">
        <f t="shared" si="53"/>
        <v>0.25641025641025639</v>
      </c>
      <c r="Z97" s="13">
        <f t="shared" si="54"/>
        <v>0.22727272727272727</v>
      </c>
      <c r="AA97" s="9">
        <f t="shared" ref="AA97:AB97" si="94">X34</f>
        <v>0.26</v>
      </c>
      <c r="AB97" s="9">
        <f t="shared" si="94"/>
        <v>0.8</v>
      </c>
    </row>
    <row r="98" spans="11:28">
      <c r="K98" s="10">
        <f>K35</f>
        <v>2800</v>
      </c>
      <c r="L98" s="9">
        <f t="shared" ref="L98:R98" si="95">L35</f>
        <v>0.46</v>
      </c>
      <c r="M98" s="9">
        <f t="shared" si="95"/>
        <v>0.35</v>
      </c>
      <c r="N98" s="9">
        <f t="shared" si="95"/>
        <v>1.31</v>
      </c>
      <c r="O98" s="9">
        <f t="shared" si="95"/>
        <v>1.21</v>
      </c>
      <c r="P98" s="9">
        <f t="shared" si="95"/>
        <v>0.51</v>
      </c>
      <c r="Q98" s="9">
        <f t="shared" si="95"/>
        <v>0.44</v>
      </c>
      <c r="R98" s="9">
        <f t="shared" si="95"/>
        <v>1.4999999999999999E-2</v>
      </c>
      <c r="S98" s="9" t="str">
        <f t="shared" ref="S98:T98" si="96">T35</f>
        <v>1/455</v>
      </c>
      <c r="T98" s="9" t="str">
        <f t="shared" si="96"/>
        <v>U80</v>
      </c>
      <c r="U98" s="9">
        <f>W35</f>
        <v>0.35</v>
      </c>
      <c r="V98" s="9">
        <f>V35</f>
        <v>0.28999999999999998</v>
      </c>
      <c r="W98" s="13">
        <v>1.6479999999999999</v>
      </c>
      <c r="X98" s="13">
        <v>1.464</v>
      </c>
      <c r="Y98" s="13">
        <f t="shared" si="53"/>
        <v>0.21237864077669902</v>
      </c>
      <c r="Z98" s="13">
        <f t="shared" si="54"/>
        <v>0.19808743169398907</v>
      </c>
      <c r="AA98" s="9">
        <f t="shared" ref="AA98:AB98" si="97">X35</f>
        <v>0.29000000000000004</v>
      </c>
      <c r="AB98" s="9">
        <f t="shared" si="97"/>
        <v>0.8</v>
      </c>
    </row>
    <row r="99" spans="11:28">
      <c r="K99" s="10">
        <f>K37</f>
        <v>3000</v>
      </c>
      <c r="L99" s="9">
        <f t="shared" ref="L99:R99" si="98">L37</f>
        <v>0.46</v>
      </c>
      <c r="M99" s="9">
        <f t="shared" si="98"/>
        <v>0.35</v>
      </c>
      <c r="N99" s="9">
        <f t="shared" si="98"/>
        <v>1.31</v>
      </c>
      <c r="O99" s="9">
        <f t="shared" si="98"/>
        <v>1.21</v>
      </c>
      <c r="P99" s="9">
        <f t="shared" si="98"/>
        <v>0.51</v>
      </c>
      <c r="Q99" s="9">
        <f t="shared" si="98"/>
        <v>0.44</v>
      </c>
      <c r="R99" s="9">
        <f t="shared" si="98"/>
        <v>1.4999999999999999E-2</v>
      </c>
      <c r="S99" s="9" t="str">
        <f t="shared" ref="S99:T99" si="99">T37</f>
        <v>1/455</v>
      </c>
      <c r="T99" s="9" t="str">
        <f t="shared" si="99"/>
        <v>U80</v>
      </c>
      <c r="U99" s="9">
        <f>W37</f>
        <v>0.35</v>
      </c>
      <c r="V99" s="9">
        <f>V37</f>
        <v>0.28999999999999998</v>
      </c>
      <c r="W99" s="13">
        <v>1.6479999999999999</v>
      </c>
      <c r="X99" s="13">
        <v>1.464</v>
      </c>
      <c r="Y99" s="13">
        <f t="shared" si="53"/>
        <v>0.21237864077669902</v>
      </c>
      <c r="Z99" s="13">
        <f t="shared" si="54"/>
        <v>0.19808743169398907</v>
      </c>
      <c r="AA99" s="9">
        <f t="shared" ref="AA99:AB99" si="100">X37</f>
        <v>0.29000000000000004</v>
      </c>
      <c r="AB99" s="9">
        <f t="shared" si="100"/>
        <v>0.8</v>
      </c>
    </row>
    <row r="100" spans="11:28">
      <c r="K100" s="10">
        <f>K39</f>
        <v>3200</v>
      </c>
      <c r="L100" s="9">
        <f t="shared" ref="L100:R100" si="101">L39</f>
        <v>0.46</v>
      </c>
      <c r="M100" s="9">
        <f t="shared" si="101"/>
        <v>0.35</v>
      </c>
      <c r="N100" s="9">
        <f t="shared" si="101"/>
        <v>1.31</v>
      </c>
      <c r="O100" s="9">
        <f t="shared" si="101"/>
        <v>1.21</v>
      </c>
      <c r="P100" s="9">
        <f t="shared" si="101"/>
        <v>0.51</v>
      </c>
      <c r="Q100" s="9">
        <f t="shared" si="101"/>
        <v>0.44</v>
      </c>
      <c r="R100" s="9">
        <f t="shared" si="101"/>
        <v>1.4999999999999999E-2</v>
      </c>
      <c r="S100" s="9" t="str">
        <f t="shared" ref="S100:T100" si="102">T39</f>
        <v>1/455</v>
      </c>
      <c r="T100" s="9" t="str">
        <f t="shared" si="102"/>
        <v>U80</v>
      </c>
      <c r="U100" s="9">
        <f>W39</f>
        <v>0.35</v>
      </c>
      <c r="V100" s="9">
        <f>V39</f>
        <v>0.28999999999999998</v>
      </c>
      <c r="W100" s="13">
        <v>1.6479999999999999</v>
      </c>
      <c r="X100" s="13">
        <v>1.464</v>
      </c>
      <c r="Y100" s="13">
        <f t="shared" si="53"/>
        <v>0.21237864077669902</v>
      </c>
      <c r="Z100" s="13">
        <f t="shared" si="54"/>
        <v>0.19808743169398907</v>
      </c>
      <c r="AA100" s="9">
        <f t="shared" ref="AA100:AB100" si="103">X39</f>
        <v>0.29000000000000004</v>
      </c>
      <c r="AB100" s="9">
        <f t="shared" si="103"/>
        <v>0.8</v>
      </c>
    </row>
    <row r="101" spans="11:28">
      <c r="K101" s="10">
        <f>K41</f>
        <v>3400</v>
      </c>
      <c r="L101" s="9">
        <f t="shared" ref="L101:R101" si="104">L41</f>
        <v>0.46</v>
      </c>
      <c r="M101" s="9">
        <f t="shared" si="104"/>
        <v>0.35</v>
      </c>
      <c r="N101" s="9">
        <f t="shared" si="104"/>
        <v>1.31</v>
      </c>
      <c r="O101" s="9">
        <f t="shared" si="104"/>
        <v>1.21</v>
      </c>
      <c r="P101" s="9">
        <f t="shared" si="104"/>
        <v>0.51</v>
      </c>
      <c r="Q101" s="9">
        <f t="shared" si="104"/>
        <v>0.44</v>
      </c>
      <c r="R101" s="9">
        <f t="shared" si="104"/>
        <v>1.4999999999999999E-2</v>
      </c>
      <c r="S101" s="9" t="str">
        <f t="shared" ref="S101:T101" si="105">T41</f>
        <v>1/455</v>
      </c>
      <c r="T101" s="9" t="str">
        <f t="shared" si="105"/>
        <v>U80</v>
      </c>
      <c r="U101" s="9">
        <f>W41</f>
        <v>0.35</v>
      </c>
      <c r="V101" s="9">
        <f>V41</f>
        <v>0.28999999999999998</v>
      </c>
      <c r="W101" s="13">
        <v>1.6479999999999999</v>
      </c>
      <c r="X101" s="13">
        <v>1.464</v>
      </c>
      <c r="Y101" s="13">
        <f t="shared" si="53"/>
        <v>0.21237864077669902</v>
      </c>
      <c r="Z101" s="13">
        <f t="shared" si="54"/>
        <v>0.19808743169398907</v>
      </c>
      <c r="AA101" s="9">
        <f t="shared" ref="AA101:AB101" si="106">X41</f>
        <v>0.29000000000000004</v>
      </c>
      <c r="AB101" s="9">
        <f t="shared" si="106"/>
        <v>0.8</v>
      </c>
    </row>
    <row r="102" spans="11:28">
      <c r="K102" s="10">
        <f>K43</f>
        <v>3600</v>
      </c>
      <c r="L102" s="9">
        <f t="shared" ref="L102:R102" si="107">L43</f>
        <v>0.46</v>
      </c>
      <c r="M102" s="9">
        <f t="shared" si="107"/>
        <v>0.35</v>
      </c>
      <c r="N102" s="9">
        <f t="shared" si="107"/>
        <v>1.31</v>
      </c>
      <c r="O102" s="9">
        <f t="shared" si="107"/>
        <v>1.21</v>
      </c>
      <c r="P102" s="9">
        <f t="shared" si="107"/>
        <v>0.51</v>
      </c>
      <c r="Q102" s="9">
        <f t="shared" si="107"/>
        <v>0.44</v>
      </c>
      <c r="R102" s="9">
        <f t="shared" si="107"/>
        <v>1.4999999999999999E-2</v>
      </c>
      <c r="S102" s="9" t="str">
        <f t="shared" ref="S102:T102" si="108">T43</f>
        <v>1/455</v>
      </c>
      <c r="T102" s="9" t="str">
        <f t="shared" si="108"/>
        <v>U80</v>
      </c>
      <c r="U102" s="9">
        <f>W43</f>
        <v>0.35</v>
      </c>
      <c r="V102" s="9">
        <f>V43</f>
        <v>0.28999999999999998</v>
      </c>
      <c r="W102" s="13">
        <v>1.6479999999999999</v>
      </c>
      <c r="X102" s="13">
        <v>1.464</v>
      </c>
      <c r="Y102" s="13">
        <f t="shared" si="53"/>
        <v>0.21237864077669902</v>
      </c>
      <c r="Z102" s="13">
        <f t="shared" si="54"/>
        <v>0.19808743169398907</v>
      </c>
      <c r="AA102" s="9">
        <f t="shared" ref="AA102:AB102" si="109">X43</f>
        <v>0.29000000000000004</v>
      </c>
      <c r="AB102" s="9">
        <f t="shared" si="109"/>
        <v>0.8</v>
      </c>
    </row>
    <row r="103" spans="11:28">
      <c r="K103" s="10">
        <f>K45</f>
        <v>3800</v>
      </c>
      <c r="L103" s="9">
        <f t="shared" ref="L103:R103" si="110">L45</f>
        <v>0.46</v>
      </c>
      <c r="M103" s="9">
        <f t="shared" si="110"/>
        <v>0.35</v>
      </c>
      <c r="N103" s="9">
        <f t="shared" si="110"/>
        <v>1.31</v>
      </c>
      <c r="O103" s="9">
        <f t="shared" si="110"/>
        <v>1.21</v>
      </c>
      <c r="P103" s="9">
        <f t="shared" si="110"/>
        <v>0.51</v>
      </c>
      <c r="Q103" s="9">
        <f t="shared" si="110"/>
        <v>0.44</v>
      </c>
      <c r="R103" s="9">
        <f t="shared" si="110"/>
        <v>1.4999999999999999E-2</v>
      </c>
      <c r="S103" s="9" t="str">
        <f t="shared" ref="S103:T103" si="111">T45</f>
        <v>1/455</v>
      </c>
      <c r="T103" s="9" t="str">
        <f t="shared" si="111"/>
        <v>U80</v>
      </c>
      <c r="U103" s="9">
        <f>W45</f>
        <v>0.35</v>
      </c>
      <c r="V103" s="9">
        <f>V45</f>
        <v>0.28999999999999998</v>
      </c>
      <c r="W103" s="13">
        <v>1.6479999999999999</v>
      </c>
      <c r="X103" s="13">
        <v>1.464</v>
      </c>
      <c r="Y103" s="13">
        <f t="shared" si="53"/>
        <v>0.21237864077669902</v>
      </c>
      <c r="Z103" s="13">
        <f t="shared" si="54"/>
        <v>0.19808743169398907</v>
      </c>
      <c r="AA103" s="9">
        <f t="shared" ref="AA103:AB103" si="112">X45</f>
        <v>0.29000000000000004</v>
      </c>
      <c r="AB103" s="9">
        <f t="shared" si="112"/>
        <v>0.8</v>
      </c>
    </row>
    <row r="104" spans="11:28">
      <c r="K104" s="10">
        <f>K47</f>
        <v>4000</v>
      </c>
      <c r="L104" s="9">
        <f t="shared" ref="L104:R104" si="113">L47</f>
        <v>0.46</v>
      </c>
      <c r="M104" s="9">
        <f t="shared" si="113"/>
        <v>0.35</v>
      </c>
      <c r="N104" s="9">
        <f t="shared" si="113"/>
        <v>1.31</v>
      </c>
      <c r="O104" s="9">
        <f t="shared" si="113"/>
        <v>1.21</v>
      </c>
      <c r="P104" s="9">
        <f t="shared" si="113"/>
        <v>0.51</v>
      </c>
      <c r="Q104" s="9">
        <f t="shared" si="113"/>
        <v>0.44</v>
      </c>
      <c r="R104" s="9">
        <f t="shared" si="113"/>
        <v>1.4999999999999999E-2</v>
      </c>
      <c r="S104" s="9" t="str">
        <f t="shared" ref="S104:T104" si="114">T47</f>
        <v>1/455</v>
      </c>
      <c r="T104" s="9" t="str">
        <f t="shared" si="114"/>
        <v>U80</v>
      </c>
      <c r="U104" s="9">
        <f>W47</f>
        <v>0.35</v>
      </c>
      <c r="V104" s="9">
        <f>V47</f>
        <v>0.28999999999999998</v>
      </c>
      <c r="W104" s="13">
        <v>1.6479999999999999</v>
      </c>
      <c r="X104" s="13">
        <v>1.464</v>
      </c>
      <c r="Y104" s="13">
        <f t="shared" si="53"/>
        <v>0.21237864077669902</v>
      </c>
      <c r="Z104" s="13">
        <f t="shared" si="54"/>
        <v>0.19808743169398907</v>
      </c>
      <c r="AA104" s="9">
        <f t="shared" ref="AA104:AB104" si="115">X47</f>
        <v>0.29000000000000004</v>
      </c>
      <c r="AB104" s="9">
        <f t="shared" si="115"/>
        <v>0.8</v>
      </c>
    </row>
    <row r="105" spans="11:28">
      <c r="K105" s="10">
        <f>K49</f>
        <v>4200</v>
      </c>
      <c r="L105" s="9">
        <f t="shared" ref="L105:R105" si="116">L49</f>
        <v>0.46</v>
      </c>
      <c r="M105" s="9">
        <f t="shared" si="116"/>
        <v>0.35</v>
      </c>
      <c r="N105" s="9">
        <f t="shared" si="116"/>
        <v>1.31</v>
      </c>
      <c r="O105" s="9">
        <f t="shared" si="116"/>
        <v>1.21</v>
      </c>
      <c r="P105" s="9">
        <f t="shared" si="116"/>
        <v>0.51</v>
      </c>
      <c r="Q105" s="9">
        <f t="shared" si="116"/>
        <v>0.44</v>
      </c>
      <c r="R105" s="9">
        <f t="shared" si="116"/>
        <v>1.4999999999999999E-2</v>
      </c>
      <c r="S105" s="9" t="str">
        <f t="shared" ref="S105:T105" si="117">T49</f>
        <v>1/455</v>
      </c>
      <c r="T105" s="9" t="str">
        <f t="shared" si="117"/>
        <v>U80</v>
      </c>
      <c r="U105" s="9">
        <f>W49</f>
        <v>0.35</v>
      </c>
      <c r="V105" s="9">
        <f>V49</f>
        <v>0.28999999999999998</v>
      </c>
      <c r="W105" s="13">
        <v>1.6479999999999999</v>
      </c>
      <c r="X105" s="13">
        <v>1.464</v>
      </c>
      <c r="Y105" s="13">
        <f t="shared" si="53"/>
        <v>0.21237864077669902</v>
      </c>
      <c r="Z105" s="13">
        <f t="shared" si="54"/>
        <v>0.19808743169398907</v>
      </c>
      <c r="AA105" s="9">
        <f t="shared" ref="AA105:AB105" si="118">X49</f>
        <v>0.29000000000000004</v>
      </c>
      <c r="AB105" s="9">
        <f t="shared" si="118"/>
        <v>0.8</v>
      </c>
    </row>
    <row r="106" spans="11:28">
      <c r="K106" s="10">
        <f>K50</f>
        <v>4300</v>
      </c>
      <c r="L106" s="9">
        <f t="shared" ref="L106:R106" si="119">L50</f>
        <v>0.46</v>
      </c>
      <c r="M106" s="9">
        <f t="shared" si="119"/>
        <v>0.35</v>
      </c>
      <c r="N106" s="9">
        <f t="shared" si="119"/>
        <v>1.31</v>
      </c>
      <c r="O106" s="9">
        <f t="shared" si="119"/>
        <v>1.21</v>
      </c>
      <c r="P106" s="9">
        <f t="shared" si="119"/>
        <v>0.51</v>
      </c>
      <c r="Q106" s="9">
        <f t="shared" si="119"/>
        <v>0.44</v>
      </c>
      <c r="R106" s="9">
        <f t="shared" si="119"/>
        <v>1.4999999999999999E-2</v>
      </c>
      <c r="S106" s="9" t="str">
        <f t="shared" ref="S106:T106" si="120">T50</f>
        <v>1/455</v>
      </c>
      <c r="T106" s="9" t="str">
        <f t="shared" si="120"/>
        <v>U80</v>
      </c>
      <c r="U106" s="9">
        <f>W50</f>
        <v>0.35</v>
      </c>
      <c r="V106" s="9">
        <f>V50</f>
        <v>0.28999999999999998</v>
      </c>
      <c r="W106" s="13">
        <v>1.6479999999999999</v>
      </c>
      <c r="X106" s="13">
        <v>1.464</v>
      </c>
      <c r="Y106" s="13">
        <f t="shared" si="53"/>
        <v>0.21237864077669902</v>
      </c>
      <c r="Z106" s="13">
        <f t="shared" si="54"/>
        <v>0.19808743169398907</v>
      </c>
      <c r="AA106" s="9">
        <f t="shared" ref="AA106:AB106" si="121">X50</f>
        <v>0.29000000000000004</v>
      </c>
      <c r="AB106" s="9">
        <f t="shared" si="121"/>
        <v>0.8</v>
      </c>
    </row>
    <row r="107" spans="11:28">
      <c r="K107" s="10">
        <f>K51</f>
        <v>4400</v>
      </c>
      <c r="L107" s="9">
        <f t="shared" ref="L107:R107" si="122">L51</f>
        <v>0.46</v>
      </c>
      <c r="M107" s="9">
        <f t="shared" si="122"/>
        <v>0.35</v>
      </c>
      <c r="N107" s="9">
        <f t="shared" si="122"/>
        <v>1.35</v>
      </c>
      <c r="O107" s="9">
        <f t="shared" si="122"/>
        <v>1.21</v>
      </c>
      <c r="P107" s="9">
        <f t="shared" si="122"/>
        <v>0.5</v>
      </c>
      <c r="Q107" s="9">
        <f t="shared" si="122"/>
        <v>0.43</v>
      </c>
      <c r="R107" s="9">
        <f t="shared" si="122"/>
        <v>1.4999999999999999E-2</v>
      </c>
      <c r="S107" s="9" t="str">
        <f t="shared" ref="S107:T107" si="123">T51</f>
        <v>1/455</v>
      </c>
      <c r="T107" s="9" t="str">
        <f t="shared" si="123"/>
        <v>U80</v>
      </c>
      <c r="U107" s="9">
        <f>W51</f>
        <v>0.34</v>
      </c>
      <c r="V107" s="9">
        <f>V51</f>
        <v>0.28999999999999998</v>
      </c>
      <c r="W107" s="13">
        <v>1.464</v>
      </c>
      <c r="X107" s="13">
        <v>1.32</v>
      </c>
      <c r="Y107" s="13">
        <f t="shared" si="53"/>
        <v>0.23224043715846995</v>
      </c>
      <c r="Z107" s="13">
        <f t="shared" si="54"/>
        <v>0.21969696969696967</v>
      </c>
      <c r="AA107" s="9">
        <f t="shared" ref="AA107:AB107" si="124">X51</f>
        <v>0.30000000000000004</v>
      </c>
      <c r="AB107" s="9">
        <f t="shared" si="124"/>
        <v>0.8</v>
      </c>
    </row>
    <row r="108" spans="11:28">
      <c r="K108" s="10">
        <f>K53</f>
        <v>4600</v>
      </c>
      <c r="L108" s="9">
        <f t="shared" ref="L108:R108" si="125">L53</f>
        <v>0.46</v>
      </c>
      <c r="M108" s="9">
        <f t="shared" si="125"/>
        <v>0.35</v>
      </c>
      <c r="N108" s="9">
        <f t="shared" si="125"/>
        <v>1.35</v>
      </c>
      <c r="O108" s="9">
        <f t="shared" si="125"/>
        <v>1.21</v>
      </c>
      <c r="P108" s="9">
        <f t="shared" si="125"/>
        <v>0.5</v>
      </c>
      <c r="Q108" s="9">
        <f t="shared" si="125"/>
        <v>0.43</v>
      </c>
      <c r="R108" s="9">
        <f t="shared" si="125"/>
        <v>1.4999999999999999E-2</v>
      </c>
      <c r="S108" s="9" t="str">
        <f t="shared" ref="S108:T108" si="126">T53</f>
        <v>1/455</v>
      </c>
      <c r="T108" s="9" t="str">
        <f t="shared" si="126"/>
        <v>U80</v>
      </c>
      <c r="U108" s="9">
        <f>W53</f>
        <v>0.34</v>
      </c>
      <c r="V108" s="9">
        <f>V53</f>
        <v>0.28999999999999998</v>
      </c>
      <c r="W108" s="13">
        <v>1.464</v>
      </c>
      <c r="X108" s="13">
        <v>1.32</v>
      </c>
      <c r="Y108" s="13">
        <f t="shared" si="53"/>
        <v>0.23224043715846995</v>
      </c>
      <c r="Z108" s="13">
        <f t="shared" si="54"/>
        <v>0.21969696969696967</v>
      </c>
      <c r="AA108" s="9">
        <f t="shared" ref="AA108:AB108" si="127">X53</f>
        <v>0.30000000000000004</v>
      </c>
      <c r="AB108" s="9">
        <f t="shared" si="127"/>
        <v>0.8</v>
      </c>
    </row>
    <row r="109" spans="11:28">
      <c r="K109" s="10">
        <f>K55</f>
        <v>4800</v>
      </c>
      <c r="L109" s="9">
        <f t="shared" ref="L109:R109" si="128">L55</f>
        <v>0.46</v>
      </c>
      <c r="M109" s="9">
        <f t="shared" si="128"/>
        <v>0.35</v>
      </c>
      <c r="N109" s="9">
        <f t="shared" si="128"/>
        <v>1.35</v>
      </c>
      <c r="O109" s="9">
        <f t="shared" si="128"/>
        <v>1.21</v>
      </c>
      <c r="P109" s="9">
        <f t="shared" si="128"/>
        <v>0.5</v>
      </c>
      <c r="Q109" s="9">
        <f t="shared" si="128"/>
        <v>0.43</v>
      </c>
      <c r="R109" s="9">
        <f t="shared" si="128"/>
        <v>1.4999999999999999E-2</v>
      </c>
      <c r="S109" s="9" t="str">
        <f t="shared" ref="S109:T109" si="129">T55</f>
        <v>1/455</v>
      </c>
      <c r="T109" s="9" t="str">
        <f t="shared" si="129"/>
        <v>U80</v>
      </c>
      <c r="U109" s="9">
        <f>W55</f>
        <v>0.34</v>
      </c>
      <c r="V109" s="9">
        <f>V55</f>
        <v>0.28999999999999998</v>
      </c>
      <c r="W109" s="13">
        <v>1.464</v>
      </c>
      <c r="X109" s="13">
        <v>1.32</v>
      </c>
      <c r="Y109" s="13">
        <f t="shared" si="53"/>
        <v>0.23224043715846995</v>
      </c>
      <c r="Z109" s="13">
        <f t="shared" si="54"/>
        <v>0.21969696969696967</v>
      </c>
      <c r="AA109" s="9">
        <f t="shared" ref="AA109:AB109" si="130">X55</f>
        <v>0.30000000000000004</v>
      </c>
      <c r="AB109" s="9">
        <f t="shared" si="130"/>
        <v>0.8</v>
      </c>
    </row>
    <row r="110" spans="11:28">
      <c r="K110" s="10">
        <f>K57</f>
        <v>5000</v>
      </c>
      <c r="L110" s="9">
        <f t="shared" ref="L110:R110" si="131">L57</f>
        <v>0.46</v>
      </c>
      <c r="M110" s="9">
        <f t="shared" si="131"/>
        <v>0.35</v>
      </c>
      <c r="N110" s="9">
        <f t="shared" si="131"/>
        <v>1.35</v>
      </c>
      <c r="O110" s="9">
        <f t="shared" si="131"/>
        <v>1.21</v>
      </c>
      <c r="P110" s="9">
        <f t="shared" si="131"/>
        <v>0.5</v>
      </c>
      <c r="Q110" s="9">
        <f t="shared" si="131"/>
        <v>0.43</v>
      </c>
      <c r="R110" s="9">
        <f t="shared" si="131"/>
        <v>1.4999999999999999E-2</v>
      </c>
      <c r="S110" s="9" t="str">
        <f t="shared" ref="S110:T110" si="132">T57</f>
        <v>1/455</v>
      </c>
      <c r="T110" s="9" t="str">
        <f t="shared" si="132"/>
        <v>U80</v>
      </c>
      <c r="U110" s="9">
        <f>W57</f>
        <v>0.34</v>
      </c>
      <c r="V110" s="9">
        <f>V57</f>
        <v>0.28999999999999998</v>
      </c>
      <c r="W110" s="13">
        <v>1.464</v>
      </c>
      <c r="X110" s="13">
        <v>1.32</v>
      </c>
      <c r="Y110" s="13">
        <f t="shared" si="53"/>
        <v>0.23224043715846995</v>
      </c>
      <c r="Z110" s="13">
        <f t="shared" si="54"/>
        <v>0.21969696969696967</v>
      </c>
      <c r="AA110" s="9">
        <f t="shared" ref="AA110:AB110" si="133">X57</f>
        <v>0.30000000000000004</v>
      </c>
      <c r="AB110" s="9">
        <f t="shared" si="133"/>
        <v>0.8</v>
      </c>
    </row>
    <row r="111" spans="11:28">
      <c r="K111" s="10">
        <f>K59</f>
        <v>5200</v>
      </c>
      <c r="L111" s="9">
        <f t="shared" ref="L111:R111" si="134">L59</f>
        <v>0.46</v>
      </c>
      <c r="M111" s="9">
        <f t="shared" si="134"/>
        <v>0.35</v>
      </c>
      <c r="N111" s="9">
        <f t="shared" si="134"/>
        <v>1.35</v>
      </c>
      <c r="O111" s="9">
        <f t="shared" si="134"/>
        <v>1.21</v>
      </c>
      <c r="P111" s="9">
        <f t="shared" si="134"/>
        <v>0.5</v>
      </c>
      <c r="Q111" s="9">
        <f t="shared" si="134"/>
        <v>0.43</v>
      </c>
      <c r="R111" s="9">
        <f t="shared" si="134"/>
        <v>1.4999999999999999E-2</v>
      </c>
      <c r="S111" s="9" t="str">
        <f t="shared" ref="S111:T111" si="135">T59</f>
        <v>1/455</v>
      </c>
      <c r="T111" s="9" t="str">
        <f t="shared" si="135"/>
        <v>U80</v>
      </c>
      <c r="U111" s="9">
        <f>W59</f>
        <v>0.34</v>
      </c>
      <c r="V111" s="9">
        <f>V59</f>
        <v>0.28999999999999998</v>
      </c>
      <c r="W111" s="13">
        <v>1.464</v>
      </c>
      <c r="X111" s="13">
        <v>1.32</v>
      </c>
      <c r="Y111" s="13">
        <f t="shared" si="53"/>
        <v>0.23224043715846995</v>
      </c>
      <c r="Z111" s="13">
        <f t="shared" si="54"/>
        <v>0.21969696969696967</v>
      </c>
      <c r="AA111" s="9">
        <f t="shared" ref="AA111:AB111" si="136">X59</f>
        <v>0.30000000000000004</v>
      </c>
      <c r="AB111" s="9">
        <f t="shared" si="136"/>
        <v>0.8</v>
      </c>
    </row>
    <row r="112" spans="11:28">
      <c r="K112" s="10">
        <f>K61</f>
        <v>5400</v>
      </c>
      <c r="L112" s="9">
        <f t="shared" ref="L112:R112" si="137">L61</f>
        <v>0.46</v>
      </c>
      <c r="M112" s="9">
        <f t="shared" si="137"/>
        <v>0.35</v>
      </c>
      <c r="N112" s="9">
        <f t="shared" si="137"/>
        <v>1.35</v>
      </c>
      <c r="O112" s="9">
        <f t="shared" si="137"/>
        <v>1.21</v>
      </c>
      <c r="P112" s="9">
        <f t="shared" si="137"/>
        <v>0.5</v>
      </c>
      <c r="Q112" s="9">
        <f t="shared" si="137"/>
        <v>0.43</v>
      </c>
      <c r="R112" s="9">
        <f t="shared" si="137"/>
        <v>1.4999999999999999E-2</v>
      </c>
      <c r="S112" s="9" t="str">
        <f t="shared" ref="S112:T112" si="138">T61</f>
        <v>1/455</v>
      </c>
      <c r="T112" s="9" t="str">
        <f t="shared" si="138"/>
        <v>U80</v>
      </c>
      <c r="U112" s="9">
        <f>W61</f>
        <v>0.34</v>
      </c>
      <c r="V112" s="9">
        <f>V61</f>
        <v>0.28999999999999998</v>
      </c>
      <c r="W112" s="13">
        <v>1.464</v>
      </c>
      <c r="X112" s="13">
        <v>1.32</v>
      </c>
      <c r="Y112" s="13">
        <f t="shared" si="53"/>
        <v>0.23224043715846995</v>
      </c>
      <c r="Z112" s="13">
        <f t="shared" si="54"/>
        <v>0.21969696969696967</v>
      </c>
      <c r="AA112" s="9">
        <f t="shared" ref="AA112:AB112" si="139">X61</f>
        <v>0.30000000000000004</v>
      </c>
      <c r="AB112" s="9">
        <f t="shared" si="139"/>
        <v>0.8</v>
      </c>
    </row>
    <row r="113" spans="11:28">
      <c r="K113" s="10">
        <f>K63</f>
        <v>5600</v>
      </c>
      <c r="L113" s="9">
        <f t="shared" ref="L113:R113" si="140">L63</f>
        <v>0.46</v>
      </c>
      <c r="M113" s="9">
        <f t="shared" si="140"/>
        <v>0.35</v>
      </c>
      <c r="N113" s="9">
        <f t="shared" si="140"/>
        <v>1.35</v>
      </c>
      <c r="O113" s="9">
        <f t="shared" si="140"/>
        <v>1.21</v>
      </c>
      <c r="P113" s="9">
        <f t="shared" si="140"/>
        <v>0.5</v>
      </c>
      <c r="Q113" s="9">
        <f t="shared" si="140"/>
        <v>0.43</v>
      </c>
      <c r="R113" s="9">
        <f t="shared" si="140"/>
        <v>1.4999999999999999E-2</v>
      </c>
      <c r="S113" s="9" t="str">
        <f t="shared" ref="S113:T113" si="141">T63</f>
        <v>1/455</v>
      </c>
      <c r="T113" s="9" t="str">
        <f t="shared" si="141"/>
        <v>U80</v>
      </c>
      <c r="U113" s="9">
        <f>W63</f>
        <v>0.34</v>
      </c>
      <c r="V113" s="9">
        <f>V63</f>
        <v>0.28999999999999998</v>
      </c>
      <c r="W113" s="13">
        <v>1.464</v>
      </c>
      <c r="X113" s="13">
        <v>1.32</v>
      </c>
      <c r="Y113" s="13">
        <f t="shared" si="53"/>
        <v>0.23224043715846995</v>
      </c>
      <c r="Z113" s="13">
        <f t="shared" si="54"/>
        <v>0.21969696969696967</v>
      </c>
      <c r="AA113" s="9">
        <f t="shared" ref="AA113:AB113" si="142">X63</f>
        <v>0.30000000000000004</v>
      </c>
      <c r="AB113" s="9">
        <f t="shared" si="142"/>
        <v>0.8</v>
      </c>
    </row>
    <row r="114" spans="11:28">
      <c r="K114" s="10">
        <f>K65</f>
        <v>5800</v>
      </c>
      <c r="L114" s="9">
        <f t="shared" ref="L114:R114" si="143">L65</f>
        <v>0.46</v>
      </c>
      <c r="M114" s="9">
        <f t="shared" si="143"/>
        <v>0.35</v>
      </c>
      <c r="N114" s="9">
        <f t="shared" si="143"/>
        <v>1.35</v>
      </c>
      <c r="O114" s="9">
        <f t="shared" si="143"/>
        <v>1.21</v>
      </c>
      <c r="P114" s="9">
        <f t="shared" si="143"/>
        <v>0.5</v>
      </c>
      <c r="Q114" s="9">
        <f t="shared" si="143"/>
        <v>0.43</v>
      </c>
      <c r="R114" s="9">
        <f t="shared" si="143"/>
        <v>1.4999999999999999E-2</v>
      </c>
      <c r="S114" s="9" t="str">
        <f t="shared" ref="S114:T114" si="144">T65</f>
        <v>1/455</v>
      </c>
      <c r="T114" s="9" t="str">
        <f t="shared" si="144"/>
        <v>U80</v>
      </c>
      <c r="U114" s="9">
        <f>W65</f>
        <v>0.34</v>
      </c>
      <c r="V114" s="9">
        <f>V65</f>
        <v>0.28999999999999998</v>
      </c>
      <c r="W114" s="13">
        <v>1.464</v>
      </c>
      <c r="X114" s="13">
        <v>1.32</v>
      </c>
      <c r="Y114" s="13">
        <f t="shared" si="53"/>
        <v>0.23224043715846995</v>
      </c>
      <c r="Z114" s="13">
        <f t="shared" si="54"/>
        <v>0.21969696969696967</v>
      </c>
      <c r="AA114" s="9">
        <f t="shared" ref="AA114:AB114" si="145">X65</f>
        <v>0.30000000000000004</v>
      </c>
      <c r="AB114" s="9">
        <f t="shared" si="145"/>
        <v>0.8</v>
      </c>
    </row>
    <row r="115" spans="11:28">
      <c r="K115" s="10">
        <f>K68</f>
        <v>6000</v>
      </c>
      <c r="L115" s="9">
        <f t="shared" ref="L115:R115" si="146">L68</f>
        <v>0.46</v>
      </c>
      <c r="M115" s="9">
        <f t="shared" si="146"/>
        <v>0.35</v>
      </c>
      <c r="N115" s="9">
        <f t="shared" si="146"/>
        <v>1.35</v>
      </c>
      <c r="O115" s="9">
        <f t="shared" si="146"/>
        <v>1.21</v>
      </c>
      <c r="P115" s="9">
        <f t="shared" si="146"/>
        <v>0.5</v>
      </c>
      <c r="Q115" s="9">
        <f t="shared" si="146"/>
        <v>0.43</v>
      </c>
      <c r="R115" s="9">
        <f t="shared" si="146"/>
        <v>1.4999999999999999E-2</v>
      </c>
      <c r="S115" s="9" t="str">
        <f t="shared" ref="S115:T115" si="147">T68</f>
        <v>1/455</v>
      </c>
      <c r="T115" s="9" t="str">
        <f t="shared" si="147"/>
        <v>U80</v>
      </c>
      <c r="U115" s="9">
        <f>W68</f>
        <v>0.34</v>
      </c>
      <c r="V115" s="9">
        <f>V68</f>
        <v>0.28999999999999998</v>
      </c>
      <c r="W115" s="13">
        <v>1.464</v>
      </c>
      <c r="X115" s="13">
        <v>1.32</v>
      </c>
      <c r="Y115" s="13">
        <f t="shared" si="53"/>
        <v>0.23224043715846995</v>
      </c>
      <c r="Z115" s="13">
        <f t="shared" si="54"/>
        <v>0.21969696969696967</v>
      </c>
      <c r="AA115" s="9">
        <f t="shared" ref="AA115:AB115" si="148">X68</f>
        <v>0.30000000000000004</v>
      </c>
      <c r="AB115" s="9">
        <f t="shared" si="148"/>
        <v>0.8</v>
      </c>
    </row>
    <row r="116" spans="11:28">
      <c r="K116" s="10">
        <f t="shared" ref="K116:R118" si="149">K70</f>
        <v>6200</v>
      </c>
      <c r="L116" s="9">
        <f t="shared" si="149"/>
        <v>0.46</v>
      </c>
      <c r="M116" s="9">
        <f t="shared" si="149"/>
        <v>0.35</v>
      </c>
      <c r="N116" s="9">
        <f t="shared" si="149"/>
        <v>1.35</v>
      </c>
      <c r="O116" s="9">
        <f t="shared" si="149"/>
        <v>1.21</v>
      </c>
      <c r="P116" s="9">
        <f t="shared" si="149"/>
        <v>0.55000000000000004</v>
      </c>
      <c r="Q116" s="9">
        <f t="shared" si="149"/>
        <v>0.46</v>
      </c>
      <c r="R116" s="9">
        <f t="shared" si="149"/>
        <v>1.4999999999999999E-2</v>
      </c>
      <c r="S116" s="9" t="str">
        <f t="shared" ref="S116:T116" si="150">T70</f>
        <v>1/455</v>
      </c>
      <c r="T116" s="9" t="str">
        <f t="shared" si="150"/>
        <v>U80</v>
      </c>
      <c r="U116" s="9">
        <f t="shared" ref="U116:U118" si="151">W70</f>
        <v>0.34</v>
      </c>
      <c r="V116" s="9">
        <f t="shared" ref="V116:V118" si="152">V70</f>
        <v>0.28999999999999998</v>
      </c>
      <c r="W116" s="13">
        <v>1.464</v>
      </c>
      <c r="X116" s="13">
        <v>1.32</v>
      </c>
      <c r="Y116" s="13">
        <f t="shared" ref="Y116:Y120" si="153">U116/W116</f>
        <v>0.23224043715846995</v>
      </c>
      <c r="Z116" s="13">
        <f t="shared" ref="Z116:Z120" si="154">V116/X116</f>
        <v>0.21969696969696967</v>
      </c>
      <c r="AA116" s="9">
        <f t="shared" ref="AA116:AB116" si="155">X70</f>
        <v>0.25</v>
      </c>
      <c r="AB116" s="9">
        <f t="shared" si="155"/>
        <v>0.8</v>
      </c>
    </row>
    <row r="117" spans="11:28">
      <c r="K117" s="10">
        <f t="shared" si="149"/>
        <v>6300</v>
      </c>
      <c r="L117" s="9">
        <f t="shared" si="149"/>
        <v>0.46</v>
      </c>
      <c r="M117" s="9">
        <f t="shared" si="149"/>
        <v>0.35</v>
      </c>
      <c r="N117" s="9">
        <f t="shared" si="149"/>
        <v>1.21</v>
      </c>
      <c r="O117" s="9">
        <f t="shared" si="149"/>
        <v>1.17</v>
      </c>
      <c r="P117" s="9">
        <f t="shared" si="149"/>
        <v>0.55000000000000004</v>
      </c>
      <c r="Q117" s="9">
        <f t="shared" si="149"/>
        <v>0.46</v>
      </c>
      <c r="R117" s="9">
        <f t="shared" si="149"/>
        <v>1.4999999999999999E-2</v>
      </c>
      <c r="S117" s="9" t="str">
        <f t="shared" ref="S117:T117" si="156">T71</f>
        <v>1/1000</v>
      </c>
      <c r="T117" s="9" t="str">
        <f t="shared" si="156"/>
        <v>U80</v>
      </c>
      <c r="U117" s="9">
        <f t="shared" si="151"/>
        <v>0.38</v>
      </c>
      <c r="V117" s="9">
        <f t="shared" si="152"/>
        <v>0.3</v>
      </c>
      <c r="W117" s="13">
        <v>1.464</v>
      </c>
      <c r="X117" s="13">
        <v>1.32</v>
      </c>
      <c r="Y117" s="13">
        <f t="shared" si="153"/>
        <v>0.25956284153005466</v>
      </c>
      <c r="Z117" s="13">
        <f t="shared" si="154"/>
        <v>0.22727272727272727</v>
      </c>
      <c r="AA117" s="9">
        <f t="shared" ref="AA117:AB117" si="157">X71</f>
        <v>0.25</v>
      </c>
      <c r="AB117" s="9">
        <f t="shared" si="157"/>
        <v>0.8</v>
      </c>
    </row>
    <row r="118" spans="11:28">
      <c r="K118" s="10">
        <f t="shared" si="149"/>
        <v>6400</v>
      </c>
      <c r="L118" s="9">
        <f t="shared" si="149"/>
        <v>0.46</v>
      </c>
      <c r="M118" s="9">
        <f t="shared" si="149"/>
        <v>0.35</v>
      </c>
      <c r="N118" s="9">
        <f t="shared" si="149"/>
        <v>1.21</v>
      </c>
      <c r="O118" s="9">
        <f t="shared" si="149"/>
        <v>1.17</v>
      </c>
      <c r="P118" s="9">
        <f t="shared" si="149"/>
        <v>0.55000000000000004</v>
      </c>
      <c r="Q118" s="9">
        <f t="shared" si="149"/>
        <v>0.46</v>
      </c>
      <c r="R118" s="9">
        <f t="shared" si="149"/>
        <v>1.4999999999999999E-2</v>
      </c>
      <c r="S118" s="9" t="str">
        <f t="shared" ref="S118:T118" si="158">T72</f>
        <v>1/1000</v>
      </c>
      <c r="T118" s="9" t="str">
        <f t="shared" si="158"/>
        <v>U80</v>
      </c>
      <c r="U118" s="9">
        <f t="shared" si="151"/>
        <v>0.38</v>
      </c>
      <c r="V118" s="9">
        <f t="shared" si="152"/>
        <v>0.3</v>
      </c>
      <c r="W118" s="13">
        <v>1.464</v>
      </c>
      <c r="X118" s="13">
        <v>1.32</v>
      </c>
      <c r="Y118" s="13">
        <f t="shared" si="153"/>
        <v>0.25956284153005466</v>
      </c>
      <c r="Z118" s="13">
        <f t="shared" si="154"/>
        <v>0.22727272727272727</v>
      </c>
      <c r="AA118" s="9">
        <f t="shared" ref="AA118:AB118" si="159">X72</f>
        <v>0.25</v>
      </c>
      <c r="AB118" s="9">
        <f t="shared" si="159"/>
        <v>0.8</v>
      </c>
    </row>
    <row r="119" spans="11:28">
      <c r="K119" s="10">
        <f t="shared" ref="K119:R119" si="160">K74</f>
        <v>6600</v>
      </c>
      <c r="L119" s="9">
        <f t="shared" si="160"/>
        <v>0.46</v>
      </c>
      <c r="M119" s="9">
        <f t="shared" si="160"/>
        <v>0.35</v>
      </c>
      <c r="N119" s="9">
        <f t="shared" si="160"/>
        <v>1.21</v>
      </c>
      <c r="O119" s="9">
        <f t="shared" si="160"/>
        <v>1.17</v>
      </c>
      <c r="P119" s="9">
        <f t="shared" si="160"/>
        <v>0.55000000000000004</v>
      </c>
      <c r="Q119" s="9">
        <f t="shared" si="160"/>
        <v>0.46</v>
      </c>
      <c r="R119" s="9">
        <f t="shared" si="160"/>
        <v>1.4999999999999999E-2</v>
      </c>
      <c r="S119" s="9" t="str">
        <f t="shared" ref="S119:T119" si="161">T74</f>
        <v>1/1000</v>
      </c>
      <c r="T119" s="9" t="str">
        <f t="shared" si="161"/>
        <v>U80</v>
      </c>
      <c r="U119" s="9">
        <f>W74</f>
        <v>0.38</v>
      </c>
      <c r="V119" s="9">
        <f>V74</f>
        <v>0.3</v>
      </c>
      <c r="W119" s="13">
        <v>1.464</v>
      </c>
      <c r="X119" s="13">
        <v>1.32</v>
      </c>
      <c r="Y119" s="13">
        <f t="shared" si="153"/>
        <v>0.25956284153005466</v>
      </c>
      <c r="Z119" s="13">
        <f t="shared" si="154"/>
        <v>0.22727272727272727</v>
      </c>
      <c r="AA119" s="9">
        <f t="shared" ref="AA119:AB119" si="162">X74</f>
        <v>0.25</v>
      </c>
      <c r="AB119" s="9">
        <f t="shared" si="162"/>
        <v>0.8</v>
      </c>
    </row>
    <row r="120" spans="11:28">
      <c r="K120" s="10">
        <f t="shared" ref="K120:R120" si="163">K76</f>
        <v>6803</v>
      </c>
      <c r="L120" s="9">
        <f t="shared" si="163"/>
        <v>0.46</v>
      </c>
      <c r="M120" s="9">
        <f t="shared" si="163"/>
        <v>0.35</v>
      </c>
      <c r="N120" s="9">
        <f t="shared" si="163"/>
        <v>1.21</v>
      </c>
      <c r="O120" s="9">
        <f t="shared" si="163"/>
        <v>1.17</v>
      </c>
      <c r="P120" s="9">
        <f t="shared" si="163"/>
        <v>0.55000000000000004</v>
      </c>
      <c r="Q120" s="9">
        <f t="shared" si="163"/>
        <v>0.46</v>
      </c>
      <c r="R120" s="9">
        <f t="shared" si="163"/>
        <v>1.4999999999999999E-2</v>
      </c>
      <c r="S120" s="9" t="str">
        <f t="shared" ref="S120:T120" si="164">T76</f>
        <v>1/1000</v>
      </c>
      <c r="T120" s="9" t="str">
        <f t="shared" si="164"/>
        <v>U80</v>
      </c>
      <c r="U120" s="9">
        <f>W76</f>
        <v>0.38</v>
      </c>
      <c r="V120" s="9">
        <f>V76</f>
        <v>0.3</v>
      </c>
      <c r="W120" s="13">
        <v>1.464</v>
      </c>
      <c r="X120" s="13">
        <v>1.32</v>
      </c>
      <c r="Y120" s="13">
        <f t="shared" si="153"/>
        <v>0.25956284153005466</v>
      </c>
      <c r="Z120" s="13">
        <f t="shared" si="154"/>
        <v>0.22727272727272727</v>
      </c>
      <c r="AA120" s="9">
        <f t="shared" ref="AA120:AB120" si="165">X76</f>
        <v>0.25</v>
      </c>
      <c r="AB120" s="9">
        <f t="shared" si="165"/>
        <v>0.8</v>
      </c>
    </row>
    <row r="121" spans="11:28">
      <c r="K121" s="23"/>
    </row>
    <row r="122" spans="11:28">
      <c r="K122" s="23"/>
    </row>
    <row r="123" spans="11:28">
      <c r="K123" s="23"/>
    </row>
    <row r="124" spans="11:28">
      <c r="K124" s="23"/>
    </row>
    <row r="125" spans="11:28">
      <c r="K125" s="23"/>
    </row>
    <row r="126" spans="11:28">
      <c r="K126" s="23"/>
    </row>
    <row r="127" spans="11:28">
      <c r="K127" s="23"/>
    </row>
    <row r="131" spans="8:18">
      <c r="K131" t="s">
        <v>771</v>
      </c>
      <c r="L131" t="s">
        <v>778</v>
      </c>
      <c r="M131" t="s">
        <v>772</v>
      </c>
      <c r="N131" t="s">
        <v>773</v>
      </c>
      <c r="O131" t="s">
        <v>774</v>
      </c>
      <c r="P131" t="s">
        <v>776</v>
      </c>
      <c r="Q131" t="s">
        <v>775</v>
      </c>
    </row>
    <row r="132" spans="8:18">
      <c r="K132" s="23">
        <v>10</v>
      </c>
      <c r="M132" t="s">
        <v>777</v>
      </c>
      <c r="N132">
        <f>P132+Y5</f>
        <v>1669.56</v>
      </c>
      <c r="O132">
        <f>P132+Q5</f>
        <v>1669.22</v>
      </c>
      <c r="P132">
        <f t="shared" ref="P132:P138" si="166">AA5</f>
        <v>1668.76</v>
      </c>
      <c r="Q132">
        <f t="shared" ref="Q132:Q138" si="167">E5</f>
        <v>1669.76</v>
      </c>
      <c r="R132">
        <f>干渠!W191</f>
        <v>1669.59</v>
      </c>
    </row>
    <row r="133" spans="8:18">
      <c r="K133" s="23">
        <f t="shared" ref="K133:K138" si="168">K6</f>
        <v>100</v>
      </c>
      <c r="N133">
        <f t="shared" ref="N133:N138" si="169">AA6+Y6</f>
        <v>1669.2</v>
      </c>
      <c r="O133">
        <f t="shared" ref="O133:O138" si="170">AB6</f>
        <v>1668.8600000000001</v>
      </c>
      <c r="P133">
        <f t="shared" si="166"/>
        <v>1668.4</v>
      </c>
      <c r="Q133">
        <f t="shared" si="167"/>
        <v>1669.2</v>
      </c>
    </row>
    <row r="134" spans="8:18">
      <c r="K134" s="23">
        <f t="shared" si="168"/>
        <v>200</v>
      </c>
      <c r="N134">
        <f t="shared" si="169"/>
        <v>1668.8</v>
      </c>
      <c r="O134">
        <f t="shared" si="170"/>
        <v>1668.46</v>
      </c>
      <c r="P134">
        <f t="shared" si="166"/>
        <v>1668</v>
      </c>
      <c r="Q134">
        <f t="shared" si="167"/>
        <v>1668.31</v>
      </c>
    </row>
    <row r="135" spans="8:18">
      <c r="K135" s="23">
        <f t="shared" si="168"/>
        <v>300</v>
      </c>
      <c r="N135">
        <f t="shared" si="169"/>
        <v>1668.3999999999999</v>
      </c>
      <c r="O135">
        <f t="shared" si="170"/>
        <v>1668.06</v>
      </c>
      <c r="P135">
        <f t="shared" si="166"/>
        <v>1667.6</v>
      </c>
      <c r="Q135">
        <f t="shared" si="167"/>
        <v>1667.83</v>
      </c>
    </row>
    <row r="136" spans="8:18">
      <c r="K136" s="23">
        <f t="shared" si="168"/>
        <v>400</v>
      </c>
      <c r="N136">
        <f t="shared" si="169"/>
        <v>1668</v>
      </c>
      <c r="O136">
        <f t="shared" si="170"/>
        <v>1667.66</v>
      </c>
      <c r="P136">
        <f t="shared" si="166"/>
        <v>1667.2</v>
      </c>
      <c r="Q136">
        <f t="shared" si="167"/>
        <v>1667.49</v>
      </c>
    </row>
    <row r="137" spans="8:18">
      <c r="H137" t="s">
        <v>460</v>
      </c>
      <c r="I137">
        <v>100</v>
      </c>
      <c r="K137" s="23">
        <f t="shared" si="168"/>
        <v>500</v>
      </c>
      <c r="N137">
        <f t="shared" si="169"/>
        <v>1667.6</v>
      </c>
      <c r="O137">
        <f t="shared" si="170"/>
        <v>1667.26</v>
      </c>
      <c r="P137">
        <f t="shared" si="166"/>
        <v>1666.8</v>
      </c>
      <c r="Q137">
        <f t="shared" si="167"/>
        <v>1667.02</v>
      </c>
    </row>
    <row r="138" spans="8:18">
      <c r="H138" t="s">
        <v>461</v>
      </c>
      <c r="I138">
        <v>1200</v>
      </c>
      <c r="K138" s="23">
        <f t="shared" si="168"/>
        <v>600</v>
      </c>
      <c r="N138">
        <f t="shared" si="169"/>
        <v>1667.2</v>
      </c>
      <c r="O138">
        <f t="shared" si="170"/>
        <v>1666.8600000000001</v>
      </c>
      <c r="P138">
        <f t="shared" si="166"/>
        <v>1666.4</v>
      </c>
      <c r="Q138">
        <f t="shared" si="167"/>
        <v>1666.76</v>
      </c>
    </row>
    <row r="139" spans="8:18">
      <c r="K139" s="23"/>
    </row>
    <row r="140" spans="8:18">
      <c r="H140" t="s">
        <v>462</v>
      </c>
      <c r="I140">
        <v>2100</v>
      </c>
      <c r="K140" s="23">
        <f t="shared" ref="K140:K147" si="171">K12</f>
        <v>700</v>
      </c>
      <c r="N140">
        <f t="shared" ref="N140:N147" si="172">AA12+Y12</f>
        <v>1666.8</v>
      </c>
      <c r="O140">
        <f t="shared" ref="O140:O147" si="173">AB12</f>
        <v>1666.46</v>
      </c>
      <c r="P140">
        <f t="shared" ref="P140:P147" si="174">AA12</f>
        <v>1666</v>
      </c>
      <c r="Q140">
        <f t="shared" ref="Q140:Q147" si="175">E12</f>
        <v>1666.21</v>
      </c>
    </row>
    <row r="141" spans="8:18">
      <c r="H141" t="s">
        <v>463</v>
      </c>
      <c r="I141">
        <v>2700</v>
      </c>
      <c r="K141" s="23">
        <f t="shared" si="171"/>
        <v>800</v>
      </c>
      <c r="N141">
        <f t="shared" si="172"/>
        <v>1666.3999999999999</v>
      </c>
      <c r="O141">
        <f t="shared" si="173"/>
        <v>1666.06</v>
      </c>
      <c r="P141">
        <f t="shared" si="174"/>
        <v>1665.6</v>
      </c>
      <c r="Q141">
        <f t="shared" si="175"/>
        <v>1665.78</v>
      </c>
    </row>
    <row r="142" spans="8:18">
      <c r="H142" t="s">
        <v>464</v>
      </c>
      <c r="I142">
        <v>3500</v>
      </c>
      <c r="K142" s="23">
        <f t="shared" si="171"/>
        <v>900</v>
      </c>
      <c r="N142">
        <f t="shared" si="172"/>
        <v>1666</v>
      </c>
      <c r="O142">
        <f t="shared" si="173"/>
        <v>1665.66</v>
      </c>
      <c r="P142">
        <f t="shared" si="174"/>
        <v>1665.2</v>
      </c>
      <c r="Q142">
        <f t="shared" si="175"/>
        <v>1665.5</v>
      </c>
    </row>
    <row r="143" spans="8:18">
      <c r="H143" t="s">
        <v>465</v>
      </c>
      <c r="I143">
        <v>4300</v>
      </c>
      <c r="K143" s="23">
        <f t="shared" si="171"/>
        <v>1000</v>
      </c>
      <c r="N143">
        <f t="shared" si="172"/>
        <v>1665.6</v>
      </c>
      <c r="O143">
        <f t="shared" si="173"/>
        <v>1665.26</v>
      </c>
      <c r="P143">
        <f t="shared" si="174"/>
        <v>1664.8</v>
      </c>
      <c r="Q143">
        <f t="shared" si="175"/>
        <v>1665.06</v>
      </c>
    </row>
    <row r="144" spans="8:18">
      <c r="H144" t="s">
        <v>466</v>
      </c>
      <c r="I144">
        <v>5000</v>
      </c>
      <c r="K144" s="23">
        <f t="shared" si="171"/>
        <v>1100</v>
      </c>
      <c r="N144">
        <f t="shared" si="172"/>
        <v>1665.2</v>
      </c>
      <c r="O144">
        <f t="shared" si="173"/>
        <v>1664.8600000000001</v>
      </c>
      <c r="P144">
        <f t="shared" si="174"/>
        <v>1664.4</v>
      </c>
      <c r="Q144">
        <f t="shared" si="175"/>
        <v>1664.56</v>
      </c>
    </row>
    <row r="145" spans="8:17">
      <c r="H145" t="s">
        <v>467</v>
      </c>
      <c r="I145">
        <v>5871</v>
      </c>
      <c r="K145" s="23">
        <f t="shared" si="171"/>
        <v>1152</v>
      </c>
      <c r="N145">
        <f t="shared" si="172"/>
        <v>1664.99</v>
      </c>
      <c r="O145">
        <f t="shared" si="173"/>
        <v>1664.65</v>
      </c>
      <c r="P145">
        <f t="shared" si="174"/>
        <v>1664.19</v>
      </c>
      <c r="Q145">
        <f t="shared" si="175"/>
        <v>1665.5</v>
      </c>
    </row>
    <row r="146" spans="8:17">
      <c r="K146" s="23">
        <f t="shared" si="171"/>
        <v>1162</v>
      </c>
      <c r="N146">
        <f t="shared" si="172"/>
        <v>1664.99</v>
      </c>
      <c r="O146">
        <f t="shared" si="173"/>
        <v>1664.65</v>
      </c>
      <c r="P146">
        <f t="shared" si="174"/>
        <v>1664.19</v>
      </c>
      <c r="Q146">
        <f t="shared" si="175"/>
        <v>1665.5</v>
      </c>
    </row>
    <row r="147" spans="8:17">
      <c r="K147" s="23">
        <f t="shared" si="171"/>
        <v>1200</v>
      </c>
      <c r="N147">
        <f t="shared" si="172"/>
        <v>1664.84</v>
      </c>
      <c r="O147">
        <f t="shared" si="173"/>
        <v>1664.5</v>
      </c>
      <c r="P147">
        <f t="shared" si="174"/>
        <v>1664.04</v>
      </c>
      <c r="Q147">
        <f t="shared" si="175"/>
        <v>1664.38</v>
      </c>
    </row>
    <row r="148" spans="8:17">
      <c r="K148" s="23"/>
    </row>
    <row r="149" spans="8:17">
      <c r="K149" s="23">
        <f t="shared" ref="K149:K154" si="176">K20</f>
        <v>1300</v>
      </c>
      <c r="N149">
        <f t="shared" ref="N149:N154" si="177">AA20+Y20</f>
        <v>1664.44</v>
      </c>
      <c r="O149">
        <f t="shared" ref="O149:O154" si="178">AB20</f>
        <v>1664.1000000000001</v>
      </c>
      <c r="P149">
        <f t="shared" ref="P149:P154" si="179">AA20</f>
        <v>1663.64</v>
      </c>
      <c r="Q149">
        <f t="shared" ref="Q149:Q154" si="180">E20</f>
        <v>1664.09</v>
      </c>
    </row>
    <row r="150" spans="8:17">
      <c r="K150" s="23">
        <f t="shared" si="176"/>
        <v>1400</v>
      </c>
      <c r="N150">
        <f t="shared" si="177"/>
        <v>1664.04</v>
      </c>
      <c r="O150">
        <f t="shared" si="178"/>
        <v>1663.7</v>
      </c>
      <c r="P150">
        <f t="shared" si="179"/>
        <v>1663.24</v>
      </c>
      <c r="Q150">
        <f t="shared" si="180"/>
        <v>1663.57</v>
      </c>
    </row>
    <row r="151" spans="8:17">
      <c r="K151" s="23">
        <f t="shared" si="176"/>
        <v>1500</v>
      </c>
      <c r="N151">
        <f t="shared" si="177"/>
        <v>1663.58</v>
      </c>
      <c r="O151">
        <f t="shared" si="178"/>
        <v>1663.24</v>
      </c>
      <c r="P151">
        <f t="shared" si="179"/>
        <v>1662.78</v>
      </c>
      <c r="Q151">
        <f t="shared" si="180"/>
        <v>1663.09</v>
      </c>
    </row>
    <row r="152" spans="8:17">
      <c r="K152" s="23">
        <f t="shared" si="176"/>
        <v>1600</v>
      </c>
      <c r="N152">
        <f t="shared" si="177"/>
        <v>1663.12</v>
      </c>
      <c r="O152">
        <f t="shared" si="178"/>
        <v>1662.78</v>
      </c>
      <c r="P152">
        <f t="shared" si="179"/>
        <v>1662.32</v>
      </c>
      <c r="Q152">
        <f t="shared" si="180"/>
        <v>1662.41</v>
      </c>
    </row>
    <row r="153" spans="8:17">
      <c r="K153" s="23">
        <f t="shared" si="176"/>
        <v>1700</v>
      </c>
      <c r="N153">
        <f t="shared" si="177"/>
        <v>1662.6599999999999</v>
      </c>
      <c r="O153">
        <f t="shared" si="178"/>
        <v>1662.32</v>
      </c>
      <c r="P153">
        <f t="shared" si="179"/>
        <v>1661.86</v>
      </c>
      <c r="Q153">
        <f t="shared" si="180"/>
        <v>1662.16</v>
      </c>
    </row>
    <row r="154" spans="8:17">
      <c r="K154" s="23">
        <f t="shared" si="176"/>
        <v>1800</v>
      </c>
      <c r="N154">
        <f t="shared" si="177"/>
        <v>1662.2</v>
      </c>
      <c r="O154">
        <f t="shared" si="178"/>
        <v>1661.8600000000001</v>
      </c>
      <c r="P154">
        <f t="shared" si="179"/>
        <v>1661.4</v>
      </c>
      <c r="Q154">
        <f t="shared" si="180"/>
        <v>1661.69</v>
      </c>
    </row>
    <row r="155" spans="8:17">
      <c r="K155" s="23"/>
    </row>
    <row r="156" spans="8:17">
      <c r="K156" s="23">
        <f t="shared" ref="K156:K161" si="181">K26</f>
        <v>1900</v>
      </c>
      <c r="N156">
        <f t="shared" ref="N156:N161" si="182">AA26+Y26</f>
        <v>1661.74</v>
      </c>
      <c r="O156">
        <f t="shared" ref="O156:O161" si="183">AB26</f>
        <v>1661.4</v>
      </c>
      <c r="P156">
        <f t="shared" ref="P156:P161" si="184">AA26</f>
        <v>1660.94</v>
      </c>
      <c r="Q156">
        <f t="shared" ref="Q156:Q161" si="185">E26</f>
        <v>1661.15</v>
      </c>
    </row>
    <row r="157" spans="8:17">
      <c r="K157" s="23">
        <f t="shared" si="181"/>
        <v>2000</v>
      </c>
      <c r="N157">
        <f t="shared" si="182"/>
        <v>1661.28</v>
      </c>
      <c r="O157">
        <f t="shared" si="183"/>
        <v>1660.94</v>
      </c>
      <c r="P157">
        <f t="shared" si="184"/>
        <v>1660.48</v>
      </c>
      <c r="Q157">
        <f t="shared" si="185"/>
        <v>1660.53</v>
      </c>
    </row>
    <row r="158" spans="8:17">
      <c r="K158" s="23">
        <f t="shared" si="181"/>
        <v>2100</v>
      </c>
      <c r="N158">
        <f t="shared" si="182"/>
        <v>1660.82</v>
      </c>
      <c r="O158">
        <f t="shared" si="183"/>
        <v>1660.48</v>
      </c>
      <c r="P158">
        <f t="shared" si="184"/>
        <v>1660.02</v>
      </c>
      <c r="Q158">
        <f t="shared" si="185"/>
        <v>1660.11</v>
      </c>
    </row>
    <row r="159" spans="8:17">
      <c r="K159" s="23">
        <f t="shared" si="181"/>
        <v>2200</v>
      </c>
      <c r="N159">
        <f t="shared" si="182"/>
        <v>1660.36</v>
      </c>
      <c r="O159">
        <f t="shared" si="183"/>
        <v>1660.02</v>
      </c>
      <c r="P159">
        <f t="shared" si="184"/>
        <v>1659.56</v>
      </c>
      <c r="Q159">
        <f t="shared" si="185"/>
        <v>1659.45</v>
      </c>
    </row>
    <row r="160" spans="8:17">
      <c r="K160" s="23">
        <f t="shared" si="181"/>
        <v>2300</v>
      </c>
      <c r="N160">
        <f t="shared" si="182"/>
        <v>1659.8999999999999</v>
      </c>
      <c r="O160">
        <f t="shared" si="183"/>
        <v>1659.56</v>
      </c>
      <c r="P160">
        <f t="shared" si="184"/>
        <v>1659.1</v>
      </c>
      <c r="Q160">
        <f t="shared" si="185"/>
        <v>1658.89</v>
      </c>
    </row>
    <row r="161" spans="11:17">
      <c r="K161" s="23">
        <f t="shared" si="181"/>
        <v>2400</v>
      </c>
      <c r="N161">
        <f t="shared" si="182"/>
        <v>1659.44</v>
      </c>
      <c r="O161">
        <f t="shared" si="183"/>
        <v>1659.1000000000001</v>
      </c>
      <c r="P161">
        <f t="shared" si="184"/>
        <v>1658.64</v>
      </c>
      <c r="Q161">
        <f t="shared" si="185"/>
        <v>1658.81</v>
      </c>
    </row>
    <row r="162" spans="11:17">
      <c r="K162" s="23"/>
    </row>
    <row r="163" spans="11:17">
      <c r="K163" s="23">
        <f t="shared" ref="K163:K168" si="186">K32</f>
        <v>2500</v>
      </c>
      <c r="N163">
        <f t="shared" ref="N163:N168" si="187">AA32+Y32</f>
        <v>1659.04</v>
      </c>
      <c r="O163">
        <f t="shared" ref="O163:O168" si="188">AB32</f>
        <v>1658.7</v>
      </c>
      <c r="P163">
        <f t="shared" ref="P163:P168" si="189">AA32</f>
        <v>1658.24</v>
      </c>
      <c r="Q163">
        <f t="shared" ref="Q163:Q168" si="190">E32</f>
        <v>1658.62</v>
      </c>
    </row>
    <row r="164" spans="11:17">
      <c r="K164" s="23">
        <f t="shared" si="186"/>
        <v>2600</v>
      </c>
      <c r="N164">
        <f t="shared" si="187"/>
        <v>1658.6399999999999</v>
      </c>
      <c r="O164">
        <f t="shared" si="188"/>
        <v>1658.3</v>
      </c>
      <c r="P164">
        <f t="shared" si="189"/>
        <v>1657.84</v>
      </c>
      <c r="Q164">
        <f t="shared" si="190"/>
        <v>1658.04</v>
      </c>
    </row>
    <row r="165" spans="11:17">
      <c r="K165" s="23">
        <f t="shared" si="186"/>
        <v>2700</v>
      </c>
      <c r="N165">
        <f t="shared" si="187"/>
        <v>1658.24</v>
      </c>
      <c r="O165">
        <f t="shared" si="188"/>
        <v>1657.9</v>
      </c>
      <c r="P165">
        <f t="shared" si="189"/>
        <v>1657.44</v>
      </c>
      <c r="Q165">
        <f t="shared" si="190"/>
        <v>1657.77</v>
      </c>
    </row>
    <row r="166" spans="11:17">
      <c r="K166" s="23">
        <f t="shared" si="186"/>
        <v>2800</v>
      </c>
      <c r="M166" t="str">
        <f>T38</f>
        <v>1/455</v>
      </c>
      <c r="N166">
        <f t="shared" si="187"/>
        <v>1657.84</v>
      </c>
      <c r="O166">
        <f t="shared" si="188"/>
        <v>1657.48</v>
      </c>
      <c r="P166">
        <f t="shared" si="189"/>
        <v>1657.04</v>
      </c>
      <c r="Q166">
        <f t="shared" si="190"/>
        <v>1657.41</v>
      </c>
    </row>
    <row r="167" spans="11:17">
      <c r="K167" s="23">
        <f t="shared" si="186"/>
        <v>2900</v>
      </c>
      <c r="N167">
        <f t="shared" si="187"/>
        <v>1657.62</v>
      </c>
      <c r="O167">
        <f t="shared" si="188"/>
        <v>1657.26</v>
      </c>
      <c r="P167">
        <f t="shared" si="189"/>
        <v>1656.82</v>
      </c>
      <c r="Q167">
        <f t="shared" si="190"/>
        <v>1656.96</v>
      </c>
    </row>
    <row r="168" spans="11:17">
      <c r="K168" s="23">
        <f t="shared" si="186"/>
        <v>3000</v>
      </c>
      <c r="N168">
        <f t="shared" si="187"/>
        <v>1657.3999999999999</v>
      </c>
      <c r="O168">
        <f t="shared" si="188"/>
        <v>1657.04</v>
      </c>
      <c r="P168">
        <f t="shared" si="189"/>
        <v>1656.6</v>
      </c>
      <c r="Q168">
        <f t="shared" si="190"/>
        <v>1657.1</v>
      </c>
    </row>
    <row r="169" spans="11:17">
      <c r="K169" s="23"/>
    </row>
    <row r="170" spans="11:17">
      <c r="K170" s="23">
        <f t="shared" ref="K170:K175" si="191">K38</f>
        <v>3100</v>
      </c>
      <c r="N170">
        <f t="shared" ref="N170:N175" si="192">AA38+Y38</f>
        <v>1657.18</v>
      </c>
      <c r="O170">
        <f t="shared" ref="O170:O175" si="193">AB38</f>
        <v>1656.8200000000002</v>
      </c>
      <c r="P170">
        <f t="shared" ref="P170:P175" si="194">AA38</f>
        <v>1656.38</v>
      </c>
      <c r="Q170">
        <f t="shared" ref="Q170:Q175" si="195">E38</f>
        <v>1656.58</v>
      </c>
    </row>
    <row r="171" spans="11:17">
      <c r="K171" s="23">
        <f t="shared" si="191"/>
        <v>3200</v>
      </c>
      <c r="N171">
        <f t="shared" si="192"/>
        <v>1656.96</v>
      </c>
      <c r="O171">
        <f t="shared" si="193"/>
        <v>1656.6000000000001</v>
      </c>
      <c r="P171">
        <f t="shared" si="194"/>
        <v>1656.16</v>
      </c>
      <c r="Q171">
        <f t="shared" si="195"/>
        <v>1656.46</v>
      </c>
    </row>
    <row r="172" spans="11:17">
      <c r="K172" s="23">
        <f t="shared" si="191"/>
        <v>3300</v>
      </c>
      <c r="N172">
        <f t="shared" si="192"/>
        <v>1656.74</v>
      </c>
      <c r="O172">
        <f t="shared" si="193"/>
        <v>1656.38</v>
      </c>
      <c r="P172">
        <f t="shared" si="194"/>
        <v>1655.94</v>
      </c>
      <c r="Q172">
        <f t="shared" si="195"/>
        <v>1656.14</v>
      </c>
    </row>
    <row r="173" spans="11:17">
      <c r="K173" s="23">
        <f t="shared" si="191"/>
        <v>3400</v>
      </c>
      <c r="N173">
        <f t="shared" si="192"/>
        <v>1656.52</v>
      </c>
      <c r="O173">
        <f t="shared" si="193"/>
        <v>1656.16</v>
      </c>
      <c r="P173">
        <f t="shared" si="194"/>
        <v>1655.72</v>
      </c>
      <c r="Q173">
        <f t="shared" si="195"/>
        <v>1656.05</v>
      </c>
    </row>
    <row r="174" spans="11:17">
      <c r="K174" s="23">
        <f t="shared" si="191"/>
        <v>3500</v>
      </c>
      <c r="N174">
        <f t="shared" si="192"/>
        <v>1656.3</v>
      </c>
      <c r="O174">
        <f t="shared" si="193"/>
        <v>1655.94</v>
      </c>
      <c r="P174">
        <f t="shared" si="194"/>
        <v>1655.5</v>
      </c>
      <c r="Q174">
        <f t="shared" si="195"/>
        <v>1656.21</v>
      </c>
    </row>
    <row r="175" spans="11:17">
      <c r="K175" s="23">
        <f t="shared" si="191"/>
        <v>3600</v>
      </c>
      <c r="N175">
        <f t="shared" si="192"/>
        <v>1656.08</v>
      </c>
      <c r="O175">
        <f t="shared" si="193"/>
        <v>1655.72</v>
      </c>
      <c r="P175">
        <f t="shared" si="194"/>
        <v>1655.28</v>
      </c>
      <c r="Q175">
        <f t="shared" si="195"/>
        <v>1656.05</v>
      </c>
    </row>
    <row r="176" spans="11:17">
      <c r="K176" s="23"/>
    </row>
    <row r="177" spans="11:17">
      <c r="K177" s="23">
        <f t="shared" ref="K177:K182" si="196">K44</f>
        <v>3700</v>
      </c>
      <c r="N177">
        <f t="shared" ref="N177:N182" si="197">AA44+Y44</f>
        <v>1655.86</v>
      </c>
      <c r="O177">
        <f t="shared" ref="O177:O182" si="198">AB44</f>
        <v>1655.5</v>
      </c>
      <c r="P177">
        <f t="shared" ref="P177:P182" si="199">AA44</f>
        <v>1655.06</v>
      </c>
      <c r="Q177">
        <f t="shared" ref="Q177:Q182" si="200">E44</f>
        <v>1656.78</v>
      </c>
    </row>
    <row r="178" spans="11:17">
      <c r="K178" s="23">
        <f t="shared" si="196"/>
        <v>3800</v>
      </c>
      <c r="N178">
        <f t="shared" si="197"/>
        <v>1655.6399999999999</v>
      </c>
      <c r="O178">
        <f t="shared" si="198"/>
        <v>1655.28</v>
      </c>
      <c r="P178">
        <f t="shared" si="199"/>
        <v>1654.84</v>
      </c>
      <c r="Q178">
        <f t="shared" si="200"/>
        <v>1655.6</v>
      </c>
    </row>
    <row r="179" spans="11:17">
      <c r="K179" s="23">
        <f t="shared" si="196"/>
        <v>3900</v>
      </c>
      <c r="N179">
        <f t="shared" si="197"/>
        <v>1655.4199999999998</v>
      </c>
      <c r="O179">
        <f t="shared" si="198"/>
        <v>1655.06</v>
      </c>
      <c r="P179">
        <f t="shared" si="199"/>
        <v>1654.62</v>
      </c>
      <c r="Q179">
        <f t="shared" si="200"/>
        <v>1655.1</v>
      </c>
    </row>
    <row r="180" spans="11:17">
      <c r="K180" s="23">
        <f t="shared" si="196"/>
        <v>4000</v>
      </c>
      <c r="N180">
        <f t="shared" si="197"/>
        <v>1655.2</v>
      </c>
      <c r="O180">
        <f t="shared" si="198"/>
        <v>1654.8400000000001</v>
      </c>
      <c r="P180">
        <f t="shared" si="199"/>
        <v>1654.4</v>
      </c>
      <c r="Q180">
        <f t="shared" si="200"/>
        <v>1654.9</v>
      </c>
    </row>
    <row r="181" spans="11:17">
      <c r="K181" s="23">
        <f t="shared" si="196"/>
        <v>4100</v>
      </c>
      <c r="N181">
        <f t="shared" si="197"/>
        <v>1654.98</v>
      </c>
      <c r="O181">
        <f t="shared" si="198"/>
        <v>1654.6200000000001</v>
      </c>
      <c r="P181">
        <f t="shared" si="199"/>
        <v>1654.18</v>
      </c>
      <c r="Q181">
        <f t="shared" si="200"/>
        <v>1654.67</v>
      </c>
    </row>
    <row r="182" spans="11:17">
      <c r="K182" s="23">
        <f t="shared" si="196"/>
        <v>4200</v>
      </c>
      <c r="N182">
        <f t="shared" si="197"/>
        <v>1654.76</v>
      </c>
      <c r="O182">
        <f t="shared" si="198"/>
        <v>1654.4</v>
      </c>
      <c r="P182">
        <f t="shared" si="199"/>
        <v>1653.96</v>
      </c>
      <c r="Q182">
        <f t="shared" si="200"/>
        <v>1654.37</v>
      </c>
    </row>
    <row r="183" spans="11:17">
      <c r="K183" s="23"/>
    </row>
    <row r="184" spans="11:17">
      <c r="K184" s="23">
        <f t="shared" ref="K184:K189" si="201">K50</f>
        <v>4300</v>
      </c>
      <c r="N184">
        <f t="shared" ref="N184:N189" si="202">AA50+Y50</f>
        <v>1654.54</v>
      </c>
      <c r="O184">
        <f t="shared" ref="O184:O189" si="203">AB50</f>
        <v>1654.18</v>
      </c>
      <c r="P184">
        <f t="shared" ref="P184:P189" si="204">AA50</f>
        <v>1653.74</v>
      </c>
      <c r="Q184">
        <f t="shared" ref="Q184:Q189" si="205">E50</f>
        <v>1653.93</v>
      </c>
    </row>
    <row r="185" spans="11:17">
      <c r="K185" s="23">
        <f t="shared" si="201"/>
        <v>4400</v>
      </c>
      <c r="N185">
        <f t="shared" si="202"/>
        <v>1654.32</v>
      </c>
      <c r="O185">
        <f t="shared" si="203"/>
        <v>1653.95</v>
      </c>
      <c r="P185">
        <f t="shared" si="204"/>
        <v>1653.52</v>
      </c>
      <c r="Q185">
        <f t="shared" si="205"/>
        <v>1654.17</v>
      </c>
    </row>
    <row r="186" spans="11:17">
      <c r="K186" s="23">
        <f t="shared" si="201"/>
        <v>4500</v>
      </c>
      <c r="N186">
        <f t="shared" si="202"/>
        <v>1654.1</v>
      </c>
      <c r="O186">
        <f t="shared" si="203"/>
        <v>1653.73</v>
      </c>
      <c r="P186">
        <f t="shared" si="204"/>
        <v>1653.3</v>
      </c>
      <c r="Q186">
        <f t="shared" si="205"/>
        <v>1653.66</v>
      </c>
    </row>
    <row r="187" spans="11:17">
      <c r="K187" s="23">
        <f t="shared" si="201"/>
        <v>4600</v>
      </c>
      <c r="N187">
        <f t="shared" si="202"/>
        <v>1653.8799999999999</v>
      </c>
      <c r="O187">
        <f t="shared" si="203"/>
        <v>1653.51</v>
      </c>
      <c r="P187">
        <f t="shared" si="204"/>
        <v>1653.08</v>
      </c>
      <c r="Q187">
        <f t="shared" si="205"/>
        <v>1653.65</v>
      </c>
    </row>
    <row r="188" spans="11:17">
      <c r="K188" s="23">
        <f t="shared" si="201"/>
        <v>4700</v>
      </c>
      <c r="N188">
        <f t="shared" si="202"/>
        <v>1653.6599999999999</v>
      </c>
      <c r="O188">
        <f t="shared" si="203"/>
        <v>1653.29</v>
      </c>
      <c r="P188">
        <f t="shared" si="204"/>
        <v>1652.86</v>
      </c>
      <c r="Q188">
        <f t="shared" si="205"/>
        <v>1653.47</v>
      </c>
    </row>
    <row r="189" spans="11:17">
      <c r="K189" s="23">
        <f t="shared" si="201"/>
        <v>4800</v>
      </c>
      <c r="N189">
        <f t="shared" si="202"/>
        <v>1653.44</v>
      </c>
      <c r="O189">
        <f t="shared" si="203"/>
        <v>1653.0700000000002</v>
      </c>
      <c r="P189">
        <f t="shared" si="204"/>
        <v>1652.64</v>
      </c>
      <c r="Q189">
        <f t="shared" si="205"/>
        <v>1653.05</v>
      </c>
    </row>
    <row r="190" spans="11:17">
      <c r="K190" s="23"/>
    </row>
    <row r="191" spans="11:17">
      <c r="K191" s="23">
        <f t="shared" ref="K191:K196" si="206">K56</f>
        <v>4900</v>
      </c>
      <c r="N191">
        <f t="shared" ref="N191:N196" si="207">AA56+Y56</f>
        <v>1653.22</v>
      </c>
      <c r="O191">
        <f t="shared" ref="O191:O196" si="208">AB56</f>
        <v>1652.8500000000001</v>
      </c>
      <c r="P191">
        <f t="shared" ref="P191:P196" si="209">AA56</f>
        <v>1652.42</v>
      </c>
      <c r="Q191">
        <f t="shared" ref="Q191:Q196" si="210">E56</f>
        <v>1653.45</v>
      </c>
    </row>
    <row r="192" spans="11:17">
      <c r="K192" s="23">
        <f t="shared" si="206"/>
        <v>5000</v>
      </c>
      <c r="N192">
        <f t="shared" si="207"/>
        <v>1653</v>
      </c>
      <c r="O192">
        <f t="shared" si="208"/>
        <v>1652.63</v>
      </c>
      <c r="P192">
        <f t="shared" si="209"/>
        <v>1652.2</v>
      </c>
      <c r="Q192">
        <f t="shared" si="210"/>
        <v>1653.61</v>
      </c>
    </row>
    <row r="193" spans="11:17">
      <c r="K193" s="23">
        <f t="shared" si="206"/>
        <v>5100</v>
      </c>
      <c r="N193">
        <f t="shared" si="207"/>
        <v>1652.78</v>
      </c>
      <c r="O193">
        <f t="shared" si="208"/>
        <v>1652.41</v>
      </c>
      <c r="P193">
        <f t="shared" si="209"/>
        <v>1651.98</v>
      </c>
      <c r="Q193">
        <f t="shared" si="210"/>
        <v>1653.24</v>
      </c>
    </row>
    <row r="194" spans="11:17">
      <c r="K194" s="23">
        <f t="shared" si="206"/>
        <v>5200</v>
      </c>
      <c r="N194">
        <f t="shared" si="207"/>
        <v>1652.56</v>
      </c>
      <c r="O194">
        <f t="shared" si="208"/>
        <v>1652.19</v>
      </c>
      <c r="P194">
        <f t="shared" si="209"/>
        <v>1651.76</v>
      </c>
      <c r="Q194">
        <f t="shared" si="210"/>
        <v>1652.96</v>
      </c>
    </row>
    <row r="195" spans="11:17">
      <c r="K195" s="23">
        <f t="shared" si="206"/>
        <v>5300</v>
      </c>
      <c r="N195">
        <f t="shared" si="207"/>
        <v>1652.34</v>
      </c>
      <c r="O195">
        <f t="shared" si="208"/>
        <v>1651.97</v>
      </c>
      <c r="P195">
        <f t="shared" si="209"/>
        <v>1651.54</v>
      </c>
      <c r="Q195">
        <f t="shared" si="210"/>
        <v>1652.95</v>
      </c>
    </row>
    <row r="196" spans="11:17">
      <c r="K196" s="23">
        <f t="shared" si="206"/>
        <v>5400</v>
      </c>
      <c r="N196">
        <f t="shared" si="207"/>
        <v>1652.12</v>
      </c>
      <c r="O196">
        <f t="shared" si="208"/>
        <v>1651.75</v>
      </c>
      <c r="P196">
        <f t="shared" si="209"/>
        <v>1651.32</v>
      </c>
      <c r="Q196">
        <f t="shared" si="210"/>
        <v>1651.97</v>
      </c>
    </row>
    <row r="197" spans="11:17">
      <c r="K197" s="23"/>
    </row>
    <row r="198" spans="11:17">
      <c r="K198" s="23">
        <f>K62</f>
        <v>5500</v>
      </c>
      <c r="N198">
        <f>AA62+Y62</f>
        <v>1651.8999999999999</v>
      </c>
      <c r="O198">
        <f>AB62</f>
        <v>1651.53</v>
      </c>
      <c r="P198">
        <f>AA62</f>
        <v>1651.1</v>
      </c>
      <c r="Q198">
        <f>E62</f>
        <v>1651.29</v>
      </c>
    </row>
    <row r="199" spans="11:17">
      <c r="K199" s="23">
        <f>K63</f>
        <v>5600</v>
      </c>
      <c r="N199">
        <f>AA63+Y63</f>
        <v>1651.68</v>
      </c>
      <c r="O199">
        <f>AB63</f>
        <v>1651.3100000000002</v>
      </c>
      <c r="P199">
        <f>AA63</f>
        <v>1650.88</v>
      </c>
      <c r="Q199">
        <f>E63</f>
        <v>1650.98</v>
      </c>
    </row>
    <row r="200" spans="11:17">
      <c r="K200" s="23">
        <f>K64</f>
        <v>5700</v>
      </c>
      <c r="N200">
        <f>AA64+Y64</f>
        <v>1651.46</v>
      </c>
      <c r="O200">
        <f>AB64</f>
        <v>1651.0900000000001</v>
      </c>
      <c r="P200">
        <f>AA64</f>
        <v>1650.66</v>
      </c>
      <c r="Q200">
        <f>E64</f>
        <v>1650.68</v>
      </c>
    </row>
    <row r="201" spans="11:17">
      <c r="K201" s="23">
        <f>K65</f>
        <v>5800</v>
      </c>
      <c r="N201">
        <f>AA65+Y65</f>
        <v>1651.24</v>
      </c>
      <c r="O201">
        <f>AB65</f>
        <v>1650.8700000000001</v>
      </c>
      <c r="P201">
        <f>AA65</f>
        <v>1650.44</v>
      </c>
      <c r="Q201">
        <f>E65</f>
        <v>1650.63</v>
      </c>
    </row>
    <row r="202" spans="11:17">
      <c r="K202" s="23">
        <f>K67</f>
        <v>5900</v>
      </c>
      <c r="N202">
        <f>AA67+Y67</f>
        <v>1651.02</v>
      </c>
      <c r="O202">
        <f t="shared" ref="O202:O203" si="211">AB67</f>
        <v>1650.65</v>
      </c>
      <c r="P202">
        <f t="shared" ref="P202:P203" si="212">AA67</f>
        <v>1650.22</v>
      </c>
      <c r="Q202">
        <f t="shared" ref="Q202:Q203" si="213">E67</f>
        <v>1650.67</v>
      </c>
    </row>
    <row r="203" spans="11:17">
      <c r="K203" s="23">
        <f>K68</f>
        <v>6000</v>
      </c>
      <c r="N203">
        <f>AA68+Y68</f>
        <v>1650.8</v>
      </c>
      <c r="O203">
        <f t="shared" si="211"/>
        <v>1650.43</v>
      </c>
      <c r="P203">
        <f t="shared" si="212"/>
        <v>1650</v>
      </c>
      <c r="Q203">
        <f t="shared" si="213"/>
        <v>1650.51</v>
      </c>
    </row>
    <row r="204" spans="11:17">
      <c r="K204" s="23"/>
    </row>
    <row r="205" spans="11:17">
      <c r="K205" s="23">
        <f>K69</f>
        <v>6100</v>
      </c>
      <c r="N205">
        <f>AA69+Y69</f>
        <v>1650.58</v>
      </c>
      <c r="O205">
        <f>AB69</f>
        <v>1650.21</v>
      </c>
      <c r="P205">
        <f>AA69</f>
        <v>1649.78</v>
      </c>
      <c r="Q205">
        <f>E69</f>
        <v>1650.26</v>
      </c>
    </row>
    <row r="206" spans="11:17">
      <c r="K206" s="23">
        <f>K70</f>
        <v>6200</v>
      </c>
      <c r="N206">
        <f>AA70+Y70</f>
        <v>1650.36</v>
      </c>
      <c r="O206">
        <f>AB70</f>
        <v>1650.02</v>
      </c>
      <c r="P206">
        <f>AA70</f>
        <v>1649.56</v>
      </c>
      <c r="Q206">
        <f>E70</f>
        <v>1650.05</v>
      </c>
    </row>
    <row r="207" spans="11:17">
      <c r="K207" s="23">
        <f>K71</f>
        <v>6300</v>
      </c>
      <c r="M207" t="str">
        <f>T71</f>
        <v>1/1000</v>
      </c>
      <c r="N207">
        <f>AA71+Y71</f>
        <v>1650.1399999999999</v>
      </c>
      <c r="O207">
        <f>AB71</f>
        <v>1649.8</v>
      </c>
      <c r="P207">
        <f>AA71</f>
        <v>1649.34</v>
      </c>
      <c r="Q207">
        <f>E71</f>
        <v>1649.33</v>
      </c>
    </row>
    <row r="208" spans="11:17">
      <c r="K208" s="23">
        <f>K72</f>
        <v>6400</v>
      </c>
      <c r="N208">
        <f>AA72+Y72</f>
        <v>1650.04</v>
      </c>
      <c r="O208">
        <f>AB72</f>
        <v>1649.7</v>
      </c>
      <c r="P208">
        <f>AA72</f>
        <v>1649.24</v>
      </c>
      <c r="Q208">
        <f>E72</f>
        <v>1649.69</v>
      </c>
    </row>
    <row r="209" spans="11:17">
      <c r="K209" s="23">
        <f>K73</f>
        <v>6500</v>
      </c>
      <c r="N209">
        <f>AA73+Y73</f>
        <v>1649.94</v>
      </c>
      <c r="O209">
        <f>AB73</f>
        <v>1649.6000000000001</v>
      </c>
      <c r="P209">
        <f>AA73</f>
        <v>1649.14</v>
      </c>
      <c r="Q209">
        <f>E73</f>
        <v>1649.61</v>
      </c>
    </row>
    <row r="210" spans="11:17">
      <c r="K210" s="23"/>
    </row>
    <row r="211" spans="11:17">
      <c r="K211" s="23">
        <f>K74</f>
        <v>6600</v>
      </c>
      <c r="N211">
        <f>AA74+Y74</f>
        <v>1649.84</v>
      </c>
      <c r="O211">
        <f>AB74</f>
        <v>1649.5</v>
      </c>
      <c r="P211">
        <f>AA74</f>
        <v>1649.04</v>
      </c>
      <c r="Q211">
        <f>E74</f>
        <v>1649.55</v>
      </c>
    </row>
    <row r="212" spans="11:17">
      <c r="K212" s="23">
        <f>K75</f>
        <v>6700</v>
      </c>
      <c r="N212">
        <f>AA75+Y75</f>
        <v>1649.74</v>
      </c>
      <c r="O212">
        <f>AB75</f>
        <v>1649.4</v>
      </c>
      <c r="P212">
        <f>AA75</f>
        <v>1648.94</v>
      </c>
      <c r="Q212">
        <f>E75</f>
        <v>1649.55</v>
      </c>
    </row>
    <row r="213" spans="11:17">
      <c r="K213" s="23">
        <f>K76</f>
        <v>6803</v>
      </c>
      <c r="N213">
        <f>AA76+Y76</f>
        <v>1649.6399999999999</v>
      </c>
      <c r="O213">
        <f>AB76</f>
        <v>1649.3</v>
      </c>
      <c r="P213">
        <f>AA76</f>
        <v>1648.84</v>
      </c>
      <c r="Q213">
        <f>E76</f>
        <v>1649.61</v>
      </c>
    </row>
    <row r="214" spans="11:17">
      <c r="K214" s="23"/>
    </row>
    <row r="215" spans="11:17">
      <c r="K215" s="23"/>
    </row>
    <row r="216" spans="11:17">
      <c r="K216" s="23"/>
    </row>
    <row r="217" spans="11:17">
      <c r="K217" s="23"/>
    </row>
    <row r="218" spans="11:17">
      <c r="K218" s="23"/>
    </row>
    <row r="219" spans="11:17">
      <c r="K219" s="23"/>
    </row>
    <row r="220" spans="11:17">
      <c r="K220" s="23"/>
    </row>
    <row r="221" spans="11:17">
      <c r="K221" s="23"/>
    </row>
    <row r="222" spans="11:17">
      <c r="K222" s="23"/>
    </row>
    <row r="223" spans="11:17">
      <c r="K223" s="23"/>
    </row>
    <row r="224" spans="11:17">
      <c r="K224" s="23"/>
    </row>
    <row r="225" spans="11:11">
      <c r="K225" s="23"/>
    </row>
    <row r="226" spans="11:11">
      <c r="K226" s="23"/>
    </row>
    <row r="227" spans="11:11">
      <c r="K227" s="23"/>
    </row>
    <row r="228" spans="11:11">
      <c r="K228" s="23"/>
    </row>
    <row r="229" spans="11:11">
      <c r="K229" s="23"/>
    </row>
    <row r="230" spans="11:11">
      <c r="K230" s="23"/>
    </row>
    <row r="231" spans="11:11">
      <c r="K231" s="23"/>
    </row>
    <row r="232" spans="11:11">
      <c r="K232" s="23"/>
    </row>
    <row r="233" spans="11:11">
      <c r="K233" s="23"/>
    </row>
    <row r="234" spans="11:11">
      <c r="K234" s="23"/>
    </row>
    <row r="235" spans="11:11">
      <c r="K235" s="23"/>
    </row>
    <row r="236" spans="11:11">
      <c r="K236" s="23"/>
    </row>
    <row r="237" spans="11:11">
      <c r="K237" s="23"/>
    </row>
    <row r="238" spans="11:11">
      <c r="K238" s="23"/>
    </row>
    <row r="239" spans="11:11">
      <c r="K239" s="23"/>
    </row>
    <row r="240" spans="11:11">
      <c r="K240" s="23"/>
    </row>
    <row r="241" spans="11:11">
      <c r="K241" s="23"/>
    </row>
    <row r="242" spans="11:11">
      <c r="K242" s="23"/>
    </row>
    <row r="243" spans="11:11">
      <c r="K243" s="23"/>
    </row>
    <row r="244" spans="11:11">
      <c r="K244" s="23"/>
    </row>
    <row r="245" spans="11:11">
      <c r="K245" s="23"/>
    </row>
    <row r="246" spans="11:11">
      <c r="K246" s="23"/>
    </row>
    <row r="247" spans="11:11">
      <c r="K247" s="23"/>
    </row>
    <row r="248" spans="11:11">
      <c r="K248" s="23"/>
    </row>
    <row r="249" spans="11:11">
      <c r="K249" s="23"/>
    </row>
    <row r="250" spans="11:11">
      <c r="K250" s="23"/>
    </row>
    <row r="251" spans="11:11">
      <c r="K251" s="23"/>
    </row>
    <row r="252" spans="11:11">
      <c r="K252" s="23"/>
    </row>
    <row r="253" spans="11:11">
      <c r="K253" s="23"/>
    </row>
    <row r="254" spans="11:11">
      <c r="K254" s="23"/>
    </row>
    <row r="255" spans="11:11">
      <c r="K255" s="23"/>
    </row>
  </sheetData>
  <mergeCells count="17">
    <mergeCell ref="AC1:AC2"/>
    <mergeCell ref="J17:J18"/>
    <mergeCell ref="AA1:AA2"/>
    <mergeCell ref="AB1:AB2"/>
    <mergeCell ref="K1:K2"/>
    <mergeCell ref="L1:M1"/>
    <mergeCell ref="N1:O1"/>
    <mergeCell ref="P1:Q1"/>
    <mergeCell ref="J1:J2"/>
    <mergeCell ref="Z1:Z2"/>
    <mergeCell ref="W80:X80"/>
    <mergeCell ref="Y80:Z80"/>
    <mergeCell ref="K80:K81"/>
    <mergeCell ref="L80:M80"/>
    <mergeCell ref="N80:O80"/>
    <mergeCell ref="P80:Q80"/>
    <mergeCell ref="U80:V8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D254"/>
  <sheetViews>
    <sheetView topLeftCell="E181" workbookViewId="0">
      <selection activeCell="M135" sqref="M135"/>
    </sheetView>
  </sheetViews>
  <sheetFormatPr defaultRowHeight="14.4"/>
  <sheetData>
    <row r="1" spans="2:30">
      <c r="J1" s="43" t="s">
        <v>359</v>
      </c>
      <c r="K1" s="43" t="s">
        <v>336</v>
      </c>
      <c r="L1" s="43" t="s">
        <v>337</v>
      </c>
      <c r="M1" s="43"/>
      <c r="N1" s="43" t="s">
        <v>338</v>
      </c>
      <c r="O1" s="43"/>
      <c r="P1" s="43" t="s">
        <v>339</v>
      </c>
      <c r="Q1" s="43"/>
      <c r="R1" s="9" t="s">
        <v>340</v>
      </c>
      <c r="S1" s="9" t="s">
        <v>289</v>
      </c>
      <c r="T1" s="9"/>
      <c r="U1" s="9" t="s">
        <v>438</v>
      </c>
      <c r="V1" s="11"/>
      <c r="W1" s="11"/>
      <c r="X1" s="9" t="s">
        <v>343</v>
      </c>
      <c r="Y1" s="9" t="s">
        <v>344</v>
      </c>
      <c r="Z1" s="40" t="s">
        <v>395</v>
      </c>
      <c r="AA1" s="40" t="s">
        <v>346</v>
      </c>
      <c r="AB1" s="43" t="s">
        <v>347</v>
      </c>
      <c r="AC1" s="43" t="s">
        <v>359</v>
      </c>
    </row>
    <row r="2" spans="2:30" ht="15.6">
      <c r="J2" s="43"/>
      <c r="K2" s="43"/>
      <c r="L2" s="9" t="s">
        <v>349</v>
      </c>
      <c r="M2" s="9" t="s">
        <v>348</v>
      </c>
      <c r="N2" s="9" t="s">
        <v>351</v>
      </c>
      <c r="O2" s="9" t="s">
        <v>352</v>
      </c>
      <c r="P2" s="9" t="s">
        <v>353</v>
      </c>
      <c r="Q2" s="9" t="s">
        <v>354</v>
      </c>
      <c r="R2" s="9" t="s">
        <v>309</v>
      </c>
      <c r="S2" s="9" t="s">
        <v>308</v>
      </c>
      <c r="T2" s="9"/>
      <c r="U2" s="9" t="s">
        <v>306</v>
      </c>
      <c r="V2" s="11" t="s">
        <v>368</v>
      </c>
      <c r="W2" s="11" t="s">
        <v>366</v>
      </c>
      <c r="X2" s="9" t="s">
        <v>355</v>
      </c>
      <c r="Y2" s="9" t="s">
        <v>310</v>
      </c>
      <c r="Z2" s="41"/>
      <c r="AA2" s="41"/>
      <c r="AB2" s="43"/>
      <c r="AC2" s="43"/>
    </row>
    <row r="3" spans="2:30" ht="16.2">
      <c r="B3" t="s">
        <v>0</v>
      </c>
      <c r="D3" t="s">
        <v>1</v>
      </c>
      <c r="J3" s="9"/>
      <c r="K3" s="9" t="s">
        <v>356</v>
      </c>
      <c r="L3" s="9" t="s">
        <v>358</v>
      </c>
      <c r="M3" s="9" t="s">
        <v>358</v>
      </c>
      <c r="N3" s="9" t="s">
        <v>357</v>
      </c>
      <c r="O3" s="9" t="s">
        <v>357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30">
      <c r="B4" t="s">
        <v>2</v>
      </c>
      <c r="C4">
        <v>0</v>
      </c>
      <c r="D4">
        <v>1666.654</v>
      </c>
      <c r="E4">
        <f>ROUND(D4,2)</f>
        <v>1666.65</v>
      </c>
      <c r="F4">
        <f>ROUND(D4,2)</f>
        <v>1666.65</v>
      </c>
      <c r="J4" s="9"/>
      <c r="K4" s="10">
        <f>C4</f>
        <v>0</v>
      </c>
      <c r="L4" s="9">
        <f>ROUND(M4*1.3,2)</f>
        <v>0.9</v>
      </c>
      <c r="M4" s="9">
        <f>支渠!M4</f>
        <v>0.69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30">
      <c r="C5">
        <v>10</v>
      </c>
      <c r="D5">
        <v>1666.45</v>
      </c>
      <c r="E5">
        <f t="shared" ref="E5:E43" si="0">ROUND(D5,2)</f>
        <v>1666.45</v>
      </c>
      <c r="F5">
        <f>E5-0.7</f>
        <v>1665.75</v>
      </c>
      <c r="G5">
        <f>E5-F5</f>
        <v>0.70000000000004547</v>
      </c>
      <c r="H5">
        <v>5.0000000000000001E-3</v>
      </c>
      <c r="J5" s="9"/>
      <c r="K5" s="10">
        <f t="shared" ref="K5:K22" si="1">C5</f>
        <v>10</v>
      </c>
      <c r="L5" s="9">
        <f t="shared" ref="L5:L67" si="2">ROUND(M5*1.3,2)</f>
        <v>0.9</v>
      </c>
      <c r="M5" s="9">
        <f>M4</f>
        <v>0.69</v>
      </c>
      <c r="N5" s="9">
        <f>ROUND(L5/W5,2)</f>
        <v>1.96</v>
      </c>
      <c r="O5" s="9">
        <f>ROUND(M5/V5,2)</f>
        <v>1.73</v>
      </c>
      <c r="P5" s="9">
        <v>0.56000000000000005</v>
      </c>
      <c r="Q5" s="9">
        <f>0.42+0.05</f>
        <v>0.47</v>
      </c>
      <c r="R5" s="9">
        <v>1.4999999999999999E-2</v>
      </c>
      <c r="S5" s="9">
        <f>H5</f>
        <v>5.0000000000000001E-3</v>
      </c>
      <c r="T5" s="9" t="str">
        <f>"1/"&amp;ROUND(1/S5,0)</f>
        <v>1/200</v>
      </c>
      <c r="U5" s="9" t="s">
        <v>442</v>
      </c>
      <c r="V5" s="9">
        <v>0.4</v>
      </c>
      <c r="W5" s="9">
        <v>0.46</v>
      </c>
      <c r="X5" s="9">
        <f t="shared" ref="X5:X36" si="3">Y5-P5</f>
        <v>0.43999999999999995</v>
      </c>
      <c r="Y5" s="9">
        <v>1</v>
      </c>
      <c r="Z5" s="9">
        <f>E5</f>
        <v>1666.45</v>
      </c>
      <c r="AA5" s="9">
        <f>F5</f>
        <v>1665.75</v>
      </c>
      <c r="AB5" s="14">
        <f t="shared" ref="AB5:AB36" si="4">AA5+Q5</f>
        <v>1666.22</v>
      </c>
      <c r="AC5" s="9"/>
      <c r="AD5">
        <f>P5*1.25+0.2</f>
        <v>0.90000000000000013</v>
      </c>
    </row>
    <row r="6" spans="2:30">
      <c r="B6" t="s">
        <v>9</v>
      </c>
      <c r="C6">
        <v>100</v>
      </c>
      <c r="D6">
        <v>1665.8130000000001</v>
      </c>
      <c r="E6">
        <f t="shared" si="0"/>
        <v>1665.81</v>
      </c>
      <c r="F6">
        <f>ROUND(F5-(C6-C5)*H5,2)</f>
        <v>1665.3</v>
      </c>
      <c r="G6">
        <f t="shared" ref="G6:G43" si="5">E6-F6</f>
        <v>0.50999999999999091</v>
      </c>
      <c r="H6">
        <v>5.0000000000000001E-3</v>
      </c>
      <c r="J6" s="12" t="s">
        <v>484</v>
      </c>
      <c r="K6" s="10">
        <f t="shared" si="1"/>
        <v>100</v>
      </c>
      <c r="L6" s="9">
        <f t="shared" si="2"/>
        <v>0.9</v>
      </c>
      <c r="M6" s="9">
        <f t="shared" ref="M6:M21" si="6">M5</f>
        <v>0.69</v>
      </c>
      <c r="N6" s="9">
        <f t="shared" ref="N6:N22" si="7">ROUND(L6/W6,2)</f>
        <v>1.96</v>
      </c>
      <c r="O6" s="9">
        <f t="shared" ref="O6:O22" si="8">ROUND(M6/V6,2)</f>
        <v>1.73</v>
      </c>
      <c r="P6" s="9">
        <f>P5</f>
        <v>0.56000000000000005</v>
      </c>
      <c r="Q6" s="9">
        <f>Q5</f>
        <v>0.47</v>
      </c>
      <c r="R6" s="9">
        <v>1.4999999999999999E-2</v>
      </c>
      <c r="S6" s="9">
        <f t="shared" ref="S6:S22" si="9">H6</f>
        <v>5.0000000000000001E-3</v>
      </c>
      <c r="T6" s="9" t="str">
        <f t="shared" ref="T6:T22" si="10">"1/"&amp;ROUND(1/S6,0)</f>
        <v>1/200</v>
      </c>
      <c r="U6" s="9" t="s">
        <v>443</v>
      </c>
      <c r="V6" s="9">
        <f>V5</f>
        <v>0.4</v>
      </c>
      <c r="W6" s="9">
        <f>W5</f>
        <v>0.46</v>
      </c>
      <c r="X6" s="9">
        <f t="shared" si="3"/>
        <v>0.43999999999999995</v>
      </c>
      <c r="Y6" s="9">
        <v>1</v>
      </c>
      <c r="Z6" s="9">
        <f t="shared" ref="Z6:AA22" si="11">E6</f>
        <v>1665.81</v>
      </c>
      <c r="AA6" s="9">
        <f t="shared" si="11"/>
        <v>1665.3</v>
      </c>
      <c r="AB6" s="14">
        <f t="shared" si="4"/>
        <v>1665.77</v>
      </c>
      <c r="AC6" s="9"/>
    </row>
    <row r="7" spans="2:30">
      <c r="B7" t="s">
        <v>11</v>
      </c>
      <c r="C7">
        <v>200</v>
      </c>
      <c r="D7">
        <v>1665.6310000000001</v>
      </c>
      <c r="E7">
        <f t="shared" si="0"/>
        <v>1665.63</v>
      </c>
      <c r="F7">
        <f t="shared" ref="F7:F43" si="12">ROUND(F6-(C7-C6)*H6,2)</f>
        <v>1664.8</v>
      </c>
      <c r="G7">
        <f t="shared" si="5"/>
        <v>0.83000000000015461</v>
      </c>
      <c r="H7">
        <v>5.0000000000000001E-3</v>
      </c>
      <c r="J7" s="9"/>
      <c r="K7" s="10">
        <f t="shared" si="1"/>
        <v>200</v>
      </c>
      <c r="L7" s="9">
        <f t="shared" si="2"/>
        <v>0.9</v>
      </c>
      <c r="M7" s="9">
        <f t="shared" si="6"/>
        <v>0.69</v>
      </c>
      <c r="N7" s="9">
        <f t="shared" si="7"/>
        <v>1.96</v>
      </c>
      <c r="O7" s="9">
        <f t="shared" si="8"/>
        <v>1.73</v>
      </c>
      <c r="P7" s="9">
        <f t="shared" ref="P7:P22" si="13">P6</f>
        <v>0.56000000000000005</v>
      </c>
      <c r="Q7" s="9">
        <f t="shared" ref="Q7:Q22" si="14">Q6</f>
        <v>0.47</v>
      </c>
      <c r="R7" s="9">
        <v>1.4999999999999999E-2</v>
      </c>
      <c r="S7" s="9">
        <f t="shared" si="9"/>
        <v>5.0000000000000001E-3</v>
      </c>
      <c r="T7" s="9" t="str">
        <f t="shared" si="10"/>
        <v>1/200</v>
      </c>
      <c r="U7" s="9" t="s">
        <v>441</v>
      </c>
      <c r="V7" s="9">
        <f t="shared" ref="V7:V22" si="15">V6</f>
        <v>0.4</v>
      </c>
      <c r="W7" s="9">
        <f t="shared" ref="W7:W22" si="16">W6</f>
        <v>0.46</v>
      </c>
      <c r="X7" s="9">
        <f t="shared" si="3"/>
        <v>0.43999999999999995</v>
      </c>
      <c r="Y7" s="9">
        <v>1</v>
      </c>
      <c r="Z7" s="9">
        <f t="shared" si="11"/>
        <v>1665.63</v>
      </c>
      <c r="AA7" s="9">
        <f t="shared" si="11"/>
        <v>1664.8</v>
      </c>
      <c r="AB7" s="14">
        <f t="shared" si="4"/>
        <v>1665.27</v>
      </c>
      <c r="AC7" s="9"/>
    </row>
    <row r="8" spans="2:30">
      <c r="B8" t="s">
        <v>414</v>
      </c>
      <c r="C8">
        <v>300</v>
      </c>
      <c r="D8">
        <v>1665.145</v>
      </c>
      <c r="E8">
        <f t="shared" si="0"/>
        <v>1665.15</v>
      </c>
      <c r="F8">
        <f t="shared" si="12"/>
        <v>1664.3</v>
      </c>
      <c r="G8">
        <f t="shared" si="5"/>
        <v>0.85000000000013642</v>
      </c>
      <c r="H8">
        <v>5.0000000000000001E-3</v>
      </c>
      <c r="J8" s="9"/>
      <c r="K8" s="10">
        <f t="shared" si="1"/>
        <v>300</v>
      </c>
      <c r="L8" s="9">
        <f t="shared" si="2"/>
        <v>0.9</v>
      </c>
      <c r="M8" s="9">
        <f t="shared" si="6"/>
        <v>0.69</v>
      </c>
      <c r="N8" s="9">
        <f t="shared" si="7"/>
        <v>1.96</v>
      </c>
      <c r="O8" s="9">
        <f t="shared" si="8"/>
        <v>1.73</v>
      </c>
      <c r="P8" s="9">
        <f t="shared" si="13"/>
        <v>0.56000000000000005</v>
      </c>
      <c r="Q8" s="9">
        <f t="shared" si="14"/>
        <v>0.47</v>
      </c>
      <c r="R8" s="9">
        <v>1.4999999999999999E-2</v>
      </c>
      <c r="S8" s="9">
        <f t="shared" si="9"/>
        <v>5.0000000000000001E-3</v>
      </c>
      <c r="T8" s="9" t="str">
        <f t="shared" si="10"/>
        <v>1/200</v>
      </c>
      <c r="U8" s="9" t="s">
        <v>441</v>
      </c>
      <c r="V8" s="9">
        <f t="shared" si="15"/>
        <v>0.4</v>
      </c>
      <c r="W8" s="9">
        <f t="shared" si="16"/>
        <v>0.46</v>
      </c>
      <c r="X8" s="9">
        <f t="shared" si="3"/>
        <v>0.43999999999999995</v>
      </c>
      <c r="Y8" s="9">
        <v>1</v>
      </c>
      <c r="Z8" s="9">
        <f t="shared" si="11"/>
        <v>1665.15</v>
      </c>
      <c r="AA8" s="9">
        <f t="shared" si="11"/>
        <v>1664.3</v>
      </c>
      <c r="AB8" s="14">
        <f t="shared" si="4"/>
        <v>1664.77</v>
      </c>
      <c r="AC8" s="9"/>
    </row>
    <row r="9" spans="2:30">
      <c r="B9" t="s">
        <v>415</v>
      </c>
      <c r="C9">
        <v>400</v>
      </c>
      <c r="D9">
        <v>1664.741</v>
      </c>
      <c r="E9">
        <f t="shared" si="0"/>
        <v>1664.74</v>
      </c>
      <c r="F9">
        <f t="shared" si="12"/>
        <v>1663.8</v>
      </c>
      <c r="G9">
        <f t="shared" si="5"/>
        <v>0.94000000000005457</v>
      </c>
      <c r="H9">
        <v>5.0000000000000001E-3</v>
      </c>
      <c r="J9" s="9"/>
      <c r="K9" s="10">
        <f t="shared" si="1"/>
        <v>400</v>
      </c>
      <c r="L9" s="9">
        <f t="shared" si="2"/>
        <v>0.9</v>
      </c>
      <c r="M9" s="9">
        <f t="shared" si="6"/>
        <v>0.69</v>
      </c>
      <c r="N9" s="9">
        <f t="shared" si="7"/>
        <v>1.96</v>
      </c>
      <c r="O9" s="9">
        <f t="shared" si="8"/>
        <v>1.73</v>
      </c>
      <c r="P9" s="9">
        <f t="shared" si="13"/>
        <v>0.56000000000000005</v>
      </c>
      <c r="Q9" s="9">
        <f t="shared" si="14"/>
        <v>0.47</v>
      </c>
      <c r="R9" s="9">
        <v>1.4999999999999999E-2</v>
      </c>
      <c r="S9" s="9">
        <f t="shared" si="9"/>
        <v>5.0000000000000001E-3</v>
      </c>
      <c r="T9" s="9" t="str">
        <f t="shared" si="10"/>
        <v>1/200</v>
      </c>
      <c r="U9" s="9" t="s">
        <v>441</v>
      </c>
      <c r="V9" s="9">
        <f t="shared" si="15"/>
        <v>0.4</v>
      </c>
      <c r="W9" s="9">
        <f t="shared" si="16"/>
        <v>0.46</v>
      </c>
      <c r="X9" s="9">
        <f t="shared" si="3"/>
        <v>0.43999999999999995</v>
      </c>
      <c r="Y9" s="9">
        <v>1</v>
      </c>
      <c r="Z9" s="9">
        <f t="shared" si="11"/>
        <v>1664.74</v>
      </c>
      <c r="AA9" s="9">
        <f t="shared" si="11"/>
        <v>1663.8</v>
      </c>
      <c r="AB9" s="14">
        <f t="shared" si="4"/>
        <v>1664.27</v>
      </c>
      <c r="AC9" s="9"/>
    </row>
    <row r="10" spans="2:30">
      <c r="B10" t="s">
        <v>15</v>
      </c>
      <c r="C10">
        <v>500</v>
      </c>
      <c r="D10">
        <v>1663.836</v>
      </c>
      <c r="E10">
        <f t="shared" si="0"/>
        <v>1663.84</v>
      </c>
      <c r="F10">
        <f t="shared" si="12"/>
        <v>1663.3</v>
      </c>
      <c r="G10">
        <f t="shared" si="5"/>
        <v>0.53999999999996362</v>
      </c>
      <c r="H10">
        <v>5.0000000000000001E-3</v>
      </c>
      <c r="J10" s="9"/>
      <c r="K10" s="10">
        <f t="shared" si="1"/>
        <v>500</v>
      </c>
      <c r="L10" s="9">
        <f t="shared" si="2"/>
        <v>0.9</v>
      </c>
      <c r="M10" s="9">
        <f t="shared" si="6"/>
        <v>0.69</v>
      </c>
      <c r="N10" s="9">
        <f t="shared" si="7"/>
        <v>1.96</v>
      </c>
      <c r="O10" s="9">
        <f t="shared" si="8"/>
        <v>1.73</v>
      </c>
      <c r="P10" s="9">
        <f t="shared" si="13"/>
        <v>0.56000000000000005</v>
      </c>
      <c r="Q10" s="9">
        <f t="shared" si="14"/>
        <v>0.47</v>
      </c>
      <c r="R10" s="9">
        <v>1.4999999999999999E-2</v>
      </c>
      <c r="S10" s="9">
        <f t="shared" si="9"/>
        <v>5.0000000000000001E-3</v>
      </c>
      <c r="T10" s="9" t="str">
        <f t="shared" si="10"/>
        <v>1/200</v>
      </c>
      <c r="U10" s="9" t="s">
        <v>441</v>
      </c>
      <c r="V10" s="9">
        <f t="shared" si="15"/>
        <v>0.4</v>
      </c>
      <c r="W10" s="9">
        <f t="shared" si="16"/>
        <v>0.46</v>
      </c>
      <c r="X10" s="9">
        <f t="shared" si="3"/>
        <v>0.43999999999999995</v>
      </c>
      <c r="Y10" s="9">
        <v>1</v>
      </c>
      <c r="Z10" s="9">
        <f t="shared" si="11"/>
        <v>1663.84</v>
      </c>
      <c r="AA10" s="9">
        <f t="shared" si="11"/>
        <v>1663.3</v>
      </c>
      <c r="AB10" s="14">
        <f t="shared" si="4"/>
        <v>1663.77</v>
      </c>
      <c r="AC10" s="9"/>
    </row>
    <row r="11" spans="2:30">
      <c r="B11" t="s">
        <v>17</v>
      </c>
      <c r="C11">
        <v>600</v>
      </c>
      <c r="D11">
        <v>1663.0360000000001</v>
      </c>
      <c r="E11">
        <f t="shared" si="0"/>
        <v>1663.04</v>
      </c>
      <c r="F11">
        <f t="shared" si="12"/>
        <v>1662.8</v>
      </c>
      <c r="G11">
        <f t="shared" si="5"/>
        <v>0.24000000000000909</v>
      </c>
      <c r="H11">
        <v>5.0000000000000001E-3</v>
      </c>
      <c r="J11" s="9"/>
      <c r="K11" s="10">
        <f t="shared" si="1"/>
        <v>600</v>
      </c>
      <c r="L11" s="9">
        <f t="shared" si="2"/>
        <v>0.9</v>
      </c>
      <c r="M11" s="9">
        <f t="shared" si="6"/>
        <v>0.69</v>
      </c>
      <c r="N11" s="9">
        <f t="shared" si="7"/>
        <v>1.96</v>
      </c>
      <c r="O11" s="9">
        <f t="shared" si="8"/>
        <v>1.73</v>
      </c>
      <c r="P11" s="9">
        <f t="shared" si="13"/>
        <v>0.56000000000000005</v>
      </c>
      <c r="Q11" s="9">
        <f t="shared" si="14"/>
        <v>0.47</v>
      </c>
      <c r="R11" s="9">
        <v>1.4999999999999999E-2</v>
      </c>
      <c r="S11" s="9">
        <f t="shared" si="9"/>
        <v>5.0000000000000001E-3</v>
      </c>
      <c r="T11" s="9" t="str">
        <f t="shared" si="10"/>
        <v>1/200</v>
      </c>
      <c r="U11" s="9" t="s">
        <v>441</v>
      </c>
      <c r="V11" s="9">
        <f t="shared" si="15"/>
        <v>0.4</v>
      </c>
      <c r="W11" s="9">
        <f t="shared" si="16"/>
        <v>0.46</v>
      </c>
      <c r="X11" s="9">
        <f t="shared" si="3"/>
        <v>0.43999999999999995</v>
      </c>
      <c r="Y11" s="9">
        <v>1</v>
      </c>
      <c r="Z11" s="9">
        <f t="shared" si="11"/>
        <v>1663.04</v>
      </c>
      <c r="AA11" s="9">
        <f t="shared" si="11"/>
        <v>1662.8</v>
      </c>
      <c r="AB11" s="14">
        <f t="shared" si="4"/>
        <v>1663.27</v>
      </c>
      <c r="AC11" s="9"/>
    </row>
    <row r="12" spans="2:30">
      <c r="B12" t="s">
        <v>416</v>
      </c>
      <c r="C12">
        <v>700</v>
      </c>
      <c r="D12">
        <v>1662.367</v>
      </c>
      <c r="E12">
        <f t="shared" si="0"/>
        <v>1662.37</v>
      </c>
      <c r="F12">
        <f t="shared" si="12"/>
        <v>1662.3</v>
      </c>
      <c r="G12">
        <f t="shared" si="5"/>
        <v>6.9999999999936335E-2</v>
      </c>
      <c r="H12">
        <v>5.0000000000000001E-3</v>
      </c>
      <c r="J12" s="9"/>
      <c r="K12" s="10">
        <f t="shared" si="1"/>
        <v>700</v>
      </c>
      <c r="L12" s="9">
        <f t="shared" si="2"/>
        <v>0.9</v>
      </c>
      <c r="M12" s="9">
        <f t="shared" si="6"/>
        <v>0.69</v>
      </c>
      <c r="N12" s="9">
        <f t="shared" si="7"/>
        <v>1.96</v>
      </c>
      <c r="O12" s="9">
        <f t="shared" si="8"/>
        <v>1.73</v>
      </c>
      <c r="P12" s="9">
        <f t="shared" si="13"/>
        <v>0.56000000000000005</v>
      </c>
      <c r="Q12" s="9">
        <f t="shared" si="14"/>
        <v>0.47</v>
      </c>
      <c r="R12" s="9">
        <v>1.4999999999999999E-2</v>
      </c>
      <c r="S12" s="9">
        <f t="shared" si="9"/>
        <v>5.0000000000000001E-3</v>
      </c>
      <c r="T12" s="9" t="str">
        <f t="shared" si="10"/>
        <v>1/200</v>
      </c>
      <c r="U12" s="9" t="s">
        <v>441</v>
      </c>
      <c r="V12" s="9">
        <f t="shared" si="15"/>
        <v>0.4</v>
      </c>
      <c r="W12" s="9">
        <f t="shared" si="16"/>
        <v>0.46</v>
      </c>
      <c r="X12" s="9">
        <f t="shared" si="3"/>
        <v>0.43999999999999995</v>
      </c>
      <c r="Y12" s="9">
        <v>1</v>
      </c>
      <c r="Z12" s="9">
        <f t="shared" si="11"/>
        <v>1662.37</v>
      </c>
      <c r="AA12" s="9">
        <f t="shared" si="11"/>
        <v>1662.3</v>
      </c>
      <c r="AB12" s="14">
        <f t="shared" si="4"/>
        <v>1662.77</v>
      </c>
      <c r="AC12" s="9"/>
    </row>
    <row r="13" spans="2:30">
      <c r="B13" t="s">
        <v>21</v>
      </c>
      <c r="C13">
        <v>800</v>
      </c>
      <c r="D13">
        <v>1661.855</v>
      </c>
      <c r="E13">
        <f t="shared" si="0"/>
        <v>1661.86</v>
      </c>
      <c r="F13">
        <f t="shared" si="12"/>
        <v>1661.8</v>
      </c>
      <c r="G13">
        <f t="shared" si="5"/>
        <v>5.999999999994543E-2</v>
      </c>
      <c r="H13">
        <v>5.0000000000000001E-3</v>
      </c>
      <c r="J13" s="12" t="s">
        <v>485</v>
      </c>
      <c r="K13" s="10">
        <f t="shared" si="1"/>
        <v>800</v>
      </c>
      <c r="L13" s="9">
        <f t="shared" si="2"/>
        <v>0.9</v>
      </c>
      <c r="M13" s="9">
        <f t="shared" si="6"/>
        <v>0.69</v>
      </c>
      <c r="N13" s="9">
        <f t="shared" si="7"/>
        <v>1.96</v>
      </c>
      <c r="O13" s="9">
        <f t="shared" si="8"/>
        <v>1.73</v>
      </c>
      <c r="P13" s="9">
        <f t="shared" si="13"/>
        <v>0.56000000000000005</v>
      </c>
      <c r="Q13" s="9">
        <f t="shared" si="14"/>
        <v>0.47</v>
      </c>
      <c r="R13" s="9">
        <v>1.4999999999999999E-2</v>
      </c>
      <c r="S13" s="9">
        <f t="shared" si="9"/>
        <v>5.0000000000000001E-3</v>
      </c>
      <c r="T13" s="9" t="str">
        <f t="shared" si="10"/>
        <v>1/200</v>
      </c>
      <c r="U13" s="9" t="s">
        <v>441</v>
      </c>
      <c r="V13" s="9">
        <f t="shared" si="15"/>
        <v>0.4</v>
      </c>
      <c r="W13" s="9">
        <f t="shared" si="16"/>
        <v>0.46</v>
      </c>
      <c r="X13" s="9">
        <f t="shared" si="3"/>
        <v>0.43999999999999995</v>
      </c>
      <c r="Y13" s="9">
        <v>1</v>
      </c>
      <c r="Z13" s="9">
        <f t="shared" si="11"/>
        <v>1661.86</v>
      </c>
      <c r="AA13" s="9">
        <f t="shared" si="11"/>
        <v>1661.8</v>
      </c>
      <c r="AB13" s="14">
        <f t="shared" si="4"/>
        <v>1662.27</v>
      </c>
      <c r="AC13" s="12"/>
    </row>
    <row r="14" spans="2:30">
      <c r="B14" t="s">
        <v>417</v>
      </c>
      <c r="C14">
        <v>900</v>
      </c>
      <c r="D14">
        <v>1661.433</v>
      </c>
      <c r="E14">
        <f t="shared" si="0"/>
        <v>1661.43</v>
      </c>
      <c r="F14">
        <f t="shared" si="12"/>
        <v>1661.3</v>
      </c>
      <c r="G14">
        <f t="shared" si="5"/>
        <v>0.13000000000010914</v>
      </c>
      <c r="H14">
        <v>5.0000000000000001E-3</v>
      </c>
      <c r="J14" s="12"/>
      <c r="K14" s="10">
        <f t="shared" si="1"/>
        <v>900</v>
      </c>
      <c r="L14" s="9">
        <f t="shared" si="2"/>
        <v>0.9</v>
      </c>
      <c r="M14" s="9">
        <f t="shared" si="6"/>
        <v>0.69</v>
      </c>
      <c r="N14" s="9">
        <f t="shared" si="7"/>
        <v>1.96</v>
      </c>
      <c r="O14" s="9">
        <f t="shared" si="8"/>
        <v>1.73</v>
      </c>
      <c r="P14" s="9">
        <f t="shared" si="13"/>
        <v>0.56000000000000005</v>
      </c>
      <c r="Q14" s="9">
        <f t="shared" si="14"/>
        <v>0.47</v>
      </c>
      <c r="R14" s="9">
        <v>1.4999999999999999E-2</v>
      </c>
      <c r="S14" s="9">
        <f t="shared" si="9"/>
        <v>5.0000000000000001E-3</v>
      </c>
      <c r="T14" s="9" t="str">
        <f t="shared" si="10"/>
        <v>1/200</v>
      </c>
      <c r="U14" s="9" t="s">
        <v>441</v>
      </c>
      <c r="V14" s="9">
        <f t="shared" si="15"/>
        <v>0.4</v>
      </c>
      <c r="W14" s="9">
        <f t="shared" si="16"/>
        <v>0.46</v>
      </c>
      <c r="X14" s="9">
        <f t="shared" si="3"/>
        <v>0.43999999999999995</v>
      </c>
      <c r="Y14" s="9">
        <v>1</v>
      </c>
      <c r="Z14" s="9">
        <f t="shared" si="11"/>
        <v>1661.43</v>
      </c>
      <c r="AA14" s="9">
        <f t="shared" si="11"/>
        <v>1661.3</v>
      </c>
      <c r="AB14" s="14">
        <f t="shared" si="4"/>
        <v>1661.77</v>
      </c>
      <c r="AC14" s="12"/>
    </row>
    <row r="15" spans="2:30">
      <c r="B15" t="s">
        <v>26</v>
      </c>
      <c r="C15">
        <v>1000</v>
      </c>
      <c r="D15">
        <v>1661.1379999999999</v>
      </c>
      <c r="E15">
        <f t="shared" si="0"/>
        <v>1661.14</v>
      </c>
      <c r="F15">
        <f t="shared" si="12"/>
        <v>1660.8</v>
      </c>
      <c r="G15">
        <f t="shared" si="5"/>
        <v>0.34000000000014552</v>
      </c>
      <c r="H15">
        <v>5.0000000000000001E-3</v>
      </c>
      <c r="J15" s="12"/>
      <c r="K15" s="10">
        <f t="shared" si="1"/>
        <v>1000</v>
      </c>
      <c r="L15" s="9">
        <f t="shared" si="2"/>
        <v>0.9</v>
      </c>
      <c r="M15" s="9">
        <f t="shared" si="6"/>
        <v>0.69</v>
      </c>
      <c r="N15" s="9">
        <f t="shared" si="7"/>
        <v>1.96</v>
      </c>
      <c r="O15" s="9">
        <f t="shared" si="8"/>
        <v>1.73</v>
      </c>
      <c r="P15" s="9">
        <f t="shared" si="13"/>
        <v>0.56000000000000005</v>
      </c>
      <c r="Q15" s="9">
        <f t="shared" si="14"/>
        <v>0.47</v>
      </c>
      <c r="R15" s="9">
        <v>1.4999999999999999E-2</v>
      </c>
      <c r="S15" s="9">
        <f t="shared" si="9"/>
        <v>5.0000000000000001E-3</v>
      </c>
      <c r="T15" s="9" t="str">
        <f t="shared" si="10"/>
        <v>1/200</v>
      </c>
      <c r="U15" s="9" t="s">
        <v>441</v>
      </c>
      <c r="V15" s="9">
        <f t="shared" si="15"/>
        <v>0.4</v>
      </c>
      <c r="W15" s="9">
        <f t="shared" si="16"/>
        <v>0.46</v>
      </c>
      <c r="X15" s="9">
        <f t="shared" si="3"/>
        <v>0.43999999999999995</v>
      </c>
      <c r="Y15" s="9">
        <v>1</v>
      </c>
      <c r="Z15" s="9">
        <f t="shared" si="11"/>
        <v>1661.14</v>
      </c>
      <c r="AA15" s="9">
        <f t="shared" si="11"/>
        <v>1660.8</v>
      </c>
      <c r="AB15" s="14">
        <f t="shared" si="4"/>
        <v>1661.27</v>
      </c>
      <c r="AC15" s="12"/>
    </row>
    <row r="16" spans="2:30">
      <c r="B16" t="s">
        <v>28</v>
      </c>
      <c r="C16">
        <v>1100</v>
      </c>
      <c r="D16">
        <v>1660.605</v>
      </c>
      <c r="E16">
        <f t="shared" si="0"/>
        <v>1660.61</v>
      </c>
      <c r="F16">
        <f t="shared" si="12"/>
        <v>1660.3</v>
      </c>
      <c r="G16">
        <f t="shared" si="5"/>
        <v>0.30999999999994543</v>
      </c>
      <c r="H16">
        <v>5.0000000000000001E-3</v>
      </c>
      <c r="J16" s="12"/>
      <c r="K16" s="10">
        <f t="shared" si="1"/>
        <v>1100</v>
      </c>
      <c r="L16" s="9">
        <f t="shared" si="2"/>
        <v>0.9</v>
      </c>
      <c r="M16" s="9">
        <f t="shared" si="6"/>
        <v>0.69</v>
      </c>
      <c r="N16" s="9">
        <f t="shared" si="7"/>
        <v>1.96</v>
      </c>
      <c r="O16" s="9">
        <f t="shared" si="8"/>
        <v>1.73</v>
      </c>
      <c r="P16" s="9">
        <f t="shared" si="13"/>
        <v>0.56000000000000005</v>
      </c>
      <c r="Q16" s="9">
        <f t="shared" si="14"/>
        <v>0.47</v>
      </c>
      <c r="R16" s="9">
        <v>1.4999999999999999E-2</v>
      </c>
      <c r="S16" s="9">
        <f t="shared" si="9"/>
        <v>5.0000000000000001E-3</v>
      </c>
      <c r="T16" s="9" t="str">
        <f t="shared" si="10"/>
        <v>1/200</v>
      </c>
      <c r="U16" s="9" t="s">
        <v>441</v>
      </c>
      <c r="V16" s="9">
        <f t="shared" si="15"/>
        <v>0.4</v>
      </c>
      <c r="W16" s="9">
        <f t="shared" si="16"/>
        <v>0.46</v>
      </c>
      <c r="X16" s="9">
        <f t="shared" si="3"/>
        <v>0.43999999999999995</v>
      </c>
      <c r="Y16" s="9">
        <v>1</v>
      </c>
      <c r="Z16" s="9">
        <f t="shared" si="11"/>
        <v>1660.61</v>
      </c>
      <c r="AA16" s="9">
        <f t="shared" si="11"/>
        <v>1660.3</v>
      </c>
      <c r="AB16" s="14">
        <f t="shared" si="4"/>
        <v>1660.77</v>
      </c>
      <c r="AC16" s="12"/>
    </row>
    <row r="17" spans="2:29">
      <c r="B17" t="s">
        <v>418</v>
      </c>
      <c r="C17">
        <v>1200</v>
      </c>
      <c r="D17">
        <v>1660.1659999999999</v>
      </c>
      <c r="E17">
        <f t="shared" si="0"/>
        <v>1660.17</v>
      </c>
      <c r="F17">
        <f t="shared" si="12"/>
        <v>1659.8</v>
      </c>
      <c r="G17">
        <f t="shared" si="5"/>
        <v>0.37000000000011823</v>
      </c>
      <c r="H17">
        <v>5.0000000000000001E-3</v>
      </c>
      <c r="J17" s="12"/>
      <c r="K17" s="10">
        <f t="shared" si="1"/>
        <v>1200</v>
      </c>
      <c r="L17" s="9">
        <f t="shared" si="2"/>
        <v>0.9</v>
      </c>
      <c r="M17" s="9">
        <f t="shared" si="6"/>
        <v>0.69</v>
      </c>
      <c r="N17" s="9">
        <f t="shared" si="7"/>
        <v>1.96</v>
      </c>
      <c r="O17" s="9">
        <f t="shared" si="8"/>
        <v>1.73</v>
      </c>
      <c r="P17" s="9">
        <f t="shared" si="13"/>
        <v>0.56000000000000005</v>
      </c>
      <c r="Q17" s="9">
        <f t="shared" si="14"/>
        <v>0.47</v>
      </c>
      <c r="R17" s="9">
        <v>1.4999999999999999E-2</v>
      </c>
      <c r="S17" s="9">
        <f t="shared" si="9"/>
        <v>5.0000000000000001E-3</v>
      </c>
      <c r="T17" s="9" t="str">
        <f t="shared" si="10"/>
        <v>1/200</v>
      </c>
      <c r="U17" s="9" t="s">
        <v>441</v>
      </c>
      <c r="V17" s="9">
        <f t="shared" si="15"/>
        <v>0.4</v>
      </c>
      <c r="W17" s="9">
        <f t="shared" si="16"/>
        <v>0.46</v>
      </c>
      <c r="X17" s="9">
        <f t="shared" si="3"/>
        <v>0.43999999999999995</v>
      </c>
      <c r="Y17" s="9">
        <v>1</v>
      </c>
      <c r="Z17" s="9">
        <f t="shared" si="11"/>
        <v>1660.17</v>
      </c>
      <c r="AA17" s="9">
        <f t="shared" si="11"/>
        <v>1659.8</v>
      </c>
      <c r="AB17" s="14">
        <f t="shared" si="4"/>
        <v>1660.27</v>
      </c>
      <c r="AC17" s="12"/>
    </row>
    <row r="18" spans="2:29">
      <c r="B18" t="s">
        <v>419</v>
      </c>
      <c r="C18">
        <v>1300</v>
      </c>
      <c r="D18">
        <v>1659.643</v>
      </c>
      <c r="E18">
        <f t="shared" si="0"/>
        <v>1659.64</v>
      </c>
      <c r="F18">
        <f t="shared" si="12"/>
        <v>1659.3</v>
      </c>
      <c r="G18">
        <f t="shared" si="5"/>
        <v>0.34000000000014552</v>
      </c>
      <c r="H18">
        <v>5.0000000000000001E-3</v>
      </c>
      <c r="J18" s="12"/>
      <c r="K18" s="10">
        <f t="shared" si="1"/>
        <v>1300</v>
      </c>
      <c r="L18" s="9">
        <f t="shared" si="2"/>
        <v>0.9</v>
      </c>
      <c r="M18" s="9">
        <f t="shared" si="6"/>
        <v>0.69</v>
      </c>
      <c r="N18" s="9">
        <f t="shared" si="7"/>
        <v>1.96</v>
      </c>
      <c r="O18" s="9">
        <f t="shared" si="8"/>
        <v>1.73</v>
      </c>
      <c r="P18" s="9">
        <f t="shared" si="13"/>
        <v>0.56000000000000005</v>
      </c>
      <c r="Q18" s="9">
        <f t="shared" si="14"/>
        <v>0.47</v>
      </c>
      <c r="R18" s="9">
        <v>1.4999999999999999E-2</v>
      </c>
      <c r="S18" s="9">
        <f t="shared" si="9"/>
        <v>5.0000000000000001E-3</v>
      </c>
      <c r="T18" s="9" t="str">
        <f t="shared" si="10"/>
        <v>1/200</v>
      </c>
      <c r="U18" s="9" t="s">
        <v>441</v>
      </c>
      <c r="V18" s="9">
        <f t="shared" si="15"/>
        <v>0.4</v>
      </c>
      <c r="W18" s="9">
        <f t="shared" si="16"/>
        <v>0.46</v>
      </c>
      <c r="X18" s="9">
        <f t="shared" si="3"/>
        <v>0.43999999999999995</v>
      </c>
      <c r="Y18" s="9">
        <v>1</v>
      </c>
      <c r="Z18" s="9">
        <f t="shared" si="11"/>
        <v>1659.64</v>
      </c>
      <c r="AA18" s="9">
        <f t="shared" si="11"/>
        <v>1659.3</v>
      </c>
      <c r="AB18" s="14">
        <f t="shared" si="4"/>
        <v>1659.77</v>
      </c>
      <c r="AC18" s="12"/>
    </row>
    <row r="19" spans="2:29">
      <c r="B19" t="s">
        <v>420</v>
      </c>
      <c r="C19">
        <v>1400</v>
      </c>
      <c r="D19">
        <v>1659.098</v>
      </c>
      <c r="E19">
        <f t="shared" si="0"/>
        <v>1659.1</v>
      </c>
      <c r="F19">
        <f t="shared" si="12"/>
        <v>1658.8</v>
      </c>
      <c r="G19">
        <f t="shared" si="5"/>
        <v>0.29999999999995453</v>
      </c>
      <c r="H19">
        <v>5.0000000000000001E-3</v>
      </c>
      <c r="J19" s="12"/>
      <c r="K19" s="10">
        <f t="shared" si="1"/>
        <v>1400</v>
      </c>
      <c r="L19" s="9">
        <f t="shared" si="2"/>
        <v>0.9</v>
      </c>
      <c r="M19" s="9">
        <f t="shared" si="6"/>
        <v>0.69</v>
      </c>
      <c r="N19" s="9">
        <f t="shared" si="7"/>
        <v>1.96</v>
      </c>
      <c r="O19" s="9">
        <f t="shared" si="8"/>
        <v>1.73</v>
      </c>
      <c r="P19" s="9">
        <f t="shared" si="13"/>
        <v>0.56000000000000005</v>
      </c>
      <c r="Q19" s="9">
        <f t="shared" si="14"/>
        <v>0.47</v>
      </c>
      <c r="R19" s="9">
        <v>1.4999999999999999E-2</v>
      </c>
      <c r="S19" s="9">
        <f t="shared" si="9"/>
        <v>5.0000000000000001E-3</v>
      </c>
      <c r="T19" s="9" t="str">
        <f t="shared" si="10"/>
        <v>1/200</v>
      </c>
      <c r="U19" s="9" t="s">
        <v>441</v>
      </c>
      <c r="V19" s="9">
        <f t="shared" si="15"/>
        <v>0.4</v>
      </c>
      <c r="W19" s="9">
        <f t="shared" si="16"/>
        <v>0.46</v>
      </c>
      <c r="X19" s="9">
        <f t="shared" si="3"/>
        <v>0.43999999999999995</v>
      </c>
      <c r="Y19" s="9">
        <v>1</v>
      </c>
      <c r="Z19" s="9">
        <f t="shared" si="11"/>
        <v>1659.1</v>
      </c>
      <c r="AA19" s="9">
        <f t="shared" si="11"/>
        <v>1658.8</v>
      </c>
      <c r="AB19" s="14">
        <f t="shared" si="4"/>
        <v>1659.27</v>
      </c>
      <c r="AC19" s="12"/>
    </row>
    <row r="20" spans="2:29">
      <c r="B20" t="s">
        <v>33</v>
      </c>
      <c r="C20">
        <v>1500</v>
      </c>
      <c r="D20">
        <v>1658.88</v>
      </c>
      <c r="E20">
        <f t="shared" si="0"/>
        <v>1658.88</v>
      </c>
      <c r="F20">
        <f t="shared" si="12"/>
        <v>1658.3</v>
      </c>
      <c r="G20">
        <f t="shared" si="5"/>
        <v>0.58000000000015461</v>
      </c>
      <c r="H20">
        <v>5.0000000000000001E-3</v>
      </c>
      <c r="J20" s="12"/>
      <c r="K20" s="10">
        <f t="shared" si="1"/>
        <v>1500</v>
      </c>
      <c r="L20" s="9">
        <f t="shared" si="2"/>
        <v>0.9</v>
      </c>
      <c r="M20" s="9">
        <f t="shared" si="6"/>
        <v>0.69</v>
      </c>
      <c r="N20" s="9">
        <f t="shared" si="7"/>
        <v>1.96</v>
      </c>
      <c r="O20" s="9">
        <f t="shared" si="8"/>
        <v>1.73</v>
      </c>
      <c r="P20" s="9">
        <f t="shared" si="13"/>
        <v>0.56000000000000005</v>
      </c>
      <c r="Q20" s="9">
        <f t="shared" si="14"/>
        <v>0.47</v>
      </c>
      <c r="R20" s="9">
        <v>1.4999999999999999E-2</v>
      </c>
      <c r="S20" s="9">
        <f t="shared" si="9"/>
        <v>5.0000000000000001E-3</v>
      </c>
      <c r="T20" s="9" t="str">
        <f t="shared" si="10"/>
        <v>1/200</v>
      </c>
      <c r="U20" s="9" t="s">
        <v>441</v>
      </c>
      <c r="V20" s="9">
        <f t="shared" si="15"/>
        <v>0.4</v>
      </c>
      <c r="W20" s="9">
        <f t="shared" si="16"/>
        <v>0.46</v>
      </c>
      <c r="X20" s="9">
        <f t="shared" si="3"/>
        <v>0.43999999999999995</v>
      </c>
      <c r="Y20" s="9">
        <v>1</v>
      </c>
      <c r="Z20" s="9">
        <f t="shared" si="11"/>
        <v>1658.88</v>
      </c>
      <c r="AA20" s="9">
        <f t="shared" si="11"/>
        <v>1658.3</v>
      </c>
      <c r="AB20" s="14">
        <f t="shared" si="4"/>
        <v>1658.77</v>
      </c>
      <c r="AC20" s="12"/>
    </row>
    <row r="21" spans="2:29">
      <c r="B21" t="s">
        <v>35</v>
      </c>
      <c r="C21">
        <v>1600</v>
      </c>
      <c r="D21">
        <v>1658.326</v>
      </c>
      <c r="E21">
        <f t="shared" si="0"/>
        <v>1658.33</v>
      </c>
      <c r="F21">
        <f t="shared" si="12"/>
        <v>1657.8</v>
      </c>
      <c r="G21">
        <f t="shared" si="5"/>
        <v>0.52999999999997272</v>
      </c>
      <c r="H21">
        <v>5.0000000000000001E-3</v>
      </c>
      <c r="J21" s="12"/>
      <c r="K21" s="10">
        <f t="shared" si="1"/>
        <v>1600</v>
      </c>
      <c r="L21" s="9">
        <f t="shared" si="2"/>
        <v>0.9</v>
      </c>
      <c r="M21" s="9">
        <f t="shared" si="6"/>
        <v>0.69</v>
      </c>
      <c r="N21" s="9">
        <f t="shared" si="7"/>
        <v>1.96</v>
      </c>
      <c r="O21" s="9">
        <f t="shared" si="8"/>
        <v>1.73</v>
      </c>
      <c r="P21" s="9">
        <f t="shared" si="13"/>
        <v>0.56000000000000005</v>
      </c>
      <c r="Q21" s="9">
        <f t="shared" si="14"/>
        <v>0.47</v>
      </c>
      <c r="R21" s="9">
        <v>1.4999999999999999E-2</v>
      </c>
      <c r="S21" s="9">
        <f t="shared" si="9"/>
        <v>5.0000000000000001E-3</v>
      </c>
      <c r="T21" s="9" t="str">
        <f t="shared" si="10"/>
        <v>1/200</v>
      </c>
      <c r="U21" s="9" t="s">
        <v>441</v>
      </c>
      <c r="V21" s="9">
        <f t="shared" si="15"/>
        <v>0.4</v>
      </c>
      <c r="W21" s="9">
        <f t="shared" si="16"/>
        <v>0.46</v>
      </c>
      <c r="X21" s="9">
        <f t="shared" si="3"/>
        <v>0.43999999999999995</v>
      </c>
      <c r="Y21" s="9">
        <v>1</v>
      </c>
      <c r="Z21" s="9">
        <f t="shared" si="11"/>
        <v>1658.33</v>
      </c>
      <c r="AA21" s="9">
        <f t="shared" si="11"/>
        <v>1657.8</v>
      </c>
      <c r="AB21" s="14">
        <f t="shared" si="4"/>
        <v>1658.27</v>
      </c>
      <c r="AC21" s="12"/>
    </row>
    <row r="22" spans="2:29">
      <c r="B22" t="s">
        <v>39</v>
      </c>
      <c r="C22">
        <v>1700</v>
      </c>
      <c r="D22">
        <v>1657.8030000000001</v>
      </c>
      <c r="E22">
        <f t="shared" si="0"/>
        <v>1657.8</v>
      </c>
      <c r="F22">
        <f t="shared" si="12"/>
        <v>1657.3</v>
      </c>
      <c r="G22">
        <f t="shared" si="5"/>
        <v>0.5</v>
      </c>
      <c r="H22">
        <v>5.0000000000000001E-3</v>
      </c>
      <c r="J22" s="12" t="s">
        <v>486</v>
      </c>
      <c r="K22" s="10">
        <f t="shared" si="1"/>
        <v>1700</v>
      </c>
      <c r="L22" s="9">
        <f t="shared" si="2"/>
        <v>0.9</v>
      </c>
      <c r="M22" s="9">
        <f t="shared" ref="M22" si="17">M21</f>
        <v>0.69</v>
      </c>
      <c r="N22" s="9">
        <f t="shared" si="7"/>
        <v>1.96</v>
      </c>
      <c r="O22" s="9">
        <f t="shared" si="8"/>
        <v>1.73</v>
      </c>
      <c r="P22" s="9">
        <f t="shared" si="13"/>
        <v>0.56000000000000005</v>
      </c>
      <c r="Q22" s="9">
        <f t="shared" si="14"/>
        <v>0.47</v>
      </c>
      <c r="R22" s="9">
        <v>1.4999999999999999E-2</v>
      </c>
      <c r="S22" s="9">
        <f t="shared" si="9"/>
        <v>5.0000000000000001E-3</v>
      </c>
      <c r="T22" s="9" t="str">
        <f t="shared" si="10"/>
        <v>1/200</v>
      </c>
      <c r="U22" s="9" t="s">
        <v>441</v>
      </c>
      <c r="V22" s="9">
        <f t="shared" si="15"/>
        <v>0.4</v>
      </c>
      <c r="W22" s="9">
        <f t="shared" si="16"/>
        <v>0.46</v>
      </c>
      <c r="X22" s="9">
        <f t="shared" si="3"/>
        <v>0.43999999999999995</v>
      </c>
      <c r="Y22" s="9">
        <v>1</v>
      </c>
      <c r="Z22" s="9">
        <f t="shared" si="11"/>
        <v>1657.8</v>
      </c>
      <c r="AA22" s="9">
        <f t="shared" si="11"/>
        <v>1657.3</v>
      </c>
      <c r="AB22" s="14">
        <f t="shared" si="4"/>
        <v>1657.77</v>
      </c>
      <c r="AC22" s="12"/>
    </row>
    <row r="23" spans="2:29">
      <c r="B23" t="s">
        <v>40</v>
      </c>
      <c r="C23">
        <v>1800</v>
      </c>
      <c r="D23">
        <v>1657.413</v>
      </c>
      <c r="E23">
        <f t="shared" si="0"/>
        <v>1657.41</v>
      </c>
      <c r="F23">
        <f t="shared" si="12"/>
        <v>1656.8</v>
      </c>
      <c r="G23">
        <f t="shared" si="5"/>
        <v>0.61000000000012733</v>
      </c>
      <c r="H23">
        <v>3.0000000000000001E-3</v>
      </c>
      <c r="J23" s="12"/>
      <c r="K23" s="10">
        <f t="shared" ref="K23:K65" si="18">C23</f>
        <v>1800</v>
      </c>
      <c r="L23" s="9">
        <f t="shared" si="2"/>
        <v>0.9</v>
      </c>
      <c r="M23" s="9">
        <f t="shared" ref="M23" si="19">M22</f>
        <v>0.69</v>
      </c>
      <c r="N23" s="9">
        <f t="shared" ref="N23:N65" si="20">ROUND(L23/W23,2)</f>
        <v>1.64</v>
      </c>
      <c r="O23" s="9">
        <f t="shared" ref="O23:O65" si="21">ROUND(M23/V23,2)</f>
        <v>1.5</v>
      </c>
      <c r="P23" s="9">
        <v>0.65</v>
      </c>
      <c r="Q23" s="9">
        <v>0.56000000000000005</v>
      </c>
      <c r="R23" s="9">
        <v>1.4999999999999999E-2</v>
      </c>
      <c r="S23" s="9">
        <f t="shared" ref="S23:S65" si="22">H23</f>
        <v>3.0000000000000001E-3</v>
      </c>
      <c r="T23" s="9" t="str">
        <f t="shared" ref="T23:T65" si="23">"1/"&amp;ROUND(1/S23,0)</f>
        <v>1/333</v>
      </c>
      <c r="U23" s="9" t="s">
        <v>441</v>
      </c>
      <c r="V23" s="9">
        <v>0.46</v>
      </c>
      <c r="W23" s="9">
        <v>0.55000000000000004</v>
      </c>
      <c r="X23" s="9">
        <f t="shared" si="3"/>
        <v>0.35</v>
      </c>
      <c r="Y23" s="9">
        <v>1</v>
      </c>
      <c r="Z23" s="9">
        <f t="shared" ref="Z23:Z65" si="24">E23</f>
        <v>1657.41</v>
      </c>
      <c r="AA23" s="9">
        <f t="shared" ref="AA23:AA65" si="25">F23</f>
        <v>1656.8</v>
      </c>
      <c r="AB23" s="14">
        <f t="shared" si="4"/>
        <v>1657.36</v>
      </c>
      <c r="AC23" s="12"/>
    </row>
    <row r="24" spans="2:29">
      <c r="B24" t="s">
        <v>42</v>
      </c>
      <c r="C24">
        <v>1900</v>
      </c>
      <c r="D24">
        <v>1656.8109999999999</v>
      </c>
      <c r="E24">
        <f t="shared" si="0"/>
        <v>1656.81</v>
      </c>
      <c r="F24">
        <f t="shared" si="12"/>
        <v>1656.5</v>
      </c>
      <c r="G24">
        <f t="shared" si="5"/>
        <v>0.30999999999994543</v>
      </c>
      <c r="H24">
        <v>3.0000000000000001E-3</v>
      </c>
      <c r="J24" s="12"/>
      <c r="K24" s="10">
        <f t="shared" si="18"/>
        <v>1900</v>
      </c>
      <c r="L24" s="9">
        <f t="shared" si="2"/>
        <v>0.9</v>
      </c>
      <c r="M24" s="9">
        <f t="shared" ref="M24" si="26">M23</f>
        <v>0.69</v>
      </c>
      <c r="N24" s="9">
        <f t="shared" si="20"/>
        <v>1.64</v>
      </c>
      <c r="O24" s="9">
        <f t="shared" si="21"/>
        <v>1.5</v>
      </c>
      <c r="P24" s="9">
        <f>P23</f>
        <v>0.65</v>
      </c>
      <c r="Q24" s="9">
        <f>Q23</f>
        <v>0.56000000000000005</v>
      </c>
      <c r="R24" s="9">
        <v>1.4999999999999999E-2</v>
      </c>
      <c r="S24" s="9">
        <f t="shared" si="22"/>
        <v>3.0000000000000001E-3</v>
      </c>
      <c r="T24" s="9" t="str">
        <f t="shared" si="23"/>
        <v>1/333</v>
      </c>
      <c r="U24" s="9" t="s">
        <v>441</v>
      </c>
      <c r="V24" s="9">
        <f>V23</f>
        <v>0.46</v>
      </c>
      <c r="W24" s="9">
        <f>W23</f>
        <v>0.55000000000000004</v>
      </c>
      <c r="X24" s="9">
        <f t="shared" si="3"/>
        <v>0.35</v>
      </c>
      <c r="Y24" s="9">
        <v>1</v>
      </c>
      <c r="Z24" s="9">
        <f t="shared" si="24"/>
        <v>1656.81</v>
      </c>
      <c r="AA24" s="9">
        <f t="shared" si="25"/>
        <v>1656.5</v>
      </c>
      <c r="AB24" s="14">
        <f t="shared" si="4"/>
        <v>1657.06</v>
      </c>
      <c r="AC24" s="12"/>
    </row>
    <row r="25" spans="2:29">
      <c r="B25" t="s">
        <v>44</v>
      </c>
      <c r="C25">
        <v>2000</v>
      </c>
      <c r="D25">
        <v>1656.318</v>
      </c>
      <c r="E25">
        <f t="shared" si="0"/>
        <v>1656.32</v>
      </c>
      <c r="F25">
        <f t="shared" si="12"/>
        <v>1656.2</v>
      </c>
      <c r="G25">
        <f t="shared" si="5"/>
        <v>0.11999999999989086</v>
      </c>
      <c r="H25">
        <v>3.0000000000000001E-3</v>
      </c>
      <c r="J25" s="12"/>
      <c r="K25" s="10">
        <f t="shared" si="18"/>
        <v>2000</v>
      </c>
      <c r="L25" s="9">
        <f t="shared" si="2"/>
        <v>0.9</v>
      </c>
      <c r="M25" s="9">
        <f t="shared" ref="M25" si="27">M24</f>
        <v>0.69</v>
      </c>
      <c r="N25" s="9">
        <f t="shared" si="20"/>
        <v>1.64</v>
      </c>
      <c r="O25" s="9">
        <f t="shared" si="21"/>
        <v>1.5</v>
      </c>
      <c r="P25" s="9">
        <f t="shared" ref="P25:P36" si="28">P24</f>
        <v>0.65</v>
      </c>
      <c r="Q25" s="9">
        <f t="shared" ref="Q25:Q36" si="29">Q24</f>
        <v>0.56000000000000005</v>
      </c>
      <c r="R25" s="9">
        <v>1.4999999999999999E-2</v>
      </c>
      <c r="S25" s="9">
        <f t="shared" si="22"/>
        <v>3.0000000000000001E-3</v>
      </c>
      <c r="T25" s="9" t="str">
        <f t="shared" si="23"/>
        <v>1/333</v>
      </c>
      <c r="U25" s="9" t="s">
        <v>441</v>
      </c>
      <c r="V25" s="9">
        <f t="shared" ref="V25:V77" si="30">V24</f>
        <v>0.46</v>
      </c>
      <c r="W25" s="9">
        <f t="shared" ref="W25:W77" si="31">W24</f>
        <v>0.55000000000000004</v>
      </c>
      <c r="X25" s="9">
        <f t="shared" si="3"/>
        <v>0.35</v>
      </c>
      <c r="Y25" s="9">
        <v>1</v>
      </c>
      <c r="Z25" s="9">
        <f t="shared" si="24"/>
        <v>1656.32</v>
      </c>
      <c r="AA25" s="9">
        <f t="shared" si="25"/>
        <v>1656.2</v>
      </c>
      <c r="AB25" s="14">
        <f t="shared" si="4"/>
        <v>1656.76</v>
      </c>
      <c r="AC25" s="12"/>
    </row>
    <row r="26" spans="2:29">
      <c r="B26" t="s">
        <v>46</v>
      </c>
      <c r="C26">
        <v>2100</v>
      </c>
      <c r="D26">
        <v>1656.0160000000001</v>
      </c>
      <c r="E26">
        <f t="shared" si="0"/>
        <v>1656.02</v>
      </c>
      <c r="F26">
        <f t="shared" si="12"/>
        <v>1655.9</v>
      </c>
      <c r="G26">
        <f t="shared" si="5"/>
        <v>0.11999999999989086</v>
      </c>
      <c r="H26">
        <v>3.0000000000000001E-3</v>
      </c>
      <c r="J26" s="12"/>
      <c r="K26" s="10">
        <f t="shared" si="18"/>
        <v>2100</v>
      </c>
      <c r="L26" s="9">
        <f t="shared" si="2"/>
        <v>0.9</v>
      </c>
      <c r="M26" s="9">
        <f t="shared" ref="M26" si="32">M25</f>
        <v>0.69</v>
      </c>
      <c r="N26" s="9">
        <f t="shared" si="20"/>
        <v>1.64</v>
      </c>
      <c r="O26" s="9">
        <f t="shared" si="21"/>
        <v>1.5</v>
      </c>
      <c r="P26" s="9">
        <f t="shared" si="28"/>
        <v>0.65</v>
      </c>
      <c r="Q26" s="9">
        <f t="shared" si="29"/>
        <v>0.56000000000000005</v>
      </c>
      <c r="R26" s="9">
        <v>1.4999999999999999E-2</v>
      </c>
      <c r="S26" s="9">
        <f t="shared" si="22"/>
        <v>3.0000000000000001E-3</v>
      </c>
      <c r="T26" s="9" t="str">
        <f t="shared" si="23"/>
        <v>1/333</v>
      </c>
      <c r="U26" s="9" t="s">
        <v>441</v>
      </c>
      <c r="V26" s="9">
        <f t="shared" si="30"/>
        <v>0.46</v>
      </c>
      <c r="W26" s="9">
        <f t="shared" si="31"/>
        <v>0.55000000000000004</v>
      </c>
      <c r="X26" s="9">
        <f t="shared" si="3"/>
        <v>0.35</v>
      </c>
      <c r="Y26" s="9">
        <v>1</v>
      </c>
      <c r="Z26" s="9">
        <f t="shared" si="24"/>
        <v>1656.02</v>
      </c>
      <c r="AA26" s="9">
        <f t="shared" si="25"/>
        <v>1655.9</v>
      </c>
      <c r="AB26" s="14">
        <f t="shared" si="4"/>
        <v>1656.46</v>
      </c>
      <c r="AC26" s="12"/>
    </row>
    <row r="27" spans="2:29">
      <c r="B27" t="s">
        <v>49</v>
      </c>
      <c r="C27">
        <v>2200</v>
      </c>
      <c r="D27">
        <v>1656.0920000000001</v>
      </c>
      <c r="E27">
        <f t="shared" si="0"/>
        <v>1656.09</v>
      </c>
      <c r="F27">
        <f t="shared" si="12"/>
        <v>1655.6</v>
      </c>
      <c r="G27">
        <f t="shared" si="5"/>
        <v>0.49000000000000909</v>
      </c>
      <c r="H27">
        <v>3.0000000000000001E-3</v>
      </c>
      <c r="J27" s="12"/>
      <c r="K27" s="10">
        <f t="shared" si="18"/>
        <v>2200</v>
      </c>
      <c r="L27" s="9">
        <f t="shared" si="2"/>
        <v>0.9</v>
      </c>
      <c r="M27" s="9">
        <f t="shared" ref="M27" si="33">M26</f>
        <v>0.69</v>
      </c>
      <c r="N27" s="9">
        <f t="shared" si="20"/>
        <v>1.64</v>
      </c>
      <c r="O27" s="9">
        <f t="shared" si="21"/>
        <v>1.5</v>
      </c>
      <c r="P27" s="9">
        <f t="shared" si="28"/>
        <v>0.65</v>
      </c>
      <c r="Q27" s="9">
        <f t="shared" si="29"/>
        <v>0.56000000000000005</v>
      </c>
      <c r="R27" s="9">
        <v>1.4999999999999999E-2</v>
      </c>
      <c r="S27" s="9">
        <f t="shared" si="22"/>
        <v>3.0000000000000001E-3</v>
      </c>
      <c r="T27" s="9" t="str">
        <f t="shared" si="23"/>
        <v>1/333</v>
      </c>
      <c r="U27" s="9" t="s">
        <v>441</v>
      </c>
      <c r="V27" s="9">
        <f t="shared" si="30"/>
        <v>0.46</v>
      </c>
      <c r="W27" s="9">
        <f t="shared" si="31"/>
        <v>0.55000000000000004</v>
      </c>
      <c r="X27" s="9">
        <f t="shared" si="3"/>
        <v>0.35</v>
      </c>
      <c r="Y27" s="9">
        <v>1</v>
      </c>
      <c r="Z27" s="9">
        <f t="shared" si="24"/>
        <v>1656.09</v>
      </c>
      <c r="AA27" s="9">
        <f t="shared" si="25"/>
        <v>1655.6</v>
      </c>
      <c r="AB27" s="14">
        <f t="shared" si="4"/>
        <v>1656.1599999999999</v>
      </c>
      <c r="AC27" s="12"/>
    </row>
    <row r="28" spans="2:29">
      <c r="B28" t="s">
        <v>51</v>
      </c>
      <c r="C28">
        <v>2300</v>
      </c>
      <c r="D28">
        <v>1655.6369999999999</v>
      </c>
      <c r="E28">
        <f t="shared" si="0"/>
        <v>1655.64</v>
      </c>
      <c r="F28">
        <f t="shared" si="12"/>
        <v>1655.3</v>
      </c>
      <c r="G28">
        <f t="shared" si="5"/>
        <v>0.34000000000014552</v>
      </c>
      <c r="H28">
        <v>3.0000000000000001E-3</v>
      </c>
      <c r="J28" s="12"/>
      <c r="K28" s="10">
        <f t="shared" si="18"/>
        <v>2300</v>
      </c>
      <c r="L28" s="9">
        <f t="shared" si="2"/>
        <v>0.9</v>
      </c>
      <c r="M28" s="9">
        <f t="shared" ref="M28" si="34">M27</f>
        <v>0.69</v>
      </c>
      <c r="N28" s="9">
        <f t="shared" si="20"/>
        <v>1.64</v>
      </c>
      <c r="O28" s="9">
        <f t="shared" si="21"/>
        <v>1.5</v>
      </c>
      <c r="P28" s="9">
        <f t="shared" si="28"/>
        <v>0.65</v>
      </c>
      <c r="Q28" s="9">
        <f t="shared" si="29"/>
        <v>0.56000000000000005</v>
      </c>
      <c r="R28" s="9">
        <v>1.4999999999999999E-2</v>
      </c>
      <c r="S28" s="9">
        <f t="shared" si="22"/>
        <v>3.0000000000000001E-3</v>
      </c>
      <c r="T28" s="9" t="str">
        <f t="shared" si="23"/>
        <v>1/333</v>
      </c>
      <c r="U28" s="9" t="s">
        <v>441</v>
      </c>
      <c r="V28" s="9">
        <f t="shared" si="30"/>
        <v>0.46</v>
      </c>
      <c r="W28" s="9">
        <f t="shared" si="31"/>
        <v>0.55000000000000004</v>
      </c>
      <c r="X28" s="9">
        <f t="shared" si="3"/>
        <v>0.35</v>
      </c>
      <c r="Y28" s="9">
        <v>1</v>
      </c>
      <c r="Z28" s="9">
        <f t="shared" si="24"/>
        <v>1655.64</v>
      </c>
      <c r="AA28" s="9">
        <f t="shared" si="25"/>
        <v>1655.3</v>
      </c>
      <c r="AB28" s="14">
        <f t="shared" si="4"/>
        <v>1655.86</v>
      </c>
      <c r="AC28" s="12"/>
    </row>
    <row r="29" spans="2:29">
      <c r="B29" t="s">
        <v>57</v>
      </c>
      <c r="C29">
        <v>2400</v>
      </c>
      <c r="D29">
        <v>1655.2349999999999</v>
      </c>
      <c r="E29">
        <f t="shared" si="0"/>
        <v>1655.24</v>
      </c>
      <c r="F29">
        <f t="shared" si="12"/>
        <v>1655</v>
      </c>
      <c r="G29">
        <f t="shared" si="5"/>
        <v>0.24000000000000909</v>
      </c>
      <c r="H29">
        <v>3.0000000000000001E-3</v>
      </c>
      <c r="J29" s="12"/>
      <c r="K29" s="10">
        <f t="shared" si="18"/>
        <v>2400</v>
      </c>
      <c r="L29" s="9">
        <f t="shared" si="2"/>
        <v>0.9</v>
      </c>
      <c r="M29" s="9">
        <f t="shared" ref="M29" si="35">M28</f>
        <v>0.69</v>
      </c>
      <c r="N29" s="9">
        <f t="shared" si="20"/>
        <v>1.64</v>
      </c>
      <c r="O29" s="9">
        <f t="shared" si="21"/>
        <v>1.5</v>
      </c>
      <c r="P29" s="9">
        <f t="shared" si="28"/>
        <v>0.65</v>
      </c>
      <c r="Q29" s="9">
        <f t="shared" si="29"/>
        <v>0.56000000000000005</v>
      </c>
      <c r="R29" s="9">
        <v>1.4999999999999999E-2</v>
      </c>
      <c r="S29" s="9">
        <f t="shared" si="22"/>
        <v>3.0000000000000001E-3</v>
      </c>
      <c r="T29" s="9" t="str">
        <f t="shared" si="23"/>
        <v>1/333</v>
      </c>
      <c r="U29" s="9" t="s">
        <v>441</v>
      </c>
      <c r="V29" s="9">
        <f t="shared" si="30"/>
        <v>0.46</v>
      </c>
      <c r="W29" s="9">
        <f t="shared" si="31"/>
        <v>0.55000000000000004</v>
      </c>
      <c r="X29" s="9">
        <f t="shared" si="3"/>
        <v>0.35</v>
      </c>
      <c r="Y29" s="9">
        <v>1</v>
      </c>
      <c r="Z29" s="9">
        <f t="shared" si="24"/>
        <v>1655.24</v>
      </c>
      <c r="AA29" s="9">
        <f t="shared" si="25"/>
        <v>1655</v>
      </c>
      <c r="AB29" s="14">
        <f t="shared" si="4"/>
        <v>1655.56</v>
      </c>
      <c r="AC29" s="12"/>
    </row>
    <row r="30" spans="2:29">
      <c r="B30" t="s">
        <v>59</v>
      </c>
      <c r="C30">
        <v>2500</v>
      </c>
      <c r="D30">
        <v>1655.127</v>
      </c>
      <c r="E30">
        <f t="shared" si="0"/>
        <v>1655.13</v>
      </c>
      <c r="F30">
        <f t="shared" si="12"/>
        <v>1654.7</v>
      </c>
      <c r="G30">
        <f t="shared" si="5"/>
        <v>0.43000000000006366</v>
      </c>
      <c r="H30">
        <v>3.0000000000000001E-3</v>
      </c>
      <c r="J30" s="12"/>
      <c r="K30" s="10">
        <f t="shared" si="18"/>
        <v>2500</v>
      </c>
      <c r="L30" s="9">
        <f t="shared" si="2"/>
        <v>0.9</v>
      </c>
      <c r="M30" s="9">
        <f t="shared" ref="M30" si="36">M29</f>
        <v>0.69</v>
      </c>
      <c r="N30" s="9">
        <f t="shared" si="20"/>
        <v>1.64</v>
      </c>
      <c r="O30" s="9">
        <f t="shared" si="21"/>
        <v>1.5</v>
      </c>
      <c r="P30" s="9">
        <f t="shared" si="28"/>
        <v>0.65</v>
      </c>
      <c r="Q30" s="9">
        <f t="shared" si="29"/>
        <v>0.56000000000000005</v>
      </c>
      <c r="R30" s="9">
        <v>1.4999999999999999E-2</v>
      </c>
      <c r="S30" s="9">
        <f t="shared" si="22"/>
        <v>3.0000000000000001E-3</v>
      </c>
      <c r="T30" s="9" t="str">
        <f t="shared" si="23"/>
        <v>1/333</v>
      </c>
      <c r="U30" s="9" t="s">
        <v>441</v>
      </c>
      <c r="V30" s="9">
        <f t="shared" si="30"/>
        <v>0.46</v>
      </c>
      <c r="W30" s="9">
        <f t="shared" si="31"/>
        <v>0.55000000000000004</v>
      </c>
      <c r="X30" s="9">
        <f t="shared" si="3"/>
        <v>0.35</v>
      </c>
      <c r="Y30" s="9">
        <v>1</v>
      </c>
      <c r="Z30" s="9">
        <f t="shared" si="24"/>
        <v>1655.13</v>
      </c>
      <c r="AA30" s="9">
        <f t="shared" si="25"/>
        <v>1654.7</v>
      </c>
      <c r="AB30" s="14">
        <f t="shared" si="4"/>
        <v>1655.26</v>
      </c>
      <c r="AC30" s="12"/>
    </row>
    <row r="31" spans="2:29">
      <c r="B31" t="s">
        <v>62</v>
      </c>
      <c r="C31">
        <v>2600</v>
      </c>
      <c r="D31">
        <v>1654.838</v>
      </c>
      <c r="E31">
        <f t="shared" si="0"/>
        <v>1654.84</v>
      </c>
      <c r="F31">
        <f t="shared" si="12"/>
        <v>1654.4</v>
      </c>
      <c r="G31">
        <f t="shared" si="5"/>
        <v>0.4399999999998272</v>
      </c>
      <c r="H31">
        <v>3.0000000000000001E-3</v>
      </c>
      <c r="J31" s="12" t="s">
        <v>487</v>
      </c>
      <c r="K31" s="10">
        <f t="shared" si="18"/>
        <v>2600</v>
      </c>
      <c r="L31" s="9">
        <f t="shared" si="2"/>
        <v>0.9</v>
      </c>
      <c r="M31" s="9">
        <f t="shared" ref="M31" si="37">M30</f>
        <v>0.69</v>
      </c>
      <c r="N31" s="9">
        <f t="shared" si="20"/>
        <v>1.64</v>
      </c>
      <c r="O31" s="9">
        <f t="shared" si="21"/>
        <v>1.5</v>
      </c>
      <c r="P31" s="9">
        <f t="shared" si="28"/>
        <v>0.65</v>
      </c>
      <c r="Q31" s="9">
        <f t="shared" si="29"/>
        <v>0.56000000000000005</v>
      </c>
      <c r="R31" s="9">
        <v>1.4999999999999999E-2</v>
      </c>
      <c r="S31" s="9">
        <f t="shared" si="22"/>
        <v>3.0000000000000001E-3</v>
      </c>
      <c r="T31" s="9" t="str">
        <f t="shared" si="23"/>
        <v>1/333</v>
      </c>
      <c r="U31" s="9" t="s">
        <v>441</v>
      </c>
      <c r="V31" s="9">
        <f t="shared" si="30"/>
        <v>0.46</v>
      </c>
      <c r="W31" s="9">
        <f t="shared" si="31"/>
        <v>0.55000000000000004</v>
      </c>
      <c r="X31" s="9">
        <f t="shared" si="3"/>
        <v>0.35</v>
      </c>
      <c r="Y31" s="9">
        <v>1</v>
      </c>
      <c r="Z31" s="9">
        <f t="shared" si="24"/>
        <v>1654.84</v>
      </c>
      <c r="AA31" s="9">
        <f t="shared" si="25"/>
        <v>1654.4</v>
      </c>
      <c r="AB31" s="14">
        <f t="shared" si="4"/>
        <v>1654.96</v>
      </c>
      <c r="AC31" s="12"/>
    </row>
    <row r="32" spans="2:29">
      <c r="B32" t="s">
        <v>64</v>
      </c>
      <c r="C32">
        <v>2700</v>
      </c>
      <c r="D32">
        <v>1654.499</v>
      </c>
      <c r="E32">
        <f t="shared" si="0"/>
        <v>1654.5</v>
      </c>
      <c r="F32">
        <f t="shared" si="12"/>
        <v>1654.1</v>
      </c>
      <c r="G32">
        <f t="shared" si="5"/>
        <v>0.40000000000009095</v>
      </c>
      <c r="H32">
        <v>3.0000000000000001E-3</v>
      </c>
      <c r="J32" s="12"/>
      <c r="K32" s="10">
        <f t="shared" si="18"/>
        <v>2700</v>
      </c>
      <c r="L32" s="9">
        <f t="shared" si="2"/>
        <v>0.9</v>
      </c>
      <c r="M32" s="9">
        <f t="shared" ref="M32" si="38">M31</f>
        <v>0.69</v>
      </c>
      <c r="N32" s="9">
        <f t="shared" si="20"/>
        <v>1.64</v>
      </c>
      <c r="O32" s="9">
        <f t="shared" si="21"/>
        <v>1.5</v>
      </c>
      <c r="P32" s="9">
        <v>0.54</v>
      </c>
      <c r="Q32" s="9">
        <v>0.47</v>
      </c>
      <c r="R32" s="9">
        <v>1.4999999999999999E-2</v>
      </c>
      <c r="S32" s="9">
        <f t="shared" si="22"/>
        <v>3.0000000000000001E-3</v>
      </c>
      <c r="T32" s="9" t="str">
        <f t="shared" si="23"/>
        <v>1/333</v>
      </c>
      <c r="U32" s="9" t="s">
        <v>441</v>
      </c>
      <c r="V32" s="9">
        <f t="shared" si="30"/>
        <v>0.46</v>
      </c>
      <c r="W32" s="9">
        <f t="shared" si="31"/>
        <v>0.55000000000000004</v>
      </c>
      <c r="X32" s="9">
        <f t="shared" si="3"/>
        <v>0.45999999999999996</v>
      </c>
      <c r="Y32" s="9">
        <v>1</v>
      </c>
      <c r="Z32" s="9">
        <f t="shared" si="24"/>
        <v>1654.5</v>
      </c>
      <c r="AA32" s="9">
        <f t="shared" si="25"/>
        <v>1654.1</v>
      </c>
      <c r="AB32" s="14">
        <f t="shared" si="4"/>
        <v>1654.57</v>
      </c>
      <c r="AC32" s="12"/>
    </row>
    <row r="33" spans="2:29">
      <c r="B33" t="s">
        <v>66</v>
      </c>
      <c r="C33">
        <v>2800</v>
      </c>
      <c r="D33">
        <v>1654.1849999999999</v>
      </c>
      <c r="E33">
        <f t="shared" si="0"/>
        <v>1654.19</v>
      </c>
      <c r="F33">
        <f t="shared" si="12"/>
        <v>1653.8</v>
      </c>
      <c r="G33">
        <f t="shared" si="5"/>
        <v>0.39000000000010004</v>
      </c>
      <c r="H33">
        <v>3.0000000000000001E-3</v>
      </c>
      <c r="J33" s="12"/>
      <c r="K33" s="10">
        <f t="shared" si="18"/>
        <v>2800</v>
      </c>
      <c r="L33" s="9">
        <f t="shared" si="2"/>
        <v>0.9</v>
      </c>
      <c r="M33" s="9">
        <f t="shared" ref="M33" si="39">M32</f>
        <v>0.69</v>
      </c>
      <c r="N33" s="9">
        <f t="shared" si="20"/>
        <v>1.64</v>
      </c>
      <c r="O33" s="9">
        <f t="shared" si="21"/>
        <v>1.5</v>
      </c>
      <c r="P33" s="9">
        <f t="shared" si="28"/>
        <v>0.54</v>
      </c>
      <c r="Q33" s="9">
        <f t="shared" si="29"/>
        <v>0.47</v>
      </c>
      <c r="R33" s="9">
        <v>1.4999999999999999E-2</v>
      </c>
      <c r="S33" s="9">
        <f t="shared" si="22"/>
        <v>3.0000000000000001E-3</v>
      </c>
      <c r="T33" s="9" t="str">
        <f t="shared" si="23"/>
        <v>1/333</v>
      </c>
      <c r="U33" s="9" t="s">
        <v>441</v>
      </c>
      <c r="V33" s="9">
        <f t="shared" si="30"/>
        <v>0.46</v>
      </c>
      <c r="W33" s="9">
        <f t="shared" si="31"/>
        <v>0.55000000000000004</v>
      </c>
      <c r="X33" s="9">
        <f t="shared" si="3"/>
        <v>0.45999999999999996</v>
      </c>
      <c r="Y33" s="9">
        <v>1</v>
      </c>
      <c r="Z33" s="9">
        <f t="shared" si="24"/>
        <v>1654.19</v>
      </c>
      <c r="AA33" s="9">
        <f t="shared" si="25"/>
        <v>1653.8</v>
      </c>
      <c r="AB33" s="14">
        <f t="shared" si="4"/>
        <v>1654.27</v>
      </c>
      <c r="AC33" s="12"/>
    </row>
    <row r="34" spans="2:29">
      <c r="B34" t="s">
        <v>71</v>
      </c>
      <c r="C34">
        <v>2900</v>
      </c>
      <c r="D34">
        <v>1653.998</v>
      </c>
      <c r="E34">
        <f t="shared" si="0"/>
        <v>1654</v>
      </c>
      <c r="F34">
        <f t="shared" si="12"/>
        <v>1653.5</v>
      </c>
      <c r="G34">
        <f t="shared" si="5"/>
        <v>0.5</v>
      </c>
      <c r="H34">
        <v>3.0000000000000001E-3</v>
      </c>
      <c r="J34" s="12"/>
      <c r="K34" s="10">
        <f t="shared" si="18"/>
        <v>2900</v>
      </c>
      <c r="L34" s="9">
        <f t="shared" si="2"/>
        <v>0.9</v>
      </c>
      <c r="M34" s="9">
        <f t="shared" ref="M34" si="40">M33</f>
        <v>0.69</v>
      </c>
      <c r="N34" s="9">
        <f t="shared" si="20"/>
        <v>1.64</v>
      </c>
      <c r="O34" s="9">
        <f t="shared" si="21"/>
        <v>1.5</v>
      </c>
      <c r="P34" s="9">
        <f t="shared" si="28"/>
        <v>0.54</v>
      </c>
      <c r="Q34" s="9">
        <f t="shared" si="29"/>
        <v>0.47</v>
      </c>
      <c r="R34" s="9">
        <v>1.4999999999999999E-2</v>
      </c>
      <c r="S34" s="9">
        <f t="shared" si="22"/>
        <v>3.0000000000000001E-3</v>
      </c>
      <c r="T34" s="9" t="str">
        <f t="shared" si="23"/>
        <v>1/333</v>
      </c>
      <c r="U34" s="9" t="s">
        <v>441</v>
      </c>
      <c r="V34" s="9">
        <f t="shared" si="30"/>
        <v>0.46</v>
      </c>
      <c r="W34" s="9">
        <f t="shared" si="31"/>
        <v>0.55000000000000004</v>
      </c>
      <c r="X34" s="9">
        <f t="shared" si="3"/>
        <v>0.45999999999999996</v>
      </c>
      <c r="Y34" s="9">
        <v>1</v>
      </c>
      <c r="Z34" s="9">
        <f t="shared" si="24"/>
        <v>1654</v>
      </c>
      <c r="AA34" s="9">
        <f t="shared" si="25"/>
        <v>1653.5</v>
      </c>
      <c r="AB34" s="14">
        <f t="shared" si="4"/>
        <v>1653.97</v>
      </c>
      <c r="AC34" s="12"/>
    </row>
    <row r="35" spans="2:29">
      <c r="B35" t="s">
        <v>73</v>
      </c>
      <c r="C35">
        <v>3000</v>
      </c>
      <c r="D35">
        <v>1653.6769999999999</v>
      </c>
      <c r="E35">
        <f t="shared" si="0"/>
        <v>1653.68</v>
      </c>
      <c r="F35">
        <f t="shared" si="12"/>
        <v>1653.2</v>
      </c>
      <c r="G35">
        <f t="shared" si="5"/>
        <v>0.48000000000001819</v>
      </c>
      <c r="H35">
        <v>3.0000000000000001E-3</v>
      </c>
      <c r="J35" s="12"/>
      <c r="K35" s="10">
        <f t="shared" si="18"/>
        <v>3000</v>
      </c>
      <c r="L35" s="9">
        <f t="shared" si="2"/>
        <v>0.9</v>
      </c>
      <c r="M35" s="9">
        <f t="shared" ref="M35" si="41">M34</f>
        <v>0.69</v>
      </c>
      <c r="N35" s="9">
        <f t="shared" si="20"/>
        <v>1.64</v>
      </c>
      <c r="O35" s="9">
        <f t="shared" si="21"/>
        <v>1.5</v>
      </c>
      <c r="P35" s="9">
        <f t="shared" si="28"/>
        <v>0.54</v>
      </c>
      <c r="Q35" s="9">
        <f t="shared" si="29"/>
        <v>0.47</v>
      </c>
      <c r="R35" s="9">
        <v>1.4999999999999999E-2</v>
      </c>
      <c r="S35" s="9">
        <f t="shared" si="22"/>
        <v>3.0000000000000001E-3</v>
      </c>
      <c r="T35" s="9" t="str">
        <f t="shared" si="23"/>
        <v>1/333</v>
      </c>
      <c r="U35" s="9" t="s">
        <v>441</v>
      </c>
      <c r="V35" s="9">
        <f t="shared" si="30"/>
        <v>0.46</v>
      </c>
      <c r="W35" s="9">
        <f t="shared" si="31"/>
        <v>0.55000000000000004</v>
      </c>
      <c r="X35" s="9">
        <f t="shared" si="3"/>
        <v>0.45999999999999996</v>
      </c>
      <c r="Y35" s="9">
        <v>1</v>
      </c>
      <c r="Z35" s="9">
        <f t="shared" si="24"/>
        <v>1653.68</v>
      </c>
      <c r="AA35" s="9">
        <f t="shared" si="25"/>
        <v>1653.2</v>
      </c>
      <c r="AB35" s="14">
        <f t="shared" si="4"/>
        <v>1653.67</v>
      </c>
      <c r="AC35" s="12"/>
    </row>
    <row r="36" spans="2:29">
      <c r="B36" t="s">
        <v>75</v>
      </c>
      <c r="C36">
        <v>3100</v>
      </c>
      <c r="D36">
        <v>1653.4</v>
      </c>
      <c r="E36">
        <f t="shared" si="0"/>
        <v>1653.4</v>
      </c>
      <c r="F36">
        <f t="shared" si="12"/>
        <v>1652.9</v>
      </c>
      <c r="G36">
        <f t="shared" si="5"/>
        <v>0.5</v>
      </c>
      <c r="H36">
        <v>3.0000000000000001E-3</v>
      </c>
      <c r="J36" s="12"/>
      <c r="K36" s="10">
        <f t="shared" si="18"/>
        <v>3100</v>
      </c>
      <c r="L36" s="9">
        <f t="shared" si="2"/>
        <v>0.9</v>
      </c>
      <c r="M36" s="9">
        <f t="shared" ref="M36" si="42">M35</f>
        <v>0.69</v>
      </c>
      <c r="N36" s="9">
        <f t="shared" si="20"/>
        <v>1.64</v>
      </c>
      <c r="O36" s="9">
        <f t="shared" si="21"/>
        <v>1.5</v>
      </c>
      <c r="P36" s="9">
        <f t="shared" si="28"/>
        <v>0.54</v>
      </c>
      <c r="Q36" s="9">
        <f t="shared" si="29"/>
        <v>0.47</v>
      </c>
      <c r="R36" s="9">
        <v>1.4999999999999999E-2</v>
      </c>
      <c r="S36" s="9">
        <f t="shared" si="22"/>
        <v>3.0000000000000001E-3</v>
      </c>
      <c r="T36" s="9" t="str">
        <f t="shared" si="23"/>
        <v>1/333</v>
      </c>
      <c r="U36" s="9" t="s">
        <v>441</v>
      </c>
      <c r="V36" s="9">
        <f t="shared" si="30"/>
        <v>0.46</v>
      </c>
      <c r="W36" s="9">
        <f t="shared" si="31"/>
        <v>0.55000000000000004</v>
      </c>
      <c r="X36" s="9">
        <f t="shared" si="3"/>
        <v>0.45999999999999996</v>
      </c>
      <c r="Y36" s="9">
        <v>1</v>
      </c>
      <c r="Z36" s="9">
        <f t="shared" si="24"/>
        <v>1653.4</v>
      </c>
      <c r="AA36" s="9">
        <f t="shared" si="25"/>
        <v>1652.9</v>
      </c>
      <c r="AB36" s="14">
        <f t="shared" si="4"/>
        <v>1653.3700000000001</v>
      </c>
      <c r="AC36" s="12"/>
    </row>
    <row r="37" spans="2:29">
      <c r="B37" t="s">
        <v>78</v>
      </c>
      <c r="C37">
        <v>3200</v>
      </c>
      <c r="D37">
        <v>1652.88</v>
      </c>
      <c r="E37">
        <f t="shared" si="0"/>
        <v>1652.88</v>
      </c>
      <c r="F37">
        <f t="shared" si="12"/>
        <v>1652.6</v>
      </c>
      <c r="G37">
        <f t="shared" si="5"/>
        <v>0.28000000000020009</v>
      </c>
      <c r="H37">
        <v>2E-3</v>
      </c>
      <c r="J37" s="12"/>
      <c r="K37" s="10">
        <f t="shared" si="18"/>
        <v>3200</v>
      </c>
      <c r="L37" s="9">
        <f t="shared" si="2"/>
        <v>0.9</v>
      </c>
      <c r="M37" s="9">
        <f t="shared" ref="M37" si="43">M36</f>
        <v>0.69</v>
      </c>
      <c r="N37" s="9">
        <f t="shared" si="20"/>
        <v>1.64</v>
      </c>
      <c r="O37" s="9">
        <f t="shared" si="21"/>
        <v>1.5</v>
      </c>
      <c r="P37" s="9">
        <v>0.67</v>
      </c>
      <c r="Q37" s="9">
        <v>0.57999999999999996</v>
      </c>
      <c r="R37" s="9">
        <v>1.4999999999999999E-2</v>
      </c>
      <c r="S37" s="9">
        <f t="shared" si="22"/>
        <v>2E-3</v>
      </c>
      <c r="T37" s="9" t="str">
        <f t="shared" si="23"/>
        <v>1/500</v>
      </c>
      <c r="U37" s="9" t="s">
        <v>441</v>
      </c>
      <c r="V37" s="9">
        <f t="shared" si="30"/>
        <v>0.46</v>
      </c>
      <c r="W37" s="9">
        <f t="shared" si="31"/>
        <v>0.55000000000000004</v>
      </c>
      <c r="X37" s="9">
        <f t="shared" ref="X37:X67" si="44">Y37-P37</f>
        <v>0.32999999999999996</v>
      </c>
      <c r="Y37" s="9">
        <v>1</v>
      </c>
      <c r="Z37" s="9">
        <f t="shared" si="24"/>
        <v>1652.88</v>
      </c>
      <c r="AA37" s="9">
        <f t="shared" si="25"/>
        <v>1652.6</v>
      </c>
      <c r="AB37" s="14">
        <f t="shared" ref="AB37:AB67" si="45">AA37+Q37</f>
        <v>1653.1799999999998</v>
      </c>
      <c r="AC37" s="12"/>
    </row>
    <row r="38" spans="2:29">
      <c r="B38" t="s">
        <v>80</v>
      </c>
      <c r="C38">
        <v>3300</v>
      </c>
      <c r="D38">
        <v>1652.6890000000001</v>
      </c>
      <c r="E38">
        <f t="shared" si="0"/>
        <v>1652.69</v>
      </c>
      <c r="F38">
        <f t="shared" si="12"/>
        <v>1652.4</v>
      </c>
      <c r="G38">
        <f t="shared" si="5"/>
        <v>0.28999999999996362</v>
      </c>
      <c r="H38">
        <v>2E-3</v>
      </c>
      <c r="J38" s="12"/>
      <c r="K38" s="10">
        <f t="shared" si="18"/>
        <v>3300</v>
      </c>
      <c r="L38" s="9">
        <f t="shared" si="2"/>
        <v>0.9</v>
      </c>
      <c r="M38" s="9">
        <f t="shared" ref="M38" si="46">M37</f>
        <v>0.69</v>
      </c>
      <c r="N38" s="9">
        <f t="shared" si="20"/>
        <v>1.64</v>
      </c>
      <c r="O38" s="9">
        <f t="shared" si="21"/>
        <v>1.5</v>
      </c>
      <c r="P38" s="9">
        <f t="shared" ref="P38:P77" si="47">P37</f>
        <v>0.67</v>
      </c>
      <c r="Q38" s="9">
        <f t="shared" ref="Q38:Q77" si="48">Q37</f>
        <v>0.57999999999999996</v>
      </c>
      <c r="R38" s="9">
        <v>1.4999999999999999E-2</v>
      </c>
      <c r="S38" s="9">
        <f t="shared" si="22"/>
        <v>2E-3</v>
      </c>
      <c r="T38" s="9" t="str">
        <f t="shared" si="23"/>
        <v>1/500</v>
      </c>
      <c r="U38" s="9" t="s">
        <v>441</v>
      </c>
      <c r="V38" s="9">
        <f t="shared" si="30"/>
        <v>0.46</v>
      </c>
      <c r="W38" s="9">
        <f t="shared" si="31"/>
        <v>0.55000000000000004</v>
      </c>
      <c r="X38" s="9">
        <f t="shared" si="44"/>
        <v>0.32999999999999996</v>
      </c>
      <c r="Y38" s="9">
        <v>1</v>
      </c>
      <c r="Z38" s="9">
        <f t="shared" si="24"/>
        <v>1652.69</v>
      </c>
      <c r="AA38" s="9">
        <f t="shared" si="25"/>
        <v>1652.4</v>
      </c>
      <c r="AB38" s="14">
        <f t="shared" si="45"/>
        <v>1652.98</v>
      </c>
      <c r="AC38" s="12"/>
    </row>
    <row r="39" spans="2:29">
      <c r="B39" t="s">
        <v>82</v>
      </c>
      <c r="C39">
        <v>3400</v>
      </c>
      <c r="D39">
        <v>1652.2090000000001</v>
      </c>
      <c r="E39">
        <f t="shared" si="0"/>
        <v>1652.21</v>
      </c>
      <c r="F39">
        <f t="shared" si="12"/>
        <v>1652.2</v>
      </c>
      <c r="G39">
        <f t="shared" si="5"/>
        <v>9.9999999999909051E-3</v>
      </c>
      <c r="H39">
        <v>2E-3</v>
      </c>
      <c r="J39" s="12"/>
      <c r="K39" s="10">
        <f t="shared" si="18"/>
        <v>3400</v>
      </c>
      <c r="L39" s="9">
        <f t="shared" si="2"/>
        <v>0.9</v>
      </c>
      <c r="M39" s="9">
        <f t="shared" ref="M39" si="49">M38</f>
        <v>0.69</v>
      </c>
      <c r="N39" s="9">
        <f t="shared" si="20"/>
        <v>1.64</v>
      </c>
      <c r="O39" s="9">
        <f t="shared" si="21"/>
        <v>1.5</v>
      </c>
      <c r="P39" s="9">
        <f t="shared" si="47"/>
        <v>0.67</v>
      </c>
      <c r="Q39" s="9">
        <f t="shared" si="48"/>
        <v>0.57999999999999996</v>
      </c>
      <c r="R39" s="9">
        <v>1.4999999999999999E-2</v>
      </c>
      <c r="S39" s="9">
        <f t="shared" si="22"/>
        <v>2E-3</v>
      </c>
      <c r="T39" s="9" t="str">
        <f t="shared" si="23"/>
        <v>1/500</v>
      </c>
      <c r="U39" s="9" t="s">
        <v>441</v>
      </c>
      <c r="V39" s="9">
        <f t="shared" si="30"/>
        <v>0.46</v>
      </c>
      <c r="W39" s="9">
        <f t="shared" si="31"/>
        <v>0.55000000000000004</v>
      </c>
      <c r="X39" s="9">
        <f t="shared" si="44"/>
        <v>0.32999999999999996</v>
      </c>
      <c r="Y39" s="9">
        <v>1</v>
      </c>
      <c r="Z39" s="9">
        <f t="shared" si="24"/>
        <v>1652.21</v>
      </c>
      <c r="AA39" s="9">
        <f t="shared" si="25"/>
        <v>1652.2</v>
      </c>
      <c r="AB39" s="14">
        <f t="shared" si="45"/>
        <v>1652.78</v>
      </c>
      <c r="AC39" s="12"/>
    </row>
    <row r="40" spans="2:29">
      <c r="B40" t="s">
        <v>86</v>
      </c>
      <c r="C40">
        <v>3500</v>
      </c>
      <c r="D40">
        <v>1652.0709999999999</v>
      </c>
      <c r="E40">
        <f t="shared" si="0"/>
        <v>1652.07</v>
      </c>
      <c r="F40">
        <f t="shared" si="12"/>
        <v>1652</v>
      </c>
      <c r="G40">
        <f t="shared" si="5"/>
        <v>6.9999999999936335E-2</v>
      </c>
      <c r="H40">
        <v>2E-3</v>
      </c>
      <c r="J40" s="12"/>
      <c r="K40" s="10">
        <f t="shared" si="18"/>
        <v>3500</v>
      </c>
      <c r="L40" s="9">
        <f t="shared" si="2"/>
        <v>0.9</v>
      </c>
      <c r="M40" s="9">
        <f t="shared" ref="M40" si="50">M39</f>
        <v>0.69</v>
      </c>
      <c r="N40" s="9">
        <f t="shared" si="20"/>
        <v>1.64</v>
      </c>
      <c r="O40" s="9">
        <f t="shared" si="21"/>
        <v>1.5</v>
      </c>
      <c r="P40" s="9">
        <f t="shared" si="47"/>
        <v>0.67</v>
      </c>
      <c r="Q40" s="9">
        <f t="shared" si="48"/>
        <v>0.57999999999999996</v>
      </c>
      <c r="R40" s="9">
        <v>1.4999999999999999E-2</v>
      </c>
      <c r="S40" s="9">
        <f t="shared" si="22"/>
        <v>2E-3</v>
      </c>
      <c r="T40" s="9" t="str">
        <f t="shared" si="23"/>
        <v>1/500</v>
      </c>
      <c r="U40" s="9" t="s">
        <v>441</v>
      </c>
      <c r="V40" s="9">
        <f t="shared" si="30"/>
        <v>0.46</v>
      </c>
      <c r="W40" s="9">
        <f t="shared" si="31"/>
        <v>0.55000000000000004</v>
      </c>
      <c r="X40" s="9">
        <f t="shared" si="44"/>
        <v>0.32999999999999996</v>
      </c>
      <c r="Y40" s="9">
        <v>1</v>
      </c>
      <c r="Z40" s="9">
        <f t="shared" si="24"/>
        <v>1652.07</v>
      </c>
      <c r="AA40" s="9">
        <f t="shared" si="25"/>
        <v>1652</v>
      </c>
      <c r="AB40" s="14">
        <f t="shared" si="45"/>
        <v>1652.58</v>
      </c>
      <c r="AC40" s="12"/>
    </row>
    <row r="41" spans="2:29">
      <c r="B41" t="s">
        <v>88</v>
      </c>
      <c r="C41">
        <v>3600</v>
      </c>
      <c r="D41">
        <v>1652.0650000000001</v>
      </c>
      <c r="E41">
        <f t="shared" si="0"/>
        <v>1652.07</v>
      </c>
      <c r="F41">
        <f t="shared" si="12"/>
        <v>1651.8</v>
      </c>
      <c r="G41">
        <f t="shared" si="5"/>
        <v>0.26999999999998181</v>
      </c>
      <c r="H41">
        <v>2E-3</v>
      </c>
      <c r="J41" s="12" t="s">
        <v>488</v>
      </c>
      <c r="K41" s="10">
        <f t="shared" si="18"/>
        <v>3600</v>
      </c>
      <c r="L41" s="9">
        <f t="shared" si="2"/>
        <v>0.9</v>
      </c>
      <c r="M41" s="9">
        <f t="shared" ref="M41" si="51">M40</f>
        <v>0.69</v>
      </c>
      <c r="N41" s="9">
        <f t="shared" si="20"/>
        <v>1.64</v>
      </c>
      <c r="O41" s="9">
        <f t="shared" si="21"/>
        <v>1.5</v>
      </c>
      <c r="P41" s="9">
        <f t="shared" si="47"/>
        <v>0.67</v>
      </c>
      <c r="Q41" s="9">
        <f t="shared" si="48"/>
        <v>0.57999999999999996</v>
      </c>
      <c r="R41" s="9">
        <v>1.4999999999999999E-2</v>
      </c>
      <c r="S41" s="9">
        <f t="shared" si="22"/>
        <v>2E-3</v>
      </c>
      <c r="T41" s="9" t="str">
        <f t="shared" si="23"/>
        <v>1/500</v>
      </c>
      <c r="U41" s="9" t="s">
        <v>441</v>
      </c>
      <c r="V41" s="9">
        <f t="shared" si="30"/>
        <v>0.46</v>
      </c>
      <c r="W41" s="9">
        <f t="shared" si="31"/>
        <v>0.55000000000000004</v>
      </c>
      <c r="X41" s="9">
        <f t="shared" si="44"/>
        <v>0.32999999999999996</v>
      </c>
      <c r="Y41" s="9">
        <v>1</v>
      </c>
      <c r="Z41" s="9">
        <f t="shared" si="24"/>
        <v>1652.07</v>
      </c>
      <c r="AA41" s="9">
        <f t="shared" si="25"/>
        <v>1651.8</v>
      </c>
      <c r="AB41" s="14">
        <f t="shared" si="45"/>
        <v>1652.3799999999999</v>
      </c>
      <c r="AC41" s="12"/>
    </row>
    <row r="42" spans="2:29">
      <c r="B42" t="s">
        <v>90</v>
      </c>
      <c r="C42">
        <v>3700</v>
      </c>
      <c r="D42">
        <v>1651.9449999999999</v>
      </c>
      <c r="E42">
        <f t="shared" si="0"/>
        <v>1651.95</v>
      </c>
      <c r="F42">
        <f t="shared" si="12"/>
        <v>1651.6</v>
      </c>
      <c r="G42">
        <f t="shared" si="5"/>
        <v>0.35000000000013642</v>
      </c>
      <c r="H42">
        <v>2E-3</v>
      </c>
      <c r="J42" s="12"/>
      <c r="K42" s="10">
        <f t="shared" si="18"/>
        <v>3700</v>
      </c>
      <c r="L42" s="9">
        <f t="shared" si="2"/>
        <v>0.61</v>
      </c>
      <c r="M42" s="9">
        <v>0.47</v>
      </c>
      <c r="N42" s="9">
        <f t="shared" si="20"/>
        <v>1.45</v>
      </c>
      <c r="O42" s="9">
        <f t="shared" si="21"/>
        <v>1.34</v>
      </c>
      <c r="P42" s="9">
        <v>0.59</v>
      </c>
      <c r="Q42" s="9">
        <v>0.52</v>
      </c>
      <c r="R42" s="9">
        <v>1.4999999999999999E-2</v>
      </c>
      <c r="S42" s="9">
        <f t="shared" si="22"/>
        <v>2E-3</v>
      </c>
      <c r="T42" s="9" t="str">
        <f t="shared" si="23"/>
        <v>1/500</v>
      </c>
      <c r="U42" s="9" t="s">
        <v>540</v>
      </c>
      <c r="V42" s="9">
        <v>0.35</v>
      </c>
      <c r="W42" s="9">
        <v>0.42</v>
      </c>
      <c r="X42" s="9">
        <f t="shared" si="44"/>
        <v>0.21000000000000008</v>
      </c>
      <c r="Y42" s="9">
        <v>0.8</v>
      </c>
      <c r="Z42" s="9">
        <f t="shared" si="24"/>
        <v>1651.95</v>
      </c>
      <c r="AA42" s="9">
        <f t="shared" si="25"/>
        <v>1651.6</v>
      </c>
      <c r="AB42" s="14">
        <f t="shared" si="45"/>
        <v>1652.12</v>
      </c>
      <c r="AC42" s="12"/>
    </row>
    <row r="43" spans="2:29">
      <c r="B43" t="s">
        <v>93</v>
      </c>
      <c r="C43">
        <v>3800</v>
      </c>
      <c r="D43">
        <v>1651.8240000000001</v>
      </c>
      <c r="E43">
        <f t="shared" si="0"/>
        <v>1651.82</v>
      </c>
      <c r="F43">
        <f t="shared" si="12"/>
        <v>1651.4</v>
      </c>
      <c r="G43">
        <f t="shared" si="5"/>
        <v>0.41999999999984539</v>
      </c>
      <c r="H43">
        <v>2E-3</v>
      </c>
      <c r="J43" s="12"/>
      <c r="K43" s="10">
        <f t="shared" si="18"/>
        <v>3800</v>
      </c>
      <c r="L43" s="9">
        <f t="shared" si="2"/>
        <v>0.61</v>
      </c>
      <c r="M43" s="9">
        <f t="shared" ref="M43" si="52">M42</f>
        <v>0.47</v>
      </c>
      <c r="N43" s="9">
        <f t="shared" si="20"/>
        <v>1.45</v>
      </c>
      <c r="O43" s="9">
        <f t="shared" si="21"/>
        <v>1.34</v>
      </c>
      <c r="P43" s="9">
        <f t="shared" si="47"/>
        <v>0.59</v>
      </c>
      <c r="Q43" s="9">
        <f t="shared" si="48"/>
        <v>0.52</v>
      </c>
      <c r="R43" s="9">
        <v>1.4999999999999999E-2</v>
      </c>
      <c r="S43" s="9">
        <f t="shared" si="22"/>
        <v>2E-3</v>
      </c>
      <c r="T43" s="9" t="str">
        <f t="shared" si="23"/>
        <v>1/500</v>
      </c>
      <c r="U43" s="9" t="s">
        <v>540</v>
      </c>
      <c r="V43" s="9">
        <f t="shared" si="30"/>
        <v>0.35</v>
      </c>
      <c r="W43" s="9">
        <f t="shared" si="31"/>
        <v>0.42</v>
      </c>
      <c r="X43" s="9">
        <f t="shared" si="44"/>
        <v>0.21000000000000008</v>
      </c>
      <c r="Y43" s="9">
        <v>0.8</v>
      </c>
      <c r="Z43" s="9">
        <f t="shared" si="24"/>
        <v>1651.82</v>
      </c>
      <c r="AA43" s="9">
        <f t="shared" si="25"/>
        <v>1651.4</v>
      </c>
      <c r="AB43" s="14">
        <f t="shared" si="45"/>
        <v>1651.92</v>
      </c>
      <c r="AC43" s="12"/>
    </row>
    <row r="44" spans="2:29">
      <c r="B44" t="s">
        <v>95</v>
      </c>
      <c r="C44">
        <v>3900</v>
      </c>
      <c r="D44">
        <v>1651.731</v>
      </c>
      <c r="E44">
        <f t="shared" ref="E44:E67" si="53">ROUND(D44,2)</f>
        <v>1651.73</v>
      </c>
      <c r="F44">
        <f>ROUND(F138-(C44-C138)*H138,2)</f>
        <v>1651.2</v>
      </c>
      <c r="G44">
        <f t="shared" ref="G44:G77" si="54">E44-F44</f>
        <v>0.52999999999997272</v>
      </c>
      <c r="H44">
        <v>2E-3</v>
      </c>
      <c r="J44" s="12"/>
      <c r="K44" s="10">
        <f t="shared" si="18"/>
        <v>3900</v>
      </c>
      <c r="L44" s="9">
        <f t="shared" si="2"/>
        <v>0.61</v>
      </c>
      <c r="M44" s="9">
        <f t="shared" ref="M44" si="55">M43</f>
        <v>0.47</v>
      </c>
      <c r="N44" s="9">
        <f t="shared" si="20"/>
        <v>1.45</v>
      </c>
      <c r="O44" s="9">
        <f t="shared" si="21"/>
        <v>1.34</v>
      </c>
      <c r="P44" s="9">
        <f t="shared" si="47"/>
        <v>0.59</v>
      </c>
      <c r="Q44" s="9">
        <f t="shared" si="48"/>
        <v>0.52</v>
      </c>
      <c r="R44" s="9">
        <v>1.4999999999999999E-2</v>
      </c>
      <c r="S44" s="9">
        <f t="shared" si="22"/>
        <v>2E-3</v>
      </c>
      <c r="T44" s="9" t="str">
        <f t="shared" si="23"/>
        <v>1/500</v>
      </c>
      <c r="U44" s="9" t="s">
        <v>519</v>
      </c>
      <c r="V44" s="9">
        <f t="shared" si="30"/>
        <v>0.35</v>
      </c>
      <c r="W44" s="9">
        <f t="shared" si="31"/>
        <v>0.42</v>
      </c>
      <c r="X44" s="9">
        <f t="shared" si="44"/>
        <v>0.21000000000000008</v>
      </c>
      <c r="Y44" s="9">
        <v>0.8</v>
      </c>
      <c r="Z44" s="9">
        <f t="shared" si="24"/>
        <v>1651.73</v>
      </c>
      <c r="AA44" s="9">
        <f t="shared" si="25"/>
        <v>1651.2</v>
      </c>
      <c r="AB44" s="14">
        <f t="shared" si="45"/>
        <v>1651.72</v>
      </c>
      <c r="AC44" s="12"/>
    </row>
    <row r="45" spans="2:29">
      <c r="B45" t="s">
        <v>97</v>
      </c>
      <c r="C45">
        <v>4000</v>
      </c>
      <c r="D45">
        <v>1651.5229999999999</v>
      </c>
      <c r="E45">
        <f t="shared" si="53"/>
        <v>1651.52</v>
      </c>
      <c r="F45">
        <f t="shared" ref="F45:F77" si="56">ROUND(F44-(C45-C44)*H44,2)</f>
        <v>1651</v>
      </c>
      <c r="G45">
        <f t="shared" si="54"/>
        <v>0.51999999999998181</v>
      </c>
      <c r="H45">
        <v>2E-3</v>
      </c>
      <c r="J45" s="12"/>
      <c r="K45" s="10">
        <f t="shared" si="18"/>
        <v>4000</v>
      </c>
      <c r="L45" s="9">
        <f t="shared" si="2"/>
        <v>0.61</v>
      </c>
      <c r="M45" s="9">
        <f t="shared" ref="M45" si="57">M44</f>
        <v>0.47</v>
      </c>
      <c r="N45" s="9">
        <f t="shared" si="20"/>
        <v>1.45</v>
      </c>
      <c r="O45" s="9">
        <f t="shared" si="21"/>
        <v>1.34</v>
      </c>
      <c r="P45" s="9">
        <f t="shared" si="47"/>
        <v>0.59</v>
      </c>
      <c r="Q45" s="9">
        <f t="shared" si="48"/>
        <v>0.52</v>
      </c>
      <c r="R45" s="9">
        <v>1.4999999999999999E-2</v>
      </c>
      <c r="S45" s="9">
        <f t="shared" si="22"/>
        <v>2E-3</v>
      </c>
      <c r="T45" s="9" t="str">
        <f t="shared" si="23"/>
        <v>1/500</v>
      </c>
      <c r="U45" s="9" t="s">
        <v>519</v>
      </c>
      <c r="V45" s="9">
        <f t="shared" si="30"/>
        <v>0.35</v>
      </c>
      <c r="W45" s="9">
        <f t="shared" si="31"/>
        <v>0.42</v>
      </c>
      <c r="X45" s="9">
        <f t="shared" si="44"/>
        <v>0.21000000000000008</v>
      </c>
      <c r="Y45" s="9">
        <v>0.8</v>
      </c>
      <c r="Z45" s="9">
        <f t="shared" si="24"/>
        <v>1651.52</v>
      </c>
      <c r="AA45" s="9">
        <f t="shared" si="25"/>
        <v>1651</v>
      </c>
      <c r="AB45" s="14">
        <f t="shared" si="45"/>
        <v>1651.52</v>
      </c>
      <c r="AC45" s="12"/>
    </row>
    <row r="46" spans="2:29">
      <c r="B46" t="s">
        <v>100</v>
      </c>
      <c r="C46">
        <v>4100</v>
      </c>
      <c r="D46">
        <v>1651.2439999999999</v>
      </c>
      <c r="E46">
        <f t="shared" si="53"/>
        <v>1651.24</v>
      </c>
      <c r="F46">
        <f t="shared" si="56"/>
        <v>1650.8</v>
      </c>
      <c r="G46">
        <f t="shared" si="54"/>
        <v>0.44000000000005457</v>
      </c>
      <c r="H46">
        <v>2E-3</v>
      </c>
      <c r="J46" s="12"/>
      <c r="K46" s="10">
        <f t="shared" si="18"/>
        <v>4100</v>
      </c>
      <c r="L46" s="9">
        <f t="shared" si="2"/>
        <v>0.61</v>
      </c>
      <c r="M46" s="9">
        <f t="shared" ref="M46" si="58">M45</f>
        <v>0.47</v>
      </c>
      <c r="N46" s="9">
        <f t="shared" si="20"/>
        <v>1.45</v>
      </c>
      <c r="O46" s="9">
        <f t="shared" si="21"/>
        <v>1.34</v>
      </c>
      <c r="P46" s="9">
        <f t="shared" si="47"/>
        <v>0.59</v>
      </c>
      <c r="Q46" s="9">
        <f t="shared" si="48"/>
        <v>0.52</v>
      </c>
      <c r="R46" s="9">
        <v>1.4999999999999999E-2</v>
      </c>
      <c r="S46" s="9">
        <f t="shared" si="22"/>
        <v>2E-3</v>
      </c>
      <c r="T46" s="9" t="str">
        <f t="shared" si="23"/>
        <v>1/500</v>
      </c>
      <c r="U46" s="9" t="s">
        <v>519</v>
      </c>
      <c r="V46" s="9">
        <f t="shared" si="30"/>
        <v>0.35</v>
      </c>
      <c r="W46" s="9">
        <f t="shared" si="31"/>
        <v>0.42</v>
      </c>
      <c r="X46" s="9">
        <f t="shared" si="44"/>
        <v>0.21000000000000008</v>
      </c>
      <c r="Y46" s="9">
        <v>0.8</v>
      </c>
      <c r="Z46" s="9">
        <f t="shared" si="24"/>
        <v>1651.24</v>
      </c>
      <c r="AA46" s="9">
        <f t="shared" si="25"/>
        <v>1650.8</v>
      </c>
      <c r="AB46" s="14">
        <f t="shared" si="45"/>
        <v>1651.32</v>
      </c>
      <c r="AC46" s="12"/>
    </row>
    <row r="47" spans="2:29">
      <c r="B47" t="s">
        <v>102</v>
      </c>
      <c r="C47">
        <v>4200</v>
      </c>
      <c r="D47">
        <v>1650.8969999999999</v>
      </c>
      <c r="E47">
        <f t="shared" si="53"/>
        <v>1650.9</v>
      </c>
      <c r="F47">
        <f t="shared" si="56"/>
        <v>1650.6</v>
      </c>
      <c r="G47">
        <f t="shared" si="54"/>
        <v>0.3000000000001819</v>
      </c>
      <c r="H47">
        <v>2E-3</v>
      </c>
      <c r="J47" s="12"/>
      <c r="K47" s="10">
        <f t="shared" si="18"/>
        <v>4200</v>
      </c>
      <c r="L47" s="9">
        <f t="shared" si="2"/>
        <v>0.61</v>
      </c>
      <c r="M47" s="9">
        <f t="shared" ref="M47" si="59">M46</f>
        <v>0.47</v>
      </c>
      <c r="N47" s="9">
        <f t="shared" si="20"/>
        <v>1.45</v>
      </c>
      <c r="O47" s="9">
        <f t="shared" si="21"/>
        <v>1.34</v>
      </c>
      <c r="P47" s="9">
        <f t="shared" si="47"/>
        <v>0.59</v>
      </c>
      <c r="Q47" s="9">
        <f t="shared" si="48"/>
        <v>0.52</v>
      </c>
      <c r="R47" s="9">
        <v>1.4999999999999999E-2</v>
      </c>
      <c r="S47" s="9">
        <f t="shared" si="22"/>
        <v>2E-3</v>
      </c>
      <c r="T47" s="9" t="str">
        <f t="shared" si="23"/>
        <v>1/500</v>
      </c>
      <c r="U47" s="9" t="s">
        <v>519</v>
      </c>
      <c r="V47" s="9">
        <f t="shared" si="30"/>
        <v>0.35</v>
      </c>
      <c r="W47" s="9">
        <f t="shared" si="31"/>
        <v>0.42</v>
      </c>
      <c r="X47" s="9">
        <f t="shared" si="44"/>
        <v>0.21000000000000008</v>
      </c>
      <c r="Y47" s="9">
        <v>0.8</v>
      </c>
      <c r="Z47" s="9">
        <f t="shared" si="24"/>
        <v>1650.9</v>
      </c>
      <c r="AA47" s="9">
        <f t="shared" si="25"/>
        <v>1650.6</v>
      </c>
      <c r="AB47" s="14">
        <f t="shared" si="45"/>
        <v>1651.12</v>
      </c>
      <c r="AC47" s="12"/>
    </row>
    <row r="48" spans="2:29">
      <c r="B48" t="s">
        <v>104</v>
      </c>
      <c r="C48">
        <v>4300</v>
      </c>
      <c r="D48">
        <v>1650.5239999999999</v>
      </c>
      <c r="E48">
        <f t="shared" si="53"/>
        <v>1650.52</v>
      </c>
      <c r="F48">
        <f t="shared" si="56"/>
        <v>1650.4</v>
      </c>
      <c r="G48">
        <f t="shared" si="54"/>
        <v>0.11999999999989086</v>
      </c>
      <c r="H48">
        <v>2E-3</v>
      </c>
      <c r="J48" s="12"/>
      <c r="K48" s="10">
        <f t="shared" si="18"/>
        <v>4300</v>
      </c>
      <c r="L48" s="9">
        <f t="shared" si="2"/>
        <v>0.61</v>
      </c>
      <c r="M48" s="9">
        <f t="shared" ref="M48" si="60">M47</f>
        <v>0.47</v>
      </c>
      <c r="N48" s="9">
        <f t="shared" si="20"/>
        <v>1.45</v>
      </c>
      <c r="O48" s="9">
        <f t="shared" si="21"/>
        <v>1.34</v>
      </c>
      <c r="P48" s="9">
        <f t="shared" si="47"/>
        <v>0.59</v>
      </c>
      <c r="Q48" s="9">
        <f t="shared" si="48"/>
        <v>0.52</v>
      </c>
      <c r="R48" s="9">
        <v>1.4999999999999999E-2</v>
      </c>
      <c r="S48" s="9">
        <f t="shared" si="22"/>
        <v>2E-3</v>
      </c>
      <c r="T48" s="9" t="str">
        <f t="shared" si="23"/>
        <v>1/500</v>
      </c>
      <c r="U48" s="9" t="s">
        <v>519</v>
      </c>
      <c r="V48" s="9">
        <f t="shared" si="30"/>
        <v>0.35</v>
      </c>
      <c r="W48" s="9">
        <f t="shared" si="31"/>
        <v>0.42</v>
      </c>
      <c r="X48" s="9">
        <f t="shared" si="44"/>
        <v>0.21000000000000008</v>
      </c>
      <c r="Y48" s="9">
        <v>0.8</v>
      </c>
      <c r="Z48" s="9">
        <f t="shared" si="24"/>
        <v>1650.52</v>
      </c>
      <c r="AA48" s="9">
        <f t="shared" si="25"/>
        <v>1650.4</v>
      </c>
      <c r="AB48" s="14">
        <f t="shared" si="45"/>
        <v>1650.92</v>
      </c>
      <c r="AC48" s="12"/>
    </row>
    <row r="49" spans="2:29">
      <c r="B49" t="s">
        <v>107</v>
      </c>
      <c r="C49">
        <v>4400</v>
      </c>
      <c r="D49">
        <v>1650.2339999999999</v>
      </c>
      <c r="E49">
        <f t="shared" si="53"/>
        <v>1650.23</v>
      </c>
      <c r="F49">
        <f t="shared" si="56"/>
        <v>1650.2</v>
      </c>
      <c r="G49">
        <f t="shared" si="54"/>
        <v>2.9999999999972715E-2</v>
      </c>
      <c r="H49">
        <v>2E-3</v>
      </c>
      <c r="J49" s="12"/>
      <c r="K49" s="10">
        <f t="shared" si="18"/>
        <v>4400</v>
      </c>
      <c r="L49" s="9">
        <f t="shared" si="2"/>
        <v>0.61</v>
      </c>
      <c r="M49" s="9">
        <f t="shared" ref="M49" si="61">M48</f>
        <v>0.47</v>
      </c>
      <c r="N49" s="9">
        <f t="shared" si="20"/>
        <v>1.45</v>
      </c>
      <c r="O49" s="9">
        <f t="shared" si="21"/>
        <v>1.34</v>
      </c>
      <c r="P49" s="9">
        <f t="shared" si="47"/>
        <v>0.59</v>
      </c>
      <c r="Q49" s="9">
        <f t="shared" si="48"/>
        <v>0.52</v>
      </c>
      <c r="R49" s="9">
        <v>1.4999999999999999E-2</v>
      </c>
      <c r="S49" s="9">
        <f t="shared" si="22"/>
        <v>2E-3</v>
      </c>
      <c r="T49" s="9" t="str">
        <f t="shared" si="23"/>
        <v>1/500</v>
      </c>
      <c r="U49" s="9" t="s">
        <v>519</v>
      </c>
      <c r="V49" s="9">
        <f t="shared" si="30"/>
        <v>0.35</v>
      </c>
      <c r="W49" s="9">
        <f t="shared" si="31"/>
        <v>0.42</v>
      </c>
      <c r="X49" s="9">
        <f t="shared" si="44"/>
        <v>0.21000000000000008</v>
      </c>
      <c r="Y49" s="9">
        <v>0.8</v>
      </c>
      <c r="Z49" s="9">
        <f t="shared" si="24"/>
        <v>1650.23</v>
      </c>
      <c r="AA49" s="9">
        <f t="shared" si="25"/>
        <v>1650.2</v>
      </c>
      <c r="AB49" s="14">
        <f t="shared" si="45"/>
        <v>1650.72</v>
      </c>
      <c r="AC49" s="12"/>
    </row>
    <row r="50" spans="2:29">
      <c r="B50" t="s">
        <v>109</v>
      </c>
      <c r="C50">
        <v>4500</v>
      </c>
      <c r="D50">
        <v>1649.9559999999999</v>
      </c>
      <c r="E50">
        <f t="shared" si="53"/>
        <v>1649.96</v>
      </c>
      <c r="F50">
        <f t="shared" si="56"/>
        <v>1650</v>
      </c>
      <c r="G50">
        <f t="shared" si="54"/>
        <v>-3.999999999996362E-2</v>
      </c>
      <c r="H50">
        <v>2E-3</v>
      </c>
      <c r="J50" s="12"/>
      <c r="K50" s="10">
        <f t="shared" si="18"/>
        <v>4500</v>
      </c>
      <c r="L50" s="9">
        <f t="shared" si="2"/>
        <v>0.61</v>
      </c>
      <c r="M50" s="9">
        <f t="shared" ref="M50" si="62">M49</f>
        <v>0.47</v>
      </c>
      <c r="N50" s="9">
        <f t="shared" si="20"/>
        <v>1.45</v>
      </c>
      <c r="O50" s="9">
        <f t="shared" si="21"/>
        <v>1.34</v>
      </c>
      <c r="P50" s="9">
        <f t="shared" si="47"/>
        <v>0.59</v>
      </c>
      <c r="Q50" s="9">
        <f t="shared" si="48"/>
        <v>0.52</v>
      </c>
      <c r="R50" s="9">
        <v>1.4999999999999999E-2</v>
      </c>
      <c r="S50" s="9">
        <f t="shared" si="22"/>
        <v>2E-3</v>
      </c>
      <c r="T50" s="9" t="str">
        <f t="shared" si="23"/>
        <v>1/500</v>
      </c>
      <c r="U50" s="9" t="s">
        <v>519</v>
      </c>
      <c r="V50" s="9">
        <f t="shared" si="30"/>
        <v>0.35</v>
      </c>
      <c r="W50" s="9">
        <f t="shared" si="31"/>
        <v>0.42</v>
      </c>
      <c r="X50" s="9">
        <f t="shared" si="44"/>
        <v>0.21000000000000008</v>
      </c>
      <c r="Y50" s="9">
        <v>0.8</v>
      </c>
      <c r="Z50" s="9">
        <f t="shared" si="24"/>
        <v>1649.96</v>
      </c>
      <c r="AA50" s="9">
        <f t="shared" si="25"/>
        <v>1650</v>
      </c>
      <c r="AB50" s="14">
        <f t="shared" si="45"/>
        <v>1650.52</v>
      </c>
      <c r="AC50" s="12"/>
    </row>
    <row r="51" spans="2:29">
      <c r="B51" t="s">
        <v>111</v>
      </c>
      <c r="C51">
        <v>4600</v>
      </c>
      <c r="D51">
        <v>1649.883</v>
      </c>
      <c r="E51">
        <f t="shared" si="53"/>
        <v>1649.88</v>
      </c>
      <c r="F51">
        <f t="shared" si="56"/>
        <v>1649.8</v>
      </c>
      <c r="G51">
        <f t="shared" si="54"/>
        <v>8.0000000000154614E-2</v>
      </c>
      <c r="H51">
        <v>2E-3</v>
      </c>
      <c r="J51" s="12"/>
      <c r="K51" s="10">
        <f t="shared" si="18"/>
        <v>4600</v>
      </c>
      <c r="L51" s="9">
        <f t="shared" si="2"/>
        <v>0.61</v>
      </c>
      <c r="M51" s="9">
        <f t="shared" ref="M51" si="63">M50</f>
        <v>0.47</v>
      </c>
      <c r="N51" s="9">
        <f t="shared" si="20"/>
        <v>1.45</v>
      </c>
      <c r="O51" s="9">
        <f t="shared" si="21"/>
        <v>1.34</v>
      </c>
      <c r="P51" s="9">
        <f t="shared" si="47"/>
        <v>0.59</v>
      </c>
      <c r="Q51" s="9">
        <f t="shared" si="48"/>
        <v>0.52</v>
      </c>
      <c r="R51" s="9">
        <v>1.4999999999999999E-2</v>
      </c>
      <c r="S51" s="9">
        <f t="shared" si="22"/>
        <v>2E-3</v>
      </c>
      <c r="T51" s="9" t="str">
        <f t="shared" si="23"/>
        <v>1/500</v>
      </c>
      <c r="U51" s="9" t="s">
        <v>519</v>
      </c>
      <c r="V51" s="9">
        <f t="shared" si="30"/>
        <v>0.35</v>
      </c>
      <c r="W51" s="9">
        <f t="shared" si="31"/>
        <v>0.42</v>
      </c>
      <c r="X51" s="9">
        <f t="shared" si="44"/>
        <v>0.21000000000000008</v>
      </c>
      <c r="Y51" s="9">
        <v>0.8</v>
      </c>
      <c r="Z51" s="9">
        <f t="shared" si="24"/>
        <v>1649.88</v>
      </c>
      <c r="AA51" s="9">
        <f t="shared" si="25"/>
        <v>1649.8</v>
      </c>
      <c r="AB51" s="14">
        <f t="shared" si="45"/>
        <v>1650.32</v>
      </c>
      <c r="AC51" s="12"/>
    </row>
    <row r="52" spans="2:29">
      <c r="B52" t="s">
        <v>113</v>
      </c>
      <c r="C52">
        <v>4700</v>
      </c>
      <c r="D52">
        <v>1649.6590000000001</v>
      </c>
      <c r="E52">
        <f t="shared" si="53"/>
        <v>1649.66</v>
      </c>
      <c r="F52">
        <f t="shared" si="56"/>
        <v>1649.6</v>
      </c>
      <c r="G52">
        <f t="shared" si="54"/>
        <v>6.0000000000172804E-2</v>
      </c>
      <c r="H52">
        <v>2E-3</v>
      </c>
      <c r="J52" s="12" t="s">
        <v>489</v>
      </c>
      <c r="K52" s="10">
        <f t="shared" si="18"/>
        <v>4700</v>
      </c>
      <c r="L52" s="9">
        <f t="shared" si="2"/>
        <v>0.61</v>
      </c>
      <c r="M52" s="9">
        <f t="shared" ref="M52" si="64">M51</f>
        <v>0.47</v>
      </c>
      <c r="N52" s="9">
        <f t="shared" si="20"/>
        <v>1.45</v>
      </c>
      <c r="O52" s="9">
        <f t="shared" si="21"/>
        <v>1.34</v>
      </c>
      <c r="P52" s="9">
        <f t="shared" si="47"/>
        <v>0.59</v>
      </c>
      <c r="Q52" s="9">
        <f t="shared" si="48"/>
        <v>0.52</v>
      </c>
      <c r="R52" s="9">
        <v>1.4999999999999999E-2</v>
      </c>
      <c r="S52" s="9">
        <f t="shared" si="22"/>
        <v>2E-3</v>
      </c>
      <c r="T52" s="9" t="str">
        <f t="shared" si="23"/>
        <v>1/500</v>
      </c>
      <c r="U52" s="9" t="s">
        <v>519</v>
      </c>
      <c r="V52" s="9">
        <f t="shared" si="30"/>
        <v>0.35</v>
      </c>
      <c r="W52" s="9">
        <f t="shared" si="31"/>
        <v>0.42</v>
      </c>
      <c r="X52" s="9">
        <f t="shared" si="44"/>
        <v>0.21000000000000008</v>
      </c>
      <c r="Y52" s="9">
        <v>0.8</v>
      </c>
      <c r="Z52" s="9">
        <f t="shared" si="24"/>
        <v>1649.66</v>
      </c>
      <c r="AA52" s="9">
        <f t="shared" si="25"/>
        <v>1649.6</v>
      </c>
      <c r="AB52" s="14">
        <f t="shared" si="45"/>
        <v>1650.12</v>
      </c>
      <c r="AC52" s="12"/>
    </row>
    <row r="53" spans="2:29">
      <c r="B53" t="s">
        <v>115</v>
      </c>
      <c r="C53">
        <v>4800</v>
      </c>
      <c r="D53">
        <v>1649.329</v>
      </c>
      <c r="E53">
        <f t="shared" si="53"/>
        <v>1649.33</v>
      </c>
      <c r="F53">
        <f t="shared" si="56"/>
        <v>1649.4</v>
      </c>
      <c r="G53">
        <f t="shared" si="54"/>
        <v>-7.0000000000163709E-2</v>
      </c>
      <c r="H53">
        <v>2E-3</v>
      </c>
      <c r="I53">
        <f>0.4/0.185*0.217</f>
        <v>0.46918918918918923</v>
      </c>
      <c r="J53" s="12"/>
      <c r="K53" s="10">
        <f t="shared" si="18"/>
        <v>4800</v>
      </c>
      <c r="L53" s="9">
        <f t="shared" si="2"/>
        <v>0.61</v>
      </c>
      <c r="M53" s="9">
        <f t="shared" ref="M53" si="65">M52</f>
        <v>0.47</v>
      </c>
      <c r="N53" s="9">
        <f t="shared" si="20"/>
        <v>1.45</v>
      </c>
      <c r="O53" s="9">
        <f t="shared" si="21"/>
        <v>1.34</v>
      </c>
      <c r="P53" s="9">
        <f t="shared" si="47"/>
        <v>0.59</v>
      </c>
      <c r="Q53" s="9">
        <f t="shared" si="48"/>
        <v>0.52</v>
      </c>
      <c r="R53" s="9">
        <v>1.4999999999999999E-2</v>
      </c>
      <c r="S53" s="9">
        <f t="shared" si="22"/>
        <v>2E-3</v>
      </c>
      <c r="T53" s="9" t="str">
        <f t="shared" si="23"/>
        <v>1/500</v>
      </c>
      <c r="U53" s="9" t="s">
        <v>519</v>
      </c>
      <c r="V53" s="9">
        <f t="shared" si="30"/>
        <v>0.35</v>
      </c>
      <c r="W53" s="9">
        <f t="shared" si="31"/>
        <v>0.42</v>
      </c>
      <c r="X53" s="9">
        <f t="shared" si="44"/>
        <v>0.21000000000000008</v>
      </c>
      <c r="Y53" s="9">
        <v>0.8</v>
      </c>
      <c r="Z53" s="9">
        <f t="shared" si="24"/>
        <v>1649.33</v>
      </c>
      <c r="AA53" s="9">
        <f t="shared" si="25"/>
        <v>1649.4</v>
      </c>
      <c r="AB53" s="14">
        <f t="shared" si="45"/>
        <v>1649.92</v>
      </c>
      <c r="AC53" s="12"/>
    </row>
    <row r="54" spans="2:29">
      <c r="B54" t="s">
        <v>117</v>
      </c>
      <c r="C54">
        <v>4900</v>
      </c>
      <c r="D54">
        <v>1649.4659999999999</v>
      </c>
      <c r="E54">
        <f t="shared" si="53"/>
        <v>1649.47</v>
      </c>
      <c r="F54">
        <f t="shared" si="56"/>
        <v>1649.2</v>
      </c>
      <c r="G54">
        <f t="shared" si="54"/>
        <v>0.26999999999998181</v>
      </c>
      <c r="H54">
        <v>2E-3</v>
      </c>
      <c r="J54" s="12"/>
      <c r="K54" s="10">
        <f t="shared" si="18"/>
        <v>4900</v>
      </c>
      <c r="L54" s="9">
        <f t="shared" si="2"/>
        <v>0.61</v>
      </c>
      <c r="M54" s="9">
        <f t="shared" ref="M54" si="66">M53</f>
        <v>0.47</v>
      </c>
      <c r="N54" s="9">
        <f t="shared" si="20"/>
        <v>1.45</v>
      </c>
      <c r="O54" s="9">
        <f t="shared" si="21"/>
        <v>1.34</v>
      </c>
      <c r="P54" s="9">
        <f t="shared" si="47"/>
        <v>0.59</v>
      </c>
      <c r="Q54" s="9">
        <f t="shared" si="48"/>
        <v>0.52</v>
      </c>
      <c r="R54" s="9">
        <v>1.4999999999999999E-2</v>
      </c>
      <c r="S54" s="9">
        <f t="shared" si="22"/>
        <v>2E-3</v>
      </c>
      <c r="T54" s="9" t="str">
        <f t="shared" si="23"/>
        <v>1/500</v>
      </c>
      <c r="U54" s="9" t="s">
        <v>519</v>
      </c>
      <c r="V54" s="9">
        <f t="shared" si="30"/>
        <v>0.35</v>
      </c>
      <c r="W54" s="9">
        <f t="shared" si="31"/>
        <v>0.42</v>
      </c>
      <c r="X54" s="9">
        <f t="shared" si="44"/>
        <v>0.21000000000000008</v>
      </c>
      <c r="Y54" s="9">
        <v>0.8</v>
      </c>
      <c r="Z54" s="9">
        <f t="shared" si="24"/>
        <v>1649.47</v>
      </c>
      <c r="AA54" s="9">
        <f t="shared" si="25"/>
        <v>1649.2</v>
      </c>
      <c r="AB54" s="14">
        <f t="shared" si="45"/>
        <v>1649.72</v>
      </c>
      <c r="AC54" s="12"/>
    </row>
    <row r="55" spans="2:29">
      <c r="B55" t="s">
        <v>119</v>
      </c>
      <c r="C55">
        <v>5000</v>
      </c>
      <c r="D55">
        <v>1649.134</v>
      </c>
      <c r="E55">
        <f t="shared" si="53"/>
        <v>1649.13</v>
      </c>
      <c r="F55">
        <f t="shared" si="56"/>
        <v>1649</v>
      </c>
      <c r="G55">
        <f t="shared" si="54"/>
        <v>0.13000000000010914</v>
      </c>
      <c r="H55">
        <v>3.0000000000000001E-3</v>
      </c>
      <c r="J55" s="12"/>
      <c r="K55" s="10">
        <f t="shared" si="18"/>
        <v>5000</v>
      </c>
      <c r="L55" s="9">
        <f t="shared" si="2"/>
        <v>0.61</v>
      </c>
      <c r="M55" s="9">
        <f t="shared" ref="M55" si="67">M54</f>
        <v>0.47</v>
      </c>
      <c r="N55" s="9">
        <f t="shared" si="20"/>
        <v>1.65</v>
      </c>
      <c r="O55" s="9">
        <f t="shared" si="21"/>
        <v>1.57</v>
      </c>
      <c r="P55" s="9">
        <v>0.54</v>
      </c>
      <c r="Q55" s="9">
        <v>0.46</v>
      </c>
      <c r="R55" s="9">
        <v>1.4999999999999999E-2</v>
      </c>
      <c r="S55" s="9">
        <f t="shared" si="22"/>
        <v>3.0000000000000001E-3</v>
      </c>
      <c r="T55" s="9" t="str">
        <f t="shared" si="23"/>
        <v>1/333</v>
      </c>
      <c r="U55" s="9" t="s">
        <v>519</v>
      </c>
      <c r="V55" s="9">
        <v>0.3</v>
      </c>
      <c r="W55" s="9">
        <v>0.37</v>
      </c>
      <c r="X55" s="9">
        <f t="shared" si="44"/>
        <v>0.26</v>
      </c>
      <c r="Y55" s="9">
        <v>0.8</v>
      </c>
      <c r="Z55" s="9">
        <f t="shared" si="24"/>
        <v>1649.13</v>
      </c>
      <c r="AA55" s="9">
        <f t="shared" si="25"/>
        <v>1649</v>
      </c>
      <c r="AB55" s="14">
        <f t="shared" si="45"/>
        <v>1649.46</v>
      </c>
      <c r="AC55" s="12"/>
    </row>
    <row r="56" spans="2:29">
      <c r="B56" t="s">
        <v>122</v>
      </c>
      <c r="C56">
        <v>5100</v>
      </c>
      <c r="D56">
        <v>1648.7280000000001</v>
      </c>
      <c r="E56">
        <f t="shared" si="53"/>
        <v>1648.73</v>
      </c>
      <c r="F56">
        <f t="shared" si="56"/>
        <v>1648.7</v>
      </c>
      <c r="G56">
        <f t="shared" si="54"/>
        <v>2.9999999999972715E-2</v>
      </c>
      <c r="H56">
        <v>3.0000000000000001E-3</v>
      </c>
      <c r="J56" s="12"/>
      <c r="K56" s="10">
        <f t="shared" si="18"/>
        <v>5100</v>
      </c>
      <c r="L56" s="9">
        <f t="shared" si="2"/>
        <v>0.61</v>
      </c>
      <c r="M56" s="9">
        <f t="shared" ref="M56" si="68">M55</f>
        <v>0.47</v>
      </c>
      <c r="N56" s="9">
        <f t="shared" si="20"/>
        <v>1.65</v>
      </c>
      <c r="O56" s="9">
        <f t="shared" si="21"/>
        <v>1.57</v>
      </c>
      <c r="P56" s="9">
        <f t="shared" si="47"/>
        <v>0.54</v>
      </c>
      <c r="Q56" s="9">
        <f t="shared" si="48"/>
        <v>0.46</v>
      </c>
      <c r="R56" s="9">
        <v>1.4999999999999999E-2</v>
      </c>
      <c r="S56" s="9">
        <f t="shared" si="22"/>
        <v>3.0000000000000001E-3</v>
      </c>
      <c r="T56" s="9" t="str">
        <f t="shared" si="23"/>
        <v>1/333</v>
      </c>
      <c r="U56" s="9" t="s">
        <v>519</v>
      </c>
      <c r="V56" s="9">
        <f t="shared" si="30"/>
        <v>0.3</v>
      </c>
      <c r="W56" s="9">
        <f t="shared" si="31"/>
        <v>0.37</v>
      </c>
      <c r="X56" s="9">
        <f t="shared" si="44"/>
        <v>0.26</v>
      </c>
      <c r="Y56" s="9">
        <v>0.8</v>
      </c>
      <c r="Z56" s="9">
        <f t="shared" si="24"/>
        <v>1648.73</v>
      </c>
      <c r="AA56" s="9">
        <f t="shared" si="25"/>
        <v>1648.7</v>
      </c>
      <c r="AB56" s="14">
        <f t="shared" si="45"/>
        <v>1649.16</v>
      </c>
      <c r="AC56" s="12"/>
    </row>
    <row r="57" spans="2:29">
      <c r="B57" t="s">
        <v>124</v>
      </c>
      <c r="C57">
        <v>5200</v>
      </c>
      <c r="D57">
        <v>1648.511</v>
      </c>
      <c r="E57">
        <f t="shared" si="53"/>
        <v>1648.51</v>
      </c>
      <c r="F57">
        <f t="shared" si="56"/>
        <v>1648.4</v>
      </c>
      <c r="G57">
        <f t="shared" si="54"/>
        <v>0.10999999999989996</v>
      </c>
      <c r="H57">
        <v>3.0000000000000001E-3</v>
      </c>
      <c r="J57" s="12"/>
      <c r="K57" s="10">
        <f t="shared" si="18"/>
        <v>5200</v>
      </c>
      <c r="L57" s="9">
        <f t="shared" si="2"/>
        <v>0.61</v>
      </c>
      <c r="M57" s="9">
        <f t="shared" ref="M57" si="69">M56</f>
        <v>0.47</v>
      </c>
      <c r="N57" s="9">
        <f t="shared" si="20"/>
        <v>1.65</v>
      </c>
      <c r="O57" s="9">
        <f t="shared" si="21"/>
        <v>1.57</v>
      </c>
      <c r="P57" s="9">
        <f t="shared" si="47"/>
        <v>0.54</v>
      </c>
      <c r="Q57" s="9">
        <f t="shared" si="48"/>
        <v>0.46</v>
      </c>
      <c r="R57" s="9">
        <v>1.4999999999999999E-2</v>
      </c>
      <c r="S57" s="9">
        <f t="shared" si="22"/>
        <v>3.0000000000000001E-3</v>
      </c>
      <c r="T57" s="9" t="str">
        <f t="shared" si="23"/>
        <v>1/333</v>
      </c>
      <c r="U57" s="9" t="s">
        <v>519</v>
      </c>
      <c r="V57" s="9">
        <f t="shared" si="30"/>
        <v>0.3</v>
      </c>
      <c r="W57" s="9">
        <f t="shared" si="31"/>
        <v>0.37</v>
      </c>
      <c r="X57" s="9">
        <f t="shared" si="44"/>
        <v>0.26</v>
      </c>
      <c r="Y57" s="9">
        <v>0.8</v>
      </c>
      <c r="Z57" s="9">
        <f t="shared" si="24"/>
        <v>1648.51</v>
      </c>
      <c r="AA57" s="9">
        <f t="shared" si="25"/>
        <v>1648.4</v>
      </c>
      <c r="AB57" s="14">
        <f t="shared" si="45"/>
        <v>1648.8600000000001</v>
      </c>
      <c r="AC57" s="12"/>
    </row>
    <row r="58" spans="2:29">
      <c r="B58" t="s">
        <v>127</v>
      </c>
      <c r="C58">
        <v>5300</v>
      </c>
      <c r="D58">
        <v>1648.27</v>
      </c>
      <c r="E58">
        <f t="shared" si="53"/>
        <v>1648.27</v>
      </c>
      <c r="F58">
        <f t="shared" si="56"/>
        <v>1648.1</v>
      </c>
      <c r="G58">
        <f t="shared" si="54"/>
        <v>0.17000000000007276</v>
      </c>
      <c r="H58">
        <v>3.0000000000000001E-3</v>
      </c>
      <c r="J58" s="12"/>
      <c r="K58" s="10">
        <f t="shared" si="18"/>
        <v>5300</v>
      </c>
      <c r="L58" s="9">
        <f t="shared" si="2"/>
        <v>0.61</v>
      </c>
      <c r="M58" s="9">
        <f t="shared" ref="M58" si="70">M57</f>
        <v>0.47</v>
      </c>
      <c r="N58" s="9">
        <f t="shared" si="20"/>
        <v>1.65</v>
      </c>
      <c r="O58" s="9">
        <f t="shared" si="21"/>
        <v>1.57</v>
      </c>
      <c r="P58" s="9">
        <f t="shared" si="47"/>
        <v>0.54</v>
      </c>
      <c r="Q58" s="9">
        <f t="shared" si="48"/>
        <v>0.46</v>
      </c>
      <c r="R58" s="9">
        <v>1.4999999999999999E-2</v>
      </c>
      <c r="S58" s="9">
        <f t="shared" si="22"/>
        <v>3.0000000000000001E-3</v>
      </c>
      <c r="T58" s="9" t="str">
        <f t="shared" si="23"/>
        <v>1/333</v>
      </c>
      <c r="U58" s="9" t="s">
        <v>519</v>
      </c>
      <c r="V58" s="9">
        <f t="shared" si="30"/>
        <v>0.3</v>
      </c>
      <c r="W58" s="9">
        <f t="shared" si="31"/>
        <v>0.37</v>
      </c>
      <c r="X58" s="9">
        <f t="shared" si="44"/>
        <v>0.26</v>
      </c>
      <c r="Y58" s="9">
        <v>0.8</v>
      </c>
      <c r="Z58" s="9">
        <f t="shared" si="24"/>
        <v>1648.27</v>
      </c>
      <c r="AA58" s="9">
        <f t="shared" si="25"/>
        <v>1648.1</v>
      </c>
      <c r="AB58" s="14">
        <f t="shared" si="45"/>
        <v>1648.56</v>
      </c>
      <c r="AC58" s="12"/>
    </row>
    <row r="59" spans="2:29">
      <c r="B59" t="s">
        <v>129</v>
      </c>
      <c r="C59">
        <v>5400</v>
      </c>
      <c r="D59">
        <v>1647.8630000000001</v>
      </c>
      <c r="E59">
        <f t="shared" si="53"/>
        <v>1647.86</v>
      </c>
      <c r="F59">
        <f t="shared" si="56"/>
        <v>1647.8</v>
      </c>
      <c r="G59">
        <f t="shared" si="54"/>
        <v>5.999999999994543E-2</v>
      </c>
      <c r="H59">
        <v>3.0000000000000001E-3</v>
      </c>
      <c r="J59" s="12"/>
      <c r="K59" s="10">
        <f t="shared" si="18"/>
        <v>5400</v>
      </c>
      <c r="L59" s="9">
        <f t="shared" si="2"/>
        <v>0.61</v>
      </c>
      <c r="M59" s="9">
        <f t="shared" ref="M59" si="71">M58</f>
        <v>0.47</v>
      </c>
      <c r="N59" s="9">
        <f t="shared" si="20"/>
        <v>1.65</v>
      </c>
      <c r="O59" s="9">
        <f t="shared" si="21"/>
        <v>1.57</v>
      </c>
      <c r="P59" s="9">
        <f t="shared" si="47"/>
        <v>0.54</v>
      </c>
      <c r="Q59" s="9">
        <f t="shared" si="48"/>
        <v>0.46</v>
      </c>
      <c r="R59" s="9">
        <v>1.4999999999999999E-2</v>
      </c>
      <c r="S59" s="9">
        <f t="shared" si="22"/>
        <v>3.0000000000000001E-3</v>
      </c>
      <c r="T59" s="9" t="str">
        <f t="shared" si="23"/>
        <v>1/333</v>
      </c>
      <c r="U59" s="9" t="s">
        <v>519</v>
      </c>
      <c r="V59" s="9">
        <f t="shared" si="30"/>
        <v>0.3</v>
      </c>
      <c r="W59" s="9">
        <f t="shared" si="31"/>
        <v>0.37</v>
      </c>
      <c r="X59" s="9">
        <f t="shared" si="44"/>
        <v>0.26</v>
      </c>
      <c r="Y59" s="9">
        <v>0.8</v>
      </c>
      <c r="Z59" s="9">
        <f t="shared" si="24"/>
        <v>1647.86</v>
      </c>
      <c r="AA59" s="9">
        <f t="shared" si="25"/>
        <v>1647.8</v>
      </c>
      <c r="AB59" s="14">
        <f t="shared" si="45"/>
        <v>1648.26</v>
      </c>
      <c r="AC59" s="12"/>
    </row>
    <row r="60" spans="2:29">
      <c r="B60" t="s">
        <v>131</v>
      </c>
      <c r="C60">
        <v>5500</v>
      </c>
      <c r="D60">
        <v>1647.624</v>
      </c>
      <c r="E60">
        <f t="shared" si="53"/>
        <v>1647.62</v>
      </c>
      <c r="F60">
        <f t="shared" si="56"/>
        <v>1647.5</v>
      </c>
      <c r="G60">
        <f t="shared" si="54"/>
        <v>0.11999999999989086</v>
      </c>
      <c r="H60">
        <v>3.0000000000000001E-3</v>
      </c>
      <c r="J60" s="12"/>
      <c r="K60" s="10">
        <f t="shared" si="18"/>
        <v>5500</v>
      </c>
      <c r="L60" s="9">
        <f t="shared" si="2"/>
        <v>0.61</v>
      </c>
      <c r="M60" s="9">
        <f t="shared" ref="M60" si="72">M59</f>
        <v>0.47</v>
      </c>
      <c r="N60" s="9">
        <f t="shared" si="20"/>
        <v>1.65</v>
      </c>
      <c r="O60" s="9">
        <f t="shared" si="21"/>
        <v>1.57</v>
      </c>
      <c r="P60" s="9">
        <f t="shared" si="47"/>
        <v>0.54</v>
      </c>
      <c r="Q60" s="9">
        <f t="shared" si="48"/>
        <v>0.46</v>
      </c>
      <c r="R60" s="9">
        <v>1.4999999999999999E-2</v>
      </c>
      <c r="S60" s="9">
        <f t="shared" si="22"/>
        <v>3.0000000000000001E-3</v>
      </c>
      <c r="T60" s="9" t="str">
        <f t="shared" si="23"/>
        <v>1/333</v>
      </c>
      <c r="U60" s="9" t="s">
        <v>519</v>
      </c>
      <c r="V60" s="9">
        <f t="shared" si="30"/>
        <v>0.3</v>
      </c>
      <c r="W60" s="9">
        <f t="shared" si="31"/>
        <v>0.37</v>
      </c>
      <c r="X60" s="9">
        <f t="shared" si="44"/>
        <v>0.26</v>
      </c>
      <c r="Y60" s="9">
        <v>0.8</v>
      </c>
      <c r="Z60" s="9">
        <f t="shared" si="24"/>
        <v>1647.62</v>
      </c>
      <c r="AA60" s="9">
        <f t="shared" si="25"/>
        <v>1647.5</v>
      </c>
      <c r="AB60" s="14">
        <f t="shared" si="45"/>
        <v>1647.96</v>
      </c>
      <c r="AC60" s="12"/>
    </row>
    <row r="61" spans="2:29">
      <c r="B61" t="s">
        <v>133</v>
      </c>
      <c r="C61">
        <v>5600</v>
      </c>
      <c r="D61">
        <v>1647.4480000000001</v>
      </c>
      <c r="E61">
        <f t="shared" si="53"/>
        <v>1647.45</v>
      </c>
      <c r="F61">
        <f t="shared" si="56"/>
        <v>1647.2</v>
      </c>
      <c r="G61">
        <f t="shared" si="54"/>
        <v>0.25</v>
      </c>
      <c r="H61">
        <v>3.0000000000000001E-3</v>
      </c>
      <c r="J61" s="12"/>
      <c r="K61" s="10">
        <f t="shared" si="18"/>
        <v>5600</v>
      </c>
      <c r="L61" s="9">
        <f t="shared" si="2"/>
        <v>0.61</v>
      </c>
      <c r="M61" s="9">
        <f t="shared" ref="M61" si="73">M60</f>
        <v>0.47</v>
      </c>
      <c r="N61" s="9">
        <f t="shared" si="20"/>
        <v>1.65</v>
      </c>
      <c r="O61" s="9">
        <f t="shared" si="21"/>
        <v>1.57</v>
      </c>
      <c r="P61" s="9">
        <f t="shared" si="47"/>
        <v>0.54</v>
      </c>
      <c r="Q61" s="9">
        <f t="shared" si="48"/>
        <v>0.46</v>
      </c>
      <c r="R61" s="9">
        <v>1.4999999999999999E-2</v>
      </c>
      <c r="S61" s="9">
        <f t="shared" si="22"/>
        <v>3.0000000000000001E-3</v>
      </c>
      <c r="T61" s="9" t="str">
        <f t="shared" si="23"/>
        <v>1/333</v>
      </c>
      <c r="U61" s="9" t="s">
        <v>519</v>
      </c>
      <c r="V61" s="9">
        <f t="shared" si="30"/>
        <v>0.3</v>
      </c>
      <c r="W61" s="9">
        <f t="shared" si="31"/>
        <v>0.37</v>
      </c>
      <c r="X61" s="9">
        <f t="shared" si="44"/>
        <v>0.26</v>
      </c>
      <c r="Y61" s="9">
        <v>0.8</v>
      </c>
      <c r="Z61" s="9">
        <f t="shared" si="24"/>
        <v>1647.45</v>
      </c>
      <c r="AA61" s="9">
        <f t="shared" si="25"/>
        <v>1647.2</v>
      </c>
      <c r="AB61" s="14">
        <f t="shared" si="45"/>
        <v>1647.66</v>
      </c>
      <c r="AC61" s="12"/>
    </row>
    <row r="62" spans="2:29">
      <c r="B62" t="s">
        <v>135</v>
      </c>
      <c r="C62">
        <v>5700</v>
      </c>
      <c r="D62">
        <v>1647.3879999999999</v>
      </c>
      <c r="E62">
        <f t="shared" si="53"/>
        <v>1647.39</v>
      </c>
      <c r="F62">
        <f t="shared" si="56"/>
        <v>1646.9</v>
      </c>
      <c r="G62">
        <f t="shared" si="54"/>
        <v>0.49000000000000909</v>
      </c>
      <c r="H62">
        <v>3.0000000000000001E-3</v>
      </c>
      <c r="J62" s="12" t="s">
        <v>490</v>
      </c>
      <c r="K62" s="10">
        <f t="shared" si="18"/>
        <v>5700</v>
      </c>
      <c r="L62" s="9">
        <f t="shared" si="2"/>
        <v>0.61</v>
      </c>
      <c r="M62" s="9">
        <f t="shared" ref="M62" si="74">M61</f>
        <v>0.47</v>
      </c>
      <c r="N62" s="9">
        <f t="shared" si="20"/>
        <v>1.65</v>
      </c>
      <c r="O62" s="9">
        <f t="shared" si="21"/>
        <v>1.57</v>
      </c>
      <c r="P62" s="9">
        <f t="shared" si="47"/>
        <v>0.54</v>
      </c>
      <c r="Q62" s="9">
        <f t="shared" si="48"/>
        <v>0.46</v>
      </c>
      <c r="R62" s="9">
        <v>1.4999999999999999E-2</v>
      </c>
      <c r="S62" s="9">
        <f t="shared" si="22"/>
        <v>3.0000000000000001E-3</v>
      </c>
      <c r="T62" s="9" t="str">
        <f t="shared" si="23"/>
        <v>1/333</v>
      </c>
      <c r="U62" s="9" t="s">
        <v>519</v>
      </c>
      <c r="V62" s="9">
        <f t="shared" si="30"/>
        <v>0.3</v>
      </c>
      <c r="W62" s="9">
        <f t="shared" si="31"/>
        <v>0.37</v>
      </c>
      <c r="X62" s="9">
        <f t="shared" si="44"/>
        <v>0.26</v>
      </c>
      <c r="Y62" s="9">
        <v>0.8</v>
      </c>
      <c r="Z62" s="9">
        <f t="shared" si="24"/>
        <v>1647.39</v>
      </c>
      <c r="AA62" s="9">
        <f t="shared" si="25"/>
        <v>1646.9</v>
      </c>
      <c r="AB62" s="14">
        <f t="shared" si="45"/>
        <v>1647.3600000000001</v>
      </c>
      <c r="AC62" s="12"/>
    </row>
    <row r="63" spans="2:29">
      <c r="B63" t="s">
        <v>137</v>
      </c>
      <c r="C63">
        <v>5800</v>
      </c>
      <c r="D63">
        <v>1647.0250000000001</v>
      </c>
      <c r="E63">
        <f t="shared" si="53"/>
        <v>1647.03</v>
      </c>
      <c r="F63">
        <f t="shared" si="56"/>
        <v>1646.6</v>
      </c>
      <c r="G63">
        <f t="shared" si="54"/>
        <v>0.43000000000006366</v>
      </c>
      <c r="H63">
        <v>3.0000000000000001E-3</v>
      </c>
      <c r="J63" s="12"/>
      <c r="K63" s="10">
        <f t="shared" si="18"/>
        <v>5800</v>
      </c>
      <c r="L63" s="9">
        <f t="shared" si="2"/>
        <v>0.61</v>
      </c>
      <c r="M63" s="9">
        <f t="shared" ref="M63" si="75">M62</f>
        <v>0.47</v>
      </c>
      <c r="N63" s="9">
        <f t="shared" si="20"/>
        <v>1.65</v>
      </c>
      <c r="O63" s="9">
        <f t="shared" si="21"/>
        <v>1.57</v>
      </c>
      <c r="P63" s="9">
        <f t="shared" si="47"/>
        <v>0.54</v>
      </c>
      <c r="Q63" s="9">
        <f t="shared" si="48"/>
        <v>0.46</v>
      </c>
      <c r="R63" s="9">
        <v>1.4999999999999999E-2</v>
      </c>
      <c r="S63" s="9">
        <f t="shared" si="22"/>
        <v>3.0000000000000001E-3</v>
      </c>
      <c r="T63" s="9" t="str">
        <f t="shared" si="23"/>
        <v>1/333</v>
      </c>
      <c r="U63" s="9" t="s">
        <v>519</v>
      </c>
      <c r="V63" s="9">
        <f t="shared" si="30"/>
        <v>0.3</v>
      </c>
      <c r="W63" s="9">
        <f t="shared" si="31"/>
        <v>0.37</v>
      </c>
      <c r="X63" s="9">
        <f t="shared" si="44"/>
        <v>0.26</v>
      </c>
      <c r="Y63" s="9">
        <v>0.8</v>
      </c>
      <c r="Z63" s="9">
        <f t="shared" si="24"/>
        <v>1647.03</v>
      </c>
      <c r="AA63" s="9">
        <f t="shared" si="25"/>
        <v>1646.6</v>
      </c>
      <c r="AB63" s="14">
        <f t="shared" si="45"/>
        <v>1647.06</v>
      </c>
      <c r="AC63" s="12"/>
    </row>
    <row r="64" spans="2:29">
      <c r="B64" t="s">
        <v>139</v>
      </c>
      <c r="C64">
        <v>5900</v>
      </c>
      <c r="D64">
        <v>1646.5740000000001</v>
      </c>
      <c r="E64">
        <f t="shared" si="53"/>
        <v>1646.57</v>
      </c>
      <c r="F64">
        <f t="shared" si="56"/>
        <v>1646.3</v>
      </c>
      <c r="G64">
        <f t="shared" si="54"/>
        <v>0.26999999999998181</v>
      </c>
      <c r="H64">
        <v>1E-3</v>
      </c>
      <c r="J64" s="12"/>
      <c r="K64" s="10">
        <f t="shared" si="18"/>
        <v>5900</v>
      </c>
      <c r="L64" s="9">
        <f t="shared" si="2"/>
        <v>0.61</v>
      </c>
      <c r="M64" s="9">
        <f t="shared" ref="M64" si="76">M63</f>
        <v>0.47</v>
      </c>
      <c r="N64" s="9">
        <f t="shared" si="20"/>
        <v>1.65</v>
      </c>
      <c r="O64" s="9">
        <f t="shared" si="21"/>
        <v>1.52</v>
      </c>
      <c r="P64" s="9">
        <v>0.56000000000000005</v>
      </c>
      <c r="Q64" s="9">
        <v>0.48</v>
      </c>
      <c r="R64" s="9">
        <v>1.4999999999999999E-2</v>
      </c>
      <c r="S64" s="9">
        <f t="shared" si="22"/>
        <v>1E-3</v>
      </c>
      <c r="T64" s="9" t="str">
        <f t="shared" si="23"/>
        <v>1/1000</v>
      </c>
      <c r="U64" s="9" t="s">
        <v>519</v>
      </c>
      <c r="V64" s="9">
        <v>0.31</v>
      </c>
      <c r="W64" s="9">
        <f t="shared" si="31"/>
        <v>0.37</v>
      </c>
      <c r="X64" s="9">
        <f t="shared" si="44"/>
        <v>0.24</v>
      </c>
      <c r="Y64" s="9">
        <v>0.8</v>
      </c>
      <c r="Z64" s="9">
        <f t="shared" si="24"/>
        <v>1646.57</v>
      </c>
      <c r="AA64" s="9">
        <f t="shared" si="25"/>
        <v>1646.3</v>
      </c>
      <c r="AB64" s="14">
        <f t="shared" si="45"/>
        <v>1646.78</v>
      </c>
      <c r="AC64" s="12"/>
    </row>
    <row r="65" spans="2:29">
      <c r="B65" t="s">
        <v>141</v>
      </c>
      <c r="C65">
        <v>6000</v>
      </c>
      <c r="D65">
        <v>1646.2249999999999</v>
      </c>
      <c r="E65">
        <f t="shared" si="53"/>
        <v>1646.23</v>
      </c>
      <c r="F65">
        <f t="shared" si="56"/>
        <v>1646.2</v>
      </c>
      <c r="G65">
        <f t="shared" si="54"/>
        <v>2.9999999999972715E-2</v>
      </c>
      <c r="H65">
        <v>1E-3</v>
      </c>
      <c r="J65" s="12"/>
      <c r="K65" s="10">
        <f t="shared" si="18"/>
        <v>6000</v>
      </c>
      <c r="L65" s="9">
        <f t="shared" si="2"/>
        <v>0.61</v>
      </c>
      <c r="M65" s="9">
        <f t="shared" ref="M65" si="77">M64</f>
        <v>0.47</v>
      </c>
      <c r="N65" s="9">
        <f t="shared" si="20"/>
        <v>1.65</v>
      </c>
      <c r="O65" s="9">
        <f t="shared" si="21"/>
        <v>1.52</v>
      </c>
      <c r="P65" s="9">
        <f t="shared" si="47"/>
        <v>0.56000000000000005</v>
      </c>
      <c r="Q65" s="9">
        <f t="shared" si="48"/>
        <v>0.48</v>
      </c>
      <c r="R65" s="9">
        <v>1.4999999999999999E-2</v>
      </c>
      <c r="S65" s="9">
        <f t="shared" si="22"/>
        <v>1E-3</v>
      </c>
      <c r="T65" s="9" t="str">
        <f t="shared" si="23"/>
        <v>1/1000</v>
      </c>
      <c r="U65" s="9" t="s">
        <v>519</v>
      </c>
      <c r="V65" s="9">
        <f t="shared" si="30"/>
        <v>0.31</v>
      </c>
      <c r="W65" s="9">
        <f t="shared" si="31"/>
        <v>0.37</v>
      </c>
      <c r="X65" s="9">
        <f t="shared" si="44"/>
        <v>0.24</v>
      </c>
      <c r="Y65" s="9">
        <v>0.8</v>
      </c>
      <c r="Z65" s="9">
        <f t="shared" si="24"/>
        <v>1646.23</v>
      </c>
      <c r="AA65" s="9">
        <f t="shared" si="25"/>
        <v>1646.2</v>
      </c>
      <c r="AB65" s="14">
        <f t="shared" si="45"/>
        <v>1646.68</v>
      </c>
      <c r="AC65" s="12"/>
    </row>
    <row r="66" spans="2:29">
      <c r="B66" t="s">
        <v>143</v>
      </c>
      <c r="C66">
        <v>6100</v>
      </c>
      <c r="D66">
        <v>1646.1120000000001</v>
      </c>
      <c r="E66">
        <f t="shared" si="53"/>
        <v>1646.11</v>
      </c>
      <c r="F66">
        <f t="shared" si="56"/>
        <v>1646.1</v>
      </c>
      <c r="G66">
        <f t="shared" si="54"/>
        <v>9.9999999999909051E-3</v>
      </c>
      <c r="H66">
        <v>1E-3</v>
      </c>
      <c r="J66" s="12"/>
      <c r="K66" s="10">
        <f t="shared" ref="K66:K67" si="78">C66</f>
        <v>6100</v>
      </c>
      <c r="L66" s="9">
        <f t="shared" si="2"/>
        <v>0.61</v>
      </c>
      <c r="M66" s="9">
        <f t="shared" ref="M66" si="79">M65</f>
        <v>0.47</v>
      </c>
      <c r="N66" s="9">
        <f t="shared" ref="N66:N67" si="80">ROUND(L66/W66,2)</f>
        <v>1.65</v>
      </c>
      <c r="O66" s="9">
        <f t="shared" ref="O66:O67" si="81">ROUND(M66/V66,2)</f>
        <v>1.52</v>
      </c>
      <c r="P66" s="9">
        <f t="shared" si="47"/>
        <v>0.56000000000000005</v>
      </c>
      <c r="Q66" s="9">
        <f t="shared" si="48"/>
        <v>0.48</v>
      </c>
      <c r="R66" s="9">
        <v>1.4999999999999999E-2</v>
      </c>
      <c r="S66" s="9">
        <f t="shared" ref="S66:S67" si="82">H66</f>
        <v>1E-3</v>
      </c>
      <c r="T66" s="9" t="str">
        <f t="shared" ref="T66:T67" si="83">"1/"&amp;ROUND(1/S66,0)</f>
        <v>1/1000</v>
      </c>
      <c r="U66" s="9" t="s">
        <v>519</v>
      </c>
      <c r="V66" s="9">
        <f t="shared" si="30"/>
        <v>0.31</v>
      </c>
      <c r="W66" s="9">
        <f t="shared" si="31"/>
        <v>0.37</v>
      </c>
      <c r="X66" s="9">
        <f t="shared" si="44"/>
        <v>0.24</v>
      </c>
      <c r="Y66" s="9">
        <v>0.8</v>
      </c>
      <c r="Z66" s="9">
        <f t="shared" ref="Z66:Z67" si="84">E66</f>
        <v>1646.11</v>
      </c>
      <c r="AA66" s="9">
        <f t="shared" ref="AA66:AA67" si="85">F66</f>
        <v>1646.1</v>
      </c>
      <c r="AB66" s="14">
        <f t="shared" si="45"/>
        <v>1646.58</v>
      </c>
      <c r="AC66" s="12"/>
    </row>
    <row r="67" spans="2:29">
      <c r="B67" t="s">
        <v>145</v>
      </c>
      <c r="C67">
        <v>6197</v>
      </c>
      <c r="D67">
        <v>1646.1220000000001</v>
      </c>
      <c r="E67">
        <f t="shared" si="53"/>
        <v>1646.12</v>
      </c>
      <c r="F67">
        <f t="shared" si="56"/>
        <v>1646</v>
      </c>
      <c r="G67">
        <f t="shared" si="54"/>
        <v>0.11999999999989086</v>
      </c>
      <c r="H67">
        <v>1E-3</v>
      </c>
      <c r="J67" s="12"/>
      <c r="K67" s="10">
        <f t="shared" si="78"/>
        <v>6197</v>
      </c>
      <c r="L67" s="9">
        <f t="shared" si="2"/>
        <v>0.61</v>
      </c>
      <c r="M67" s="9">
        <f t="shared" ref="M67:M77" si="86">M66</f>
        <v>0.47</v>
      </c>
      <c r="N67" s="9">
        <f t="shared" si="80"/>
        <v>1.65</v>
      </c>
      <c r="O67" s="9">
        <f t="shared" si="81"/>
        <v>1.52</v>
      </c>
      <c r="P67" s="9">
        <f t="shared" si="47"/>
        <v>0.56000000000000005</v>
      </c>
      <c r="Q67" s="9">
        <f t="shared" si="48"/>
        <v>0.48</v>
      </c>
      <c r="R67" s="9">
        <v>1.4999999999999999E-2</v>
      </c>
      <c r="S67" s="9">
        <f t="shared" si="82"/>
        <v>1E-3</v>
      </c>
      <c r="T67" s="9" t="str">
        <f t="shared" si="83"/>
        <v>1/1000</v>
      </c>
      <c r="U67" s="9" t="s">
        <v>519</v>
      </c>
      <c r="V67" s="9">
        <f t="shared" si="30"/>
        <v>0.31</v>
      </c>
      <c r="W67" s="9">
        <f t="shared" si="31"/>
        <v>0.37</v>
      </c>
      <c r="X67" s="9">
        <f t="shared" si="44"/>
        <v>0.24</v>
      </c>
      <c r="Y67" s="9">
        <v>0.8</v>
      </c>
      <c r="Z67" s="9">
        <f t="shared" si="84"/>
        <v>1646.12</v>
      </c>
      <c r="AA67" s="9">
        <f t="shared" si="85"/>
        <v>1646</v>
      </c>
      <c r="AB67" s="14">
        <f t="shared" si="45"/>
        <v>1646.48</v>
      </c>
      <c r="AC67" s="12"/>
    </row>
    <row r="68" spans="2:29">
      <c r="B68" s="10">
        <v>6300</v>
      </c>
      <c r="C68" s="10">
        <v>6300</v>
      </c>
      <c r="E68">
        <v>1646.31</v>
      </c>
      <c r="F68">
        <f t="shared" si="56"/>
        <v>1645.9</v>
      </c>
      <c r="G68">
        <f t="shared" si="54"/>
        <v>0.40999999999985448</v>
      </c>
      <c r="H68">
        <v>1E-3</v>
      </c>
      <c r="K68" s="31">
        <f t="shared" ref="K68:K77" si="87">C68</f>
        <v>6300</v>
      </c>
      <c r="L68" s="32">
        <f t="shared" ref="L68:L77" si="88">ROUND(M68*1.3,2)</f>
        <v>0.61</v>
      </c>
      <c r="M68" s="32">
        <f t="shared" si="86"/>
        <v>0.47</v>
      </c>
      <c r="N68" s="32">
        <f t="shared" ref="N68:N77" si="89">ROUND(L68/W68,2)</f>
        <v>1.65</v>
      </c>
      <c r="O68" s="32">
        <f t="shared" ref="O68:O77" si="90">ROUND(M68/V68,2)</f>
        <v>1.52</v>
      </c>
      <c r="P68" s="32">
        <f t="shared" si="47"/>
        <v>0.56000000000000005</v>
      </c>
      <c r="Q68" s="32">
        <f t="shared" si="48"/>
        <v>0.48</v>
      </c>
      <c r="R68" s="32">
        <v>1.0149999999999999</v>
      </c>
      <c r="S68" s="32">
        <f t="shared" ref="S68:S77" si="91">H68</f>
        <v>1E-3</v>
      </c>
      <c r="T68" s="32" t="str">
        <f t="shared" ref="T68:T77" si="92">"1/"&amp;ROUND(1/S68,0)</f>
        <v>1/1000</v>
      </c>
      <c r="U68" s="9" t="s">
        <v>519</v>
      </c>
      <c r="V68" s="32">
        <f>V67</f>
        <v>0.31</v>
      </c>
      <c r="W68" s="32">
        <f>W67</f>
        <v>0.37</v>
      </c>
      <c r="X68" s="32">
        <f t="shared" ref="X68:X77" si="93">Y68-P68</f>
        <v>0.24</v>
      </c>
      <c r="Y68" s="32">
        <v>0.8</v>
      </c>
      <c r="Z68" s="32">
        <f t="shared" ref="Z68:Z77" si="94">E68</f>
        <v>1646.31</v>
      </c>
      <c r="AA68" s="32">
        <f t="shared" ref="AA68:AA77" si="95">F68</f>
        <v>1645.9</v>
      </c>
      <c r="AB68" s="33">
        <f t="shared" ref="AB68:AB77" si="96">AA68+Q68</f>
        <v>1646.38</v>
      </c>
    </row>
    <row r="69" spans="2:29">
      <c r="B69" s="10">
        <v>6400</v>
      </c>
      <c r="C69" s="10">
        <v>6400</v>
      </c>
      <c r="E69">
        <v>1646.19</v>
      </c>
      <c r="F69">
        <f t="shared" si="56"/>
        <v>1645.8</v>
      </c>
      <c r="G69">
        <f t="shared" si="54"/>
        <v>0.39000000000010004</v>
      </c>
      <c r="H69">
        <v>1E-3</v>
      </c>
      <c r="K69" s="31">
        <f t="shared" si="87"/>
        <v>6400</v>
      </c>
      <c r="L69" s="32">
        <f t="shared" si="88"/>
        <v>0.61</v>
      </c>
      <c r="M69" s="32">
        <f t="shared" si="86"/>
        <v>0.47</v>
      </c>
      <c r="N69" s="32">
        <f t="shared" si="89"/>
        <v>1.65</v>
      </c>
      <c r="O69" s="32">
        <f t="shared" si="90"/>
        <v>1.52</v>
      </c>
      <c r="P69" s="32">
        <f t="shared" si="47"/>
        <v>0.56000000000000005</v>
      </c>
      <c r="Q69" s="32">
        <f t="shared" si="48"/>
        <v>0.48</v>
      </c>
      <c r="R69" s="32">
        <v>2.0150000000000001</v>
      </c>
      <c r="S69" s="32">
        <f t="shared" si="91"/>
        <v>1E-3</v>
      </c>
      <c r="T69" s="32" t="str">
        <f t="shared" si="92"/>
        <v>1/1000</v>
      </c>
      <c r="U69" s="9" t="s">
        <v>519</v>
      </c>
      <c r="V69" s="32">
        <f t="shared" si="30"/>
        <v>0.31</v>
      </c>
      <c r="W69" s="32">
        <f t="shared" si="31"/>
        <v>0.37</v>
      </c>
      <c r="X69" s="32">
        <f t="shared" si="93"/>
        <v>0.24</v>
      </c>
      <c r="Y69" s="32">
        <v>0.8</v>
      </c>
      <c r="Z69" s="32">
        <f t="shared" si="94"/>
        <v>1646.19</v>
      </c>
      <c r="AA69" s="32">
        <f t="shared" si="95"/>
        <v>1645.8</v>
      </c>
      <c r="AB69" s="33">
        <f t="shared" si="96"/>
        <v>1646.28</v>
      </c>
    </row>
    <row r="70" spans="2:29">
      <c r="B70" s="10">
        <v>6500</v>
      </c>
      <c r="C70" s="10">
        <v>6500</v>
      </c>
      <c r="E70">
        <v>1646.14</v>
      </c>
      <c r="F70">
        <f t="shared" si="56"/>
        <v>1645.7</v>
      </c>
      <c r="G70">
        <f t="shared" si="54"/>
        <v>0.44000000000005457</v>
      </c>
      <c r="H70">
        <v>1E-3</v>
      </c>
      <c r="K70" s="31">
        <f t="shared" si="87"/>
        <v>6500</v>
      </c>
      <c r="L70" s="32">
        <f t="shared" si="88"/>
        <v>0.61</v>
      </c>
      <c r="M70" s="32">
        <f t="shared" si="86"/>
        <v>0.47</v>
      </c>
      <c r="N70" s="32">
        <f t="shared" si="89"/>
        <v>1.65</v>
      </c>
      <c r="O70" s="32">
        <f t="shared" si="90"/>
        <v>1.52</v>
      </c>
      <c r="P70" s="32">
        <f t="shared" si="47"/>
        <v>0.56000000000000005</v>
      </c>
      <c r="Q70" s="32">
        <f t="shared" si="48"/>
        <v>0.48</v>
      </c>
      <c r="R70" s="32">
        <v>3.0150000000000001</v>
      </c>
      <c r="S70" s="32">
        <f t="shared" si="91"/>
        <v>1E-3</v>
      </c>
      <c r="T70" s="32" t="str">
        <f t="shared" si="92"/>
        <v>1/1000</v>
      </c>
      <c r="U70" s="9" t="s">
        <v>519</v>
      </c>
      <c r="V70" s="32">
        <f t="shared" si="30"/>
        <v>0.31</v>
      </c>
      <c r="W70" s="32">
        <f t="shared" si="31"/>
        <v>0.37</v>
      </c>
      <c r="X70" s="32">
        <f t="shared" si="93"/>
        <v>0.24</v>
      </c>
      <c r="Y70" s="32">
        <v>0.8</v>
      </c>
      <c r="Z70" s="32">
        <f t="shared" si="94"/>
        <v>1646.14</v>
      </c>
      <c r="AA70" s="32">
        <f t="shared" si="95"/>
        <v>1645.7</v>
      </c>
      <c r="AB70" s="33">
        <f t="shared" si="96"/>
        <v>1646.18</v>
      </c>
    </row>
    <row r="71" spans="2:29">
      <c r="B71" s="10">
        <v>6600</v>
      </c>
      <c r="C71" s="10">
        <v>6600</v>
      </c>
      <c r="E71">
        <v>1646.01</v>
      </c>
      <c r="F71">
        <f t="shared" si="56"/>
        <v>1645.6</v>
      </c>
      <c r="G71">
        <f t="shared" si="54"/>
        <v>0.41000000000008185</v>
      </c>
      <c r="H71">
        <v>1E-3</v>
      </c>
      <c r="K71" s="31">
        <f t="shared" si="87"/>
        <v>6600</v>
      </c>
      <c r="L71" s="32">
        <f t="shared" si="88"/>
        <v>0.61</v>
      </c>
      <c r="M71" s="32">
        <f t="shared" si="86"/>
        <v>0.47</v>
      </c>
      <c r="N71" s="32">
        <f t="shared" si="89"/>
        <v>1.65</v>
      </c>
      <c r="O71" s="32">
        <f t="shared" si="90"/>
        <v>1.52</v>
      </c>
      <c r="P71" s="32">
        <f t="shared" si="47"/>
        <v>0.56000000000000005</v>
      </c>
      <c r="Q71" s="32">
        <f t="shared" si="48"/>
        <v>0.48</v>
      </c>
      <c r="R71" s="32">
        <v>4.0149999999999997</v>
      </c>
      <c r="S71" s="32">
        <f t="shared" si="91"/>
        <v>1E-3</v>
      </c>
      <c r="T71" s="32" t="str">
        <f t="shared" si="92"/>
        <v>1/1000</v>
      </c>
      <c r="U71" s="9" t="s">
        <v>519</v>
      </c>
      <c r="V71" s="32">
        <f t="shared" si="30"/>
        <v>0.31</v>
      </c>
      <c r="W71" s="32">
        <f t="shared" si="31"/>
        <v>0.37</v>
      </c>
      <c r="X71" s="32">
        <f t="shared" si="93"/>
        <v>0.24</v>
      </c>
      <c r="Y71" s="32">
        <v>0.8</v>
      </c>
      <c r="Z71" s="32">
        <f t="shared" si="94"/>
        <v>1646.01</v>
      </c>
      <c r="AA71" s="32">
        <f t="shared" si="95"/>
        <v>1645.6</v>
      </c>
      <c r="AB71" s="33">
        <f t="shared" si="96"/>
        <v>1646.08</v>
      </c>
    </row>
    <row r="72" spans="2:29">
      <c r="B72" s="10">
        <v>6700</v>
      </c>
      <c r="C72" s="10">
        <v>6700</v>
      </c>
      <c r="E72">
        <v>1645.46</v>
      </c>
      <c r="F72">
        <f t="shared" si="56"/>
        <v>1645.5</v>
      </c>
      <c r="G72">
        <f t="shared" si="54"/>
        <v>-3.999999999996362E-2</v>
      </c>
      <c r="H72">
        <v>1E-3</v>
      </c>
      <c r="K72" s="31">
        <f t="shared" si="87"/>
        <v>6700</v>
      </c>
      <c r="L72" s="32">
        <f t="shared" si="88"/>
        <v>0.61</v>
      </c>
      <c r="M72" s="32">
        <f t="shared" si="86"/>
        <v>0.47</v>
      </c>
      <c r="N72" s="32">
        <f t="shared" si="89"/>
        <v>1.65</v>
      </c>
      <c r="O72" s="32">
        <f t="shared" si="90"/>
        <v>1.52</v>
      </c>
      <c r="P72" s="32">
        <f t="shared" si="47"/>
        <v>0.56000000000000005</v>
      </c>
      <c r="Q72" s="32">
        <f t="shared" si="48"/>
        <v>0.48</v>
      </c>
      <c r="R72" s="32">
        <v>5.0149999999999997</v>
      </c>
      <c r="S72" s="32">
        <f t="shared" si="91"/>
        <v>1E-3</v>
      </c>
      <c r="T72" s="32" t="str">
        <f t="shared" si="92"/>
        <v>1/1000</v>
      </c>
      <c r="U72" s="9" t="s">
        <v>519</v>
      </c>
      <c r="V72" s="32">
        <f t="shared" si="30"/>
        <v>0.31</v>
      </c>
      <c r="W72" s="32">
        <f t="shared" si="31"/>
        <v>0.37</v>
      </c>
      <c r="X72" s="32">
        <f t="shared" si="93"/>
        <v>0.24</v>
      </c>
      <c r="Y72" s="32">
        <v>0.8</v>
      </c>
      <c r="Z72" s="32">
        <f t="shared" si="94"/>
        <v>1645.46</v>
      </c>
      <c r="AA72" s="32">
        <f t="shared" si="95"/>
        <v>1645.5</v>
      </c>
      <c r="AB72" s="33">
        <f t="shared" si="96"/>
        <v>1645.98</v>
      </c>
    </row>
    <row r="73" spans="2:29">
      <c r="B73" s="10">
        <v>6800</v>
      </c>
      <c r="C73" s="10">
        <v>6800</v>
      </c>
      <c r="E73">
        <v>1645.26</v>
      </c>
      <c r="F73">
        <f t="shared" si="56"/>
        <v>1645.4</v>
      </c>
      <c r="G73">
        <f t="shared" si="54"/>
        <v>-0.14000000000010004</v>
      </c>
      <c r="H73">
        <v>1E-3</v>
      </c>
      <c r="K73" s="31">
        <f t="shared" si="87"/>
        <v>6800</v>
      </c>
      <c r="L73" s="32">
        <f t="shared" si="88"/>
        <v>0.61</v>
      </c>
      <c r="M73" s="32">
        <f t="shared" si="86"/>
        <v>0.47</v>
      </c>
      <c r="N73" s="32">
        <f t="shared" si="89"/>
        <v>1.65</v>
      </c>
      <c r="O73" s="32">
        <f t="shared" si="90"/>
        <v>1.52</v>
      </c>
      <c r="P73" s="32">
        <f t="shared" si="47"/>
        <v>0.56000000000000005</v>
      </c>
      <c r="Q73" s="32">
        <f t="shared" si="48"/>
        <v>0.48</v>
      </c>
      <c r="R73" s="32">
        <v>6.0149999999999997</v>
      </c>
      <c r="S73" s="32">
        <f t="shared" si="91"/>
        <v>1E-3</v>
      </c>
      <c r="T73" s="32" t="str">
        <f t="shared" si="92"/>
        <v>1/1000</v>
      </c>
      <c r="U73" s="9" t="s">
        <v>519</v>
      </c>
      <c r="V73" s="32">
        <f t="shared" si="30"/>
        <v>0.31</v>
      </c>
      <c r="W73" s="32">
        <f t="shared" si="31"/>
        <v>0.37</v>
      </c>
      <c r="X73" s="32">
        <f t="shared" si="93"/>
        <v>0.24</v>
      </c>
      <c r="Y73" s="32">
        <v>0.8</v>
      </c>
      <c r="Z73" s="32">
        <f t="shared" si="94"/>
        <v>1645.26</v>
      </c>
      <c r="AA73" s="32">
        <f t="shared" si="95"/>
        <v>1645.4</v>
      </c>
      <c r="AB73" s="33">
        <f t="shared" si="96"/>
        <v>1645.88</v>
      </c>
    </row>
    <row r="74" spans="2:29">
      <c r="B74" s="10">
        <v>6900</v>
      </c>
      <c r="C74" s="10">
        <v>6900</v>
      </c>
      <c r="E74">
        <v>1645.49</v>
      </c>
      <c r="F74">
        <f t="shared" si="56"/>
        <v>1645.3</v>
      </c>
      <c r="G74">
        <f t="shared" si="54"/>
        <v>0.19000000000005457</v>
      </c>
      <c r="H74">
        <v>1E-3</v>
      </c>
      <c r="K74" s="31">
        <f t="shared" si="87"/>
        <v>6900</v>
      </c>
      <c r="L74" s="32">
        <f t="shared" si="88"/>
        <v>0.61</v>
      </c>
      <c r="M74" s="32">
        <f t="shared" si="86"/>
        <v>0.47</v>
      </c>
      <c r="N74" s="32">
        <f t="shared" si="89"/>
        <v>1.65</v>
      </c>
      <c r="O74" s="32">
        <f t="shared" si="90"/>
        <v>1.52</v>
      </c>
      <c r="P74" s="32">
        <f t="shared" si="47"/>
        <v>0.56000000000000005</v>
      </c>
      <c r="Q74" s="32">
        <f t="shared" si="48"/>
        <v>0.48</v>
      </c>
      <c r="R74" s="32">
        <v>7.0149999999999997</v>
      </c>
      <c r="S74" s="32">
        <f t="shared" si="91"/>
        <v>1E-3</v>
      </c>
      <c r="T74" s="32" t="str">
        <f t="shared" si="92"/>
        <v>1/1000</v>
      </c>
      <c r="U74" s="9" t="s">
        <v>519</v>
      </c>
      <c r="V74" s="32">
        <f t="shared" si="30"/>
        <v>0.31</v>
      </c>
      <c r="W74" s="32">
        <f t="shared" si="31"/>
        <v>0.37</v>
      </c>
      <c r="X74" s="32">
        <f t="shared" si="93"/>
        <v>0.24</v>
      </c>
      <c r="Y74" s="32">
        <v>0.8</v>
      </c>
      <c r="Z74" s="32">
        <f t="shared" si="94"/>
        <v>1645.49</v>
      </c>
      <c r="AA74" s="32">
        <f t="shared" si="95"/>
        <v>1645.3</v>
      </c>
      <c r="AB74" s="33">
        <f t="shared" si="96"/>
        <v>1645.78</v>
      </c>
    </row>
    <row r="75" spans="2:29">
      <c r="B75" s="10">
        <v>7000</v>
      </c>
      <c r="C75" s="10">
        <v>7000</v>
      </c>
      <c r="E75">
        <v>1645.52</v>
      </c>
      <c r="F75">
        <f t="shared" si="56"/>
        <v>1645.2</v>
      </c>
      <c r="G75">
        <f t="shared" si="54"/>
        <v>0.31999999999993634</v>
      </c>
      <c r="H75">
        <v>1E-3</v>
      </c>
      <c r="K75" s="31">
        <f t="shared" si="87"/>
        <v>7000</v>
      </c>
      <c r="L75" s="32">
        <f t="shared" si="88"/>
        <v>0.61</v>
      </c>
      <c r="M75" s="32">
        <f t="shared" si="86"/>
        <v>0.47</v>
      </c>
      <c r="N75" s="32">
        <f t="shared" si="89"/>
        <v>1.65</v>
      </c>
      <c r="O75" s="32">
        <f t="shared" si="90"/>
        <v>1.52</v>
      </c>
      <c r="P75" s="32">
        <f t="shared" si="47"/>
        <v>0.56000000000000005</v>
      </c>
      <c r="Q75" s="32">
        <f t="shared" si="48"/>
        <v>0.48</v>
      </c>
      <c r="R75" s="32">
        <v>8.0150000000000006</v>
      </c>
      <c r="S75" s="32">
        <f t="shared" si="91"/>
        <v>1E-3</v>
      </c>
      <c r="T75" s="32" t="str">
        <f t="shared" si="92"/>
        <v>1/1000</v>
      </c>
      <c r="U75" s="9" t="s">
        <v>519</v>
      </c>
      <c r="V75" s="32">
        <f t="shared" si="30"/>
        <v>0.31</v>
      </c>
      <c r="W75" s="32">
        <f t="shared" si="31"/>
        <v>0.37</v>
      </c>
      <c r="X75" s="32">
        <f t="shared" si="93"/>
        <v>0.24</v>
      </c>
      <c r="Y75" s="32">
        <v>0.8</v>
      </c>
      <c r="Z75" s="32">
        <f t="shared" si="94"/>
        <v>1645.52</v>
      </c>
      <c r="AA75" s="32">
        <f t="shared" si="95"/>
        <v>1645.2</v>
      </c>
      <c r="AB75" s="33">
        <f t="shared" si="96"/>
        <v>1645.68</v>
      </c>
    </row>
    <row r="76" spans="2:29">
      <c r="B76" s="10">
        <v>7100</v>
      </c>
      <c r="C76" s="10">
        <v>7100</v>
      </c>
      <c r="E76">
        <v>1645.58</v>
      </c>
      <c r="F76">
        <f t="shared" si="56"/>
        <v>1645.1</v>
      </c>
      <c r="G76">
        <f t="shared" si="54"/>
        <v>0.48000000000001819</v>
      </c>
      <c r="H76">
        <v>1E-3</v>
      </c>
      <c r="K76" s="31">
        <f t="shared" si="87"/>
        <v>7100</v>
      </c>
      <c r="L76" s="32">
        <f t="shared" si="88"/>
        <v>0.61</v>
      </c>
      <c r="M76" s="32">
        <f t="shared" si="86"/>
        <v>0.47</v>
      </c>
      <c r="N76" s="32">
        <f t="shared" si="89"/>
        <v>1.65</v>
      </c>
      <c r="O76" s="32">
        <f t="shared" si="90"/>
        <v>1.52</v>
      </c>
      <c r="P76" s="32">
        <f t="shared" si="47"/>
        <v>0.56000000000000005</v>
      </c>
      <c r="Q76" s="32">
        <f t="shared" si="48"/>
        <v>0.48</v>
      </c>
      <c r="R76" s="32">
        <v>9.0150000000000006</v>
      </c>
      <c r="S76" s="32">
        <f t="shared" si="91"/>
        <v>1E-3</v>
      </c>
      <c r="T76" s="32" t="str">
        <f t="shared" si="92"/>
        <v>1/1000</v>
      </c>
      <c r="U76" s="9" t="s">
        <v>519</v>
      </c>
      <c r="V76" s="32">
        <f t="shared" si="30"/>
        <v>0.31</v>
      </c>
      <c r="W76" s="32">
        <f t="shared" si="31"/>
        <v>0.37</v>
      </c>
      <c r="X76" s="32">
        <f t="shared" si="93"/>
        <v>0.24</v>
      </c>
      <c r="Y76" s="32">
        <v>0.8</v>
      </c>
      <c r="Z76" s="32">
        <f t="shared" si="94"/>
        <v>1645.58</v>
      </c>
      <c r="AA76" s="32">
        <f t="shared" si="95"/>
        <v>1645.1</v>
      </c>
      <c r="AB76" s="33">
        <f t="shared" si="96"/>
        <v>1645.58</v>
      </c>
    </row>
    <row r="77" spans="2:29">
      <c r="B77" s="10">
        <v>7224</v>
      </c>
      <c r="C77" s="10">
        <v>7224</v>
      </c>
      <c r="E77">
        <v>1645.5</v>
      </c>
      <c r="F77">
        <f t="shared" si="56"/>
        <v>1644.98</v>
      </c>
      <c r="G77">
        <f t="shared" si="54"/>
        <v>0.51999999999998181</v>
      </c>
      <c r="H77">
        <v>1E-3</v>
      </c>
      <c r="K77" s="31">
        <f t="shared" si="87"/>
        <v>7224</v>
      </c>
      <c r="L77" s="32">
        <f t="shared" si="88"/>
        <v>0.61</v>
      </c>
      <c r="M77" s="32">
        <f t="shared" si="86"/>
        <v>0.47</v>
      </c>
      <c r="N77" s="32">
        <f t="shared" si="89"/>
        <v>1.65</v>
      </c>
      <c r="O77" s="32">
        <f t="shared" si="90"/>
        <v>1.52</v>
      </c>
      <c r="P77" s="32">
        <f t="shared" si="47"/>
        <v>0.56000000000000005</v>
      </c>
      <c r="Q77" s="32">
        <f t="shared" si="48"/>
        <v>0.48</v>
      </c>
      <c r="R77" s="32">
        <v>10.015000000000001</v>
      </c>
      <c r="S77" s="32">
        <f t="shared" si="91"/>
        <v>1E-3</v>
      </c>
      <c r="T77" s="32" t="str">
        <f t="shared" si="92"/>
        <v>1/1000</v>
      </c>
      <c r="U77" s="9" t="s">
        <v>519</v>
      </c>
      <c r="V77" s="32">
        <f t="shared" si="30"/>
        <v>0.31</v>
      </c>
      <c r="W77" s="32">
        <f t="shared" si="31"/>
        <v>0.37</v>
      </c>
      <c r="X77" s="32">
        <f t="shared" si="93"/>
        <v>0.24</v>
      </c>
      <c r="Y77" s="32">
        <v>0.8</v>
      </c>
      <c r="Z77" s="32">
        <f t="shared" si="94"/>
        <v>1645.5</v>
      </c>
      <c r="AA77" s="32">
        <f t="shared" si="95"/>
        <v>1644.98</v>
      </c>
      <c r="AB77" s="33">
        <f t="shared" si="96"/>
        <v>1645.46</v>
      </c>
    </row>
    <row r="80" spans="2:29">
      <c r="K80" s="43" t="s">
        <v>336</v>
      </c>
      <c r="L80" s="43" t="s">
        <v>337</v>
      </c>
      <c r="M80" s="43"/>
      <c r="N80" s="43" t="s">
        <v>338</v>
      </c>
      <c r="O80" s="43"/>
      <c r="P80" s="43" t="s">
        <v>339</v>
      </c>
      <c r="Q80" s="43"/>
      <c r="R80" s="9" t="s">
        <v>340</v>
      </c>
      <c r="S80" s="9" t="s">
        <v>289</v>
      </c>
      <c r="T80" s="9" t="s">
        <v>863</v>
      </c>
      <c r="U80" s="43" t="s">
        <v>786</v>
      </c>
      <c r="V80" s="43"/>
      <c r="W80" s="43" t="s">
        <v>793</v>
      </c>
      <c r="X80" s="43"/>
      <c r="Y80" s="43" t="s">
        <v>794</v>
      </c>
      <c r="Z80" s="43"/>
      <c r="AA80" s="9" t="s">
        <v>789</v>
      </c>
      <c r="AB80" s="9" t="s">
        <v>790</v>
      </c>
    </row>
    <row r="81" spans="11:28" ht="15.6">
      <c r="K81" s="43"/>
      <c r="L81" s="9" t="s">
        <v>349</v>
      </c>
      <c r="M81" s="9" t="s">
        <v>348</v>
      </c>
      <c r="N81" s="9" t="s">
        <v>351</v>
      </c>
      <c r="O81" s="9" t="s">
        <v>352</v>
      </c>
      <c r="P81" s="9" t="s">
        <v>353</v>
      </c>
      <c r="Q81" s="9" t="s">
        <v>354</v>
      </c>
      <c r="R81" s="9" t="s">
        <v>309</v>
      </c>
      <c r="S81" s="9" t="s">
        <v>308</v>
      </c>
      <c r="T81" s="9" t="s">
        <v>864</v>
      </c>
      <c r="U81" s="9" t="s">
        <v>787</v>
      </c>
      <c r="V81" s="9" t="s">
        <v>788</v>
      </c>
      <c r="W81" s="9" t="s">
        <v>798</v>
      </c>
      <c r="X81" s="9" t="s">
        <v>799</v>
      </c>
      <c r="Y81" s="9" t="s">
        <v>800</v>
      </c>
      <c r="Z81" s="9" t="s">
        <v>801</v>
      </c>
      <c r="AA81" s="9" t="s">
        <v>792</v>
      </c>
      <c r="AB81" s="9" t="s">
        <v>791</v>
      </c>
    </row>
    <row r="82" spans="11:28" ht="16.2">
      <c r="K82" s="9" t="s">
        <v>356</v>
      </c>
      <c r="L82" s="9" t="s">
        <v>358</v>
      </c>
      <c r="M82" s="9" t="s">
        <v>358</v>
      </c>
      <c r="N82" s="9" t="s">
        <v>357</v>
      </c>
      <c r="O82" s="9" t="s">
        <v>357</v>
      </c>
      <c r="P82" s="9" t="s">
        <v>307</v>
      </c>
      <c r="Q82" s="9" t="s">
        <v>307</v>
      </c>
      <c r="R82" s="9"/>
      <c r="S82" s="9"/>
      <c r="T82" s="9" t="s">
        <v>795</v>
      </c>
      <c r="U82" s="9" t="s">
        <v>796</v>
      </c>
      <c r="V82" s="9" t="s">
        <v>796</v>
      </c>
      <c r="W82" s="9" t="s">
        <v>797</v>
      </c>
      <c r="X82" s="9"/>
      <c r="Y82" s="9" t="s">
        <v>797</v>
      </c>
      <c r="Z82" s="9"/>
      <c r="AA82" s="9" t="s">
        <v>797</v>
      </c>
      <c r="AB82" s="9" t="s">
        <v>797</v>
      </c>
    </row>
    <row r="83" spans="11:28">
      <c r="K83" s="10">
        <f>K5</f>
        <v>10</v>
      </c>
      <c r="L83" s="9">
        <f>L5</f>
        <v>0.9</v>
      </c>
      <c r="M83" s="9">
        <f t="shared" ref="M83:R83" si="97">M5</f>
        <v>0.69</v>
      </c>
      <c r="N83" s="9">
        <f t="shared" si="97"/>
        <v>1.96</v>
      </c>
      <c r="O83" s="9">
        <f t="shared" si="97"/>
        <v>1.73</v>
      </c>
      <c r="P83" s="9">
        <f t="shared" si="97"/>
        <v>0.56000000000000005</v>
      </c>
      <c r="Q83" s="9">
        <f t="shared" si="97"/>
        <v>0.47</v>
      </c>
      <c r="R83" s="9">
        <f t="shared" si="97"/>
        <v>1.4999999999999999E-2</v>
      </c>
      <c r="S83" s="9" t="str">
        <f>T5</f>
        <v>1/200</v>
      </c>
      <c r="T83" s="9" t="str">
        <f>U5</f>
        <v>U100</v>
      </c>
      <c r="U83" s="13">
        <f>W5</f>
        <v>0.46</v>
      </c>
      <c r="V83" s="13">
        <f>V5</f>
        <v>0.4</v>
      </c>
      <c r="W83" s="9">
        <v>1.617</v>
      </c>
      <c r="X83" s="9">
        <v>1.514</v>
      </c>
      <c r="Y83" s="13">
        <f>U83/W83</f>
        <v>0.28447742733457021</v>
      </c>
      <c r="Z83" s="13">
        <f>V83/X83</f>
        <v>0.26420079260237783</v>
      </c>
      <c r="AA83" s="9">
        <f>X5</f>
        <v>0.43999999999999995</v>
      </c>
      <c r="AB83" s="9">
        <f>Y5</f>
        <v>1</v>
      </c>
    </row>
    <row r="84" spans="11:28">
      <c r="K84" s="10">
        <f t="shared" ref="K84:R84" si="98">K7</f>
        <v>200</v>
      </c>
      <c r="L84" s="9">
        <f t="shared" si="98"/>
        <v>0.9</v>
      </c>
      <c r="M84" s="9">
        <f t="shared" si="98"/>
        <v>0.69</v>
      </c>
      <c r="N84" s="9">
        <f t="shared" si="98"/>
        <v>1.96</v>
      </c>
      <c r="O84" s="9">
        <f t="shared" si="98"/>
        <v>1.73</v>
      </c>
      <c r="P84" s="9">
        <f t="shared" si="98"/>
        <v>0.56000000000000005</v>
      </c>
      <c r="Q84" s="9">
        <f t="shared" si="98"/>
        <v>0.47</v>
      </c>
      <c r="R84" s="9">
        <f t="shared" si="98"/>
        <v>1.4999999999999999E-2</v>
      </c>
      <c r="S84" s="9" t="str">
        <f t="shared" ref="S84:T84" si="99">T7</f>
        <v>1/200</v>
      </c>
      <c r="T84" s="9" t="str">
        <f t="shared" si="99"/>
        <v>U100</v>
      </c>
      <c r="U84" s="13">
        <f>W7</f>
        <v>0.46</v>
      </c>
      <c r="V84" s="13">
        <f>V7</f>
        <v>0.4</v>
      </c>
      <c r="W84" s="9">
        <v>1.617</v>
      </c>
      <c r="X84" s="9">
        <v>1.514</v>
      </c>
      <c r="Y84" s="13">
        <f t="shared" ref="Y84:Y120" si="100">U84/W84</f>
        <v>0.28447742733457021</v>
      </c>
      <c r="Z84" s="13">
        <f t="shared" ref="Z84:Z120" si="101">V84/X84</f>
        <v>0.26420079260237783</v>
      </c>
      <c r="AA84" s="9">
        <f t="shared" ref="AA84:AB84" si="102">X7</f>
        <v>0.43999999999999995</v>
      </c>
      <c r="AB84" s="9">
        <f t="shared" si="102"/>
        <v>1</v>
      </c>
    </row>
    <row r="85" spans="11:28">
      <c r="K85" s="10">
        <f t="shared" ref="K85:R85" si="103">K9</f>
        <v>400</v>
      </c>
      <c r="L85" s="9">
        <f t="shared" si="103"/>
        <v>0.9</v>
      </c>
      <c r="M85" s="9">
        <f t="shared" si="103"/>
        <v>0.69</v>
      </c>
      <c r="N85" s="9">
        <f t="shared" si="103"/>
        <v>1.96</v>
      </c>
      <c r="O85" s="9">
        <f t="shared" si="103"/>
        <v>1.73</v>
      </c>
      <c r="P85" s="9">
        <f t="shared" si="103"/>
        <v>0.56000000000000005</v>
      </c>
      <c r="Q85" s="9">
        <f t="shared" si="103"/>
        <v>0.47</v>
      </c>
      <c r="R85" s="9">
        <f t="shared" si="103"/>
        <v>1.4999999999999999E-2</v>
      </c>
      <c r="S85" s="9" t="str">
        <f t="shared" ref="S85:T85" si="104">T9</f>
        <v>1/200</v>
      </c>
      <c r="T85" s="9" t="str">
        <f t="shared" si="104"/>
        <v>U100</v>
      </c>
      <c r="U85" s="13">
        <f>W9</f>
        <v>0.46</v>
      </c>
      <c r="V85" s="13">
        <f>V9</f>
        <v>0.4</v>
      </c>
      <c r="W85" s="9">
        <v>1.617</v>
      </c>
      <c r="X85" s="9">
        <v>1.514</v>
      </c>
      <c r="Y85" s="13">
        <f t="shared" si="100"/>
        <v>0.28447742733457021</v>
      </c>
      <c r="Z85" s="13">
        <f t="shared" si="101"/>
        <v>0.26420079260237783</v>
      </c>
      <c r="AA85" s="9">
        <f t="shared" ref="AA85:AB85" si="105">X9</f>
        <v>0.43999999999999995</v>
      </c>
      <c r="AB85" s="9">
        <f t="shared" si="105"/>
        <v>1</v>
      </c>
    </row>
    <row r="86" spans="11:28">
      <c r="K86" s="10">
        <f t="shared" ref="K86:R86" si="106">K11</f>
        <v>600</v>
      </c>
      <c r="L86" s="9">
        <f t="shared" si="106"/>
        <v>0.9</v>
      </c>
      <c r="M86" s="9">
        <f t="shared" si="106"/>
        <v>0.69</v>
      </c>
      <c r="N86" s="9">
        <f t="shared" si="106"/>
        <v>1.96</v>
      </c>
      <c r="O86" s="9">
        <f t="shared" si="106"/>
        <v>1.73</v>
      </c>
      <c r="P86" s="9">
        <f t="shared" si="106"/>
        <v>0.56000000000000005</v>
      </c>
      <c r="Q86" s="9">
        <f t="shared" si="106"/>
        <v>0.47</v>
      </c>
      <c r="R86" s="9">
        <f t="shared" si="106"/>
        <v>1.4999999999999999E-2</v>
      </c>
      <c r="S86" s="9" t="str">
        <f t="shared" ref="S86:T86" si="107">T11</f>
        <v>1/200</v>
      </c>
      <c r="T86" s="9" t="str">
        <f t="shared" si="107"/>
        <v>U100</v>
      </c>
      <c r="U86" s="13">
        <f>W11</f>
        <v>0.46</v>
      </c>
      <c r="V86" s="13">
        <f>V11</f>
        <v>0.4</v>
      </c>
      <c r="W86" s="9">
        <v>1.617</v>
      </c>
      <c r="X86" s="9">
        <v>1.514</v>
      </c>
      <c r="Y86" s="13">
        <f t="shared" si="100"/>
        <v>0.28447742733457021</v>
      </c>
      <c r="Z86" s="13">
        <f t="shared" si="101"/>
        <v>0.26420079260237783</v>
      </c>
      <c r="AA86" s="9">
        <f t="shared" ref="AA86:AB86" si="108">X11</f>
        <v>0.43999999999999995</v>
      </c>
      <c r="AB86" s="9">
        <f t="shared" si="108"/>
        <v>1</v>
      </c>
    </row>
    <row r="87" spans="11:28">
      <c r="K87" s="10">
        <f t="shared" ref="K87:R87" si="109">K13</f>
        <v>800</v>
      </c>
      <c r="L87" s="9">
        <f t="shared" si="109"/>
        <v>0.9</v>
      </c>
      <c r="M87" s="9">
        <f t="shared" si="109"/>
        <v>0.69</v>
      </c>
      <c r="N87" s="9">
        <f t="shared" si="109"/>
        <v>1.96</v>
      </c>
      <c r="O87" s="9">
        <f t="shared" si="109"/>
        <v>1.73</v>
      </c>
      <c r="P87" s="9">
        <f t="shared" si="109"/>
        <v>0.56000000000000005</v>
      </c>
      <c r="Q87" s="9">
        <f t="shared" si="109"/>
        <v>0.47</v>
      </c>
      <c r="R87" s="9">
        <f t="shared" si="109"/>
        <v>1.4999999999999999E-2</v>
      </c>
      <c r="S87" s="9" t="str">
        <f t="shared" ref="S87:T87" si="110">T13</f>
        <v>1/200</v>
      </c>
      <c r="T87" s="9" t="str">
        <f t="shared" si="110"/>
        <v>U100</v>
      </c>
      <c r="U87" s="13">
        <f>W13</f>
        <v>0.46</v>
      </c>
      <c r="V87" s="13">
        <f>V13</f>
        <v>0.4</v>
      </c>
      <c r="W87" s="9">
        <v>1.617</v>
      </c>
      <c r="X87" s="9">
        <v>1.514</v>
      </c>
      <c r="Y87" s="13">
        <f t="shared" si="100"/>
        <v>0.28447742733457021</v>
      </c>
      <c r="Z87" s="13">
        <f t="shared" si="101"/>
        <v>0.26420079260237783</v>
      </c>
      <c r="AA87" s="9">
        <f t="shared" ref="AA87:AB87" si="111">X13</f>
        <v>0.43999999999999995</v>
      </c>
      <c r="AB87" s="9">
        <f t="shared" si="111"/>
        <v>1</v>
      </c>
    </row>
    <row r="88" spans="11:28">
      <c r="K88" s="10">
        <f t="shared" ref="K88:R88" si="112">K15</f>
        <v>1000</v>
      </c>
      <c r="L88" s="9">
        <f t="shared" si="112"/>
        <v>0.9</v>
      </c>
      <c r="M88" s="9">
        <f t="shared" si="112"/>
        <v>0.69</v>
      </c>
      <c r="N88" s="9">
        <f t="shared" si="112"/>
        <v>1.96</v>
      </c>
      <c r="O88" s="9">
        <f t="shared" si="112"/>
        <v>1.73</v>
      </c>
      <c r="P88" s="9">
        <f t="shared" si="112"/>
        <v>0.56000000000000005</v>
      </c>
      <c r="Q88" s="9">
        <f t="shared" si="112"/>
        <v>0.47</v>
      </c>
      <c r="R88" s="9">
        <f t="shared" si="112"/>
        <v>1.4999999999999999E-2</v>
      </c>
      <c r="S88" s="9" t="str">
        <f t="shared" ref="S88:T88" si="113">T15</f>
        <v>1/200</v>
      </c>
      <c r="T88" s="9" t="str">
        <f t="shared" si="113"/>
        <v>U100</v>
      </c>
      <c r="U88" s="13">
        <f>W15</f>
        <v>0.46</v>
      </c>
      <c r="V88" s="13">
        <f>V15</f>
        <v>0.4</v>
      </c>
      <c r="W88" s="9">
        <v>1.617</v>
      </c>
      <c r="X88" s="9">
        <v>1.514</v>
      </c>
      <c r="Y88" s="13">
        <f t="shared" si="100"/>
        <v>0.28447742733457021</v>
      </c>
      <c r="Z88" s="13">
        <f t="shared" si="101"/>
        <v>0.26420079260237783</v>
      </c>
      <c r="AA88" s="9">
        <f t="shared" ref="AA88:AB88" si="114">X15</f>
        <v>0.43999999999999995</v>
      </c>
      <c r="AB88" s="9">
        <f t="shared" si="114"/>
        <v>1</v>
      </c>
    </row>
    <row r="89" spans="11:28">
      <c r="K89" s="10">
        <f t="shared" ref="K89:R89" si="115">K17</f>
        <v>1200</v>
      </c>
      <c r="L89" s="9">
        <f t="shared" si="115"/>
        <v>0.9</v>
      </c>
      <c r="M89" s="9">
        <f t="shared" si="115"/>
        <v>0.69</v>
      </c>
      <c r="N89" s="9">
        <f t="shared" si="115"/>
        <v>1.96</v>
      </c>
      <c r="O89" s="9">
        <f t="shared" si="115"/>
        <v>1.73</v>
      </c>
      <c r="P89" s="9">
        <f t="shared" si="115"/>
        <v>0.56000000000000005</v>
      </c>
      <c r="Q89" s="9">
        <f t="shared" si="115"/>
        <v>0.47</v>
      </c>
      <c r="R89" s="9">
        <f t="shared" si="115"/>
        <v>1.4999999999999999E-2</v>
      </c>
      <c r="S89" s="9" t="str">
        <f t="shared" ref="S89:T89" si="116">T17</f>
        <v>1/200</v>
      </c>
      <c r="T89" s="9" t="str">
        <f t="shared" si="116"/>
        <v>U100</v>
      </c>
      <c r="U89" s="13">
        <f>W17</f>
        <v>0.46</v>
      </c>
      <c r="V89" s="13">
        <f>V17</f>
        <v>0.4</v>
      </c>
      <c r="W89" s="9">
        <v>1.617</v>
      </c>
      <c r="X89" s="9">
        <v>1.514</v>
      </c>
      <c r="Y89" s="13">
        <f t="shared" si="100"/>
        <v>0.28447742733457021</v>
      </c>
      <c r="Z89" s="13">
        <f t="shared" si="101"/>
        <v>0.26420079260237783</v>
      </c>
      <c r="AA89" s="9">
        <f t="shared" ref="AA89:AB89" si="117">X17</f>
        <v>0.43999999999999995</v>
      </c>
      <c r="AB89" s="9">
        <f t="shared" si="117"/>
        <v>1</v>
      </c>
    </row>
    <row r="90" spans="11:28">
      <c r="K90" s="10">
        <f t="shared" ref="K90:R90" si="118">K19</f>
        <v>1400</v>
      </c>
      <c r="L90" s="9">
        <f t="shared" si="118"/>
        <v>0.9</v>
      </c>
      <c r="M90" s="9">
        <f t="shared" si="118"/>
        <v>0.69</v>
      </c>
      <c r="N90" s="9">
        <f t="shared" si="118"/>
        <v>1.96</v>
      </c>
      <c r="O90" s="9">
        <f t="shared" si="118"/>
        <v>1.73</v>
      </c>
      <c r="P90" s="9">
        <f t="shared" si="118"/>
        <v>0.56000000000000005</v>
      </c>
      <c r="Q90" s="9">
        <f t="shared" si="118"/>
        <v>0.47</v>
      </c>
      <c r="R90" s="9">
        <f t="shared" si="118"/>
        <v>1.4999999999999999E-2</v>
      </c>
      <c r="S90" s="9" t="str">
        <f t="shared" ref="S90:T90" si="119">T19</f>
        <v>1/200</v>
      </c>
      <c r="T90" s="9" t="str">
        <f t="shared" si="119"/>
        <v>U100</v>
      </c>
      <c r="U90" s="13">
        <f>W19</f>
        <v>0.46</v>
      </c>
      <c r="V90" s="13">
        <f>V19</f>
        <v>0.4</v>
      </c>
      <c r="W90" s="9">
        <v>1.617</v>
      </c>
      <c r="X90" s="9">
        <v>1.514</v>
      </c>
      <c r="Y90" s="13">
        <f t="shared" si="100"/>
        <v>0.28447742733457021</v>
      </c>
      <c r="Z90" s="13">
        <f t="shared" si="101"/>
        <v>0.26420079260237783</v>
      </c>
      <c r="AA90" s="9">
        <f t="shared" ref="AA90:AB90" si="120">X19</f>
        <v>0.43999999999999995</v>
      </c>
      <c r="AB90" s="9">
        <f t="shared" si="120"/>
        <v>1</v>
      </c>
    </row>
    <row r="91" spans="11:28">
      <c r="K91" s="10">
        <f t="shared" ref="K91:R93" si="121">K21</f>
        <v>1600</v>
      </c>
      <c r="L91" s="9">
        <f t="shared" si="121"/>
        <v>0.9</v>
      </c>
      <c r="M91" s="9">
        <f t="shared" si="121"/>
        <v>0.69</v>
      </c>
      <c r="N91" s="9">
        <f t="shared" si="121"/>
        <v>1.96</v>
      </c>
      <c r="O91" s="9">
        <f t="shared" si="121"/>
        <v>1.73</v>
      </c>
      <c r="P91" s="9">
        <f t="shared" si="121"/>
        <v>0.56000000000000005</v>
      </c>
      <c r="Q91" s="9">
        <f t="shared" si="121"/>
        <v>0.47</v>
      </c>
      <c r="R91" s="9">
        <f t="shared" si="121"/>
        <v>1.4999999999999999E-2</v>
      </c>
      <c r="S91" s="9" t="str">
        <f t="shared" ref="S91:T91" si="122">T21</f>
        <v>1/200</v>
      </c>
      <c r="T91" s="9" t="str">
        <f t="shared" si="122"/>
        <v>U100</v>
      </c>
      <c r="U91" s="13">
        <f>W21</f>
        <v>0.46</v>
      </c>
      <c r="V91" s="13">
        <f>V21</f>
        <v>0.4</v>
      </c>
      <c r="W91" s="9">
        <v>1.617</v>
      </c>
      <c r="X91" s="9">
        <v>1.514</v>
      </c>
      <c r="Y91" s="13">
        <f t="shared" si="100"/>
        <v>0.28447742733457021</v>
      </c>
      <c r="Z91" s="13">
        <f t="shared" si="101"/>
        <v>0.26420079260237783</v>
      </c>
      <c r="AA91" s="9">
        <f t="shared" ref="AA91:AB91" si="123">X21</f>
        <v>0.43999999999999995</v>
      </c>
      <c r="AB91" s="9">
        <f t="shared" si="123"/>
        <v>1</v>
      </c>
    </row>
    <row r="92" spans="11:28">
      <c r="K92" s="10">
        <f t="shared" si="121"/>
        <v>1700</v>
      </c>
      <c r="L92" s="9">
        <f t="shared" si="121"/>
        <v>0.9</v>
      </c>
      <c r="M92" s="9">
        <f t="shared" si="121"/>
        <v>0.69</v>
      </c>
      <c r="N92" s="9">
        <f t="shared" si="121"/>
        <v>1.96</v>
      </c>
      <c r="O92" s="9">
        <f t="shared" si="121"/>
        <v>1.73</v>
      </c>
      <c r="P92" s="9">
        <f t="shared" si="121"/>
        <v>0.56000000000000005</v>
      </c>
      <c r="Q92" s="9">
        <f t="shared" si="121"/>
        <v>0.47</v>
      </c>
      <c r="R92" s="9">
        <f t="shared" si="121"/>
        <v>1.4999999999999999E-2</v>
      </c>
      <c r="S92" s="9" t="str">
        <f t="shared" ref="S92:T92" si="124">T22</f>
        <v>1/200</v>
      </c>
      <c r="T92" s="9" t="str">
        <f t="shared" si="124"/>
        <v>U100</v>
      </c>
      <c r="U92" s="13">
        <f>W22</f>
        <v>0.46</v>
      </c>
      <c r="V92" s="13">
        <f>V22</f>
        <v>0.4</v>
      </c>
      <c r="W92" s="9">
        <v>1.617</v>
      </c>
      <c r="X92" s="9">
        <v>1.514</v>
      </c>
      <c r="Y92" s="13">
        <f t="shared" si="100"/>
        <v>0.28447742733457021</v>
      </c>
      <c r="Z92" s="13">
        <f t="shared" si="101"/>
        <v>0.26420079260237783</v>
      </c>
      <c r="AA92" s="9">
        <f t="shared" ref="AA92:AB92" si="125">X22</f>
        <v>0.43999999999999995</v>
      </c>
      <c r="AB92" s="9">
        <f t="shared" si="125"/>
        <v>1</v>
      </c>
    </row>
    <row r="93" spans="11:28">
      <c r="K93" s="10">
        <f t="shared" si="121"/>
        <v>1800</v>
      </c>
      <c r="L93" s="9">
        <f t="shared" si="121"/>
        <v>0.9</v>
      </c>
      <c r="M93" s="9">
        <f t="shared" si="121"/>
        <v>0.69</v>
      </c>
      <c r="N93" s="9">
        <f t="shared" si="121"/>
        <v>1.64</v>
      </c>
      <c r="O93" s="9">
        <f t="shared" si="121"/>
        <v>1.5</v>
      </c>
      <c r="P93" s="9">
        <f t="shared" si="121"/>
        <v>0.65</v>
      </c>
      <c r="Q93" s="9">
        <f t="shared" si="121"/>
        <v>0.56000000000000005</v>
      </c>
      <c r="R93" s="9">
        <f t="shared" si="121"/>
        <v>1.4999999999999999E-2</v>
      </c>
      <c r="S93" s="9" t="str">
        <f t="shared" ref="S93:T93" si="126">T23</f>
        <v>1/333</v>
      </c>
      <c r="T93" s="9" t="str">
        <f t="shared" si="126"/>
        <v>U100</v>
      </c>
      <c r="U93" s="13">
        <f>W23</f>
        <v>0.55000000000000004</v>
      </c>
      <c r="V93" s="13">
        <f>V23</f>
        <v>0.46</v>
      </c>
      <c r="W93" s="9">
        <v>1.7609999999999999</v>
      </c>
      <c r="X93" s="9">
        <v>1.5960000000000001</v>
      </c>
      <c r="Y93" s="13">
        <f t="shared" si="100"/>
        <v>0.31232254400908577</v>
      </c>
      <c r="Z93" s="13">
        <f t="shared" si="101"/>
        <v>0.2882205513784461</v>
      </c>
      <c r="AA93" s="9">
        <f t="shared" ref="AA93:AB93" si="127">X23</f>
        <v>0.35</v>
      </c>
      <c r="AB93" s="9">
        <f t="shared" si="127"/>
        <v>1</v>
      </c>
    </row>
    <row r="94" spans="11:28">
      <c r="K94" s="10">
        <f t="shared" ref="K94:R94" si="128">K25</f>
        <v>2000</v>
      </c>
      <c r="L94" s="9">
        <f t="shared" si="128"/>
        <v>0.9</v>
      </c>
      <c r="M94" s="9">
        <f t="shared" si="128"/>
        <v>0.69</v>
      </c>
      <c r="N94" s="9">
        <f t="shared" si="128"/>
        <v>1.64</v>
      </c>
      <c r="O94" s="9">
        <f t="shared" si="128"/>
        <v>1.5</v>
      </c>
      <c r="P94" s="9">
        <f t="shared" si="128"/>
        <v>0.65</v>
      </c>
      <c r="Q94" s="9">
        <f t="shared" si="128"/>
        <v>0.56000000000000005</v>
      </c>
      <c r="R94" s="9">
        <f t="shared" si="128"/>
        <v>1.4999999999999999E-2</v>
      </c>
      <c r="S94" s="9" t="str">
        <f t="shared" ref="S94:T94" si="129">T25</f>
        <v>1/333</v>
      </c>
      <c r="T94" s="9" t="str">
        <f t="shared" si="129"/>
        <v>U100</v>
      </c>
      <c r="U94" s="13">
        <f>W25</f>
        <v>0.55000000000000004</v>
      </c>
      <c r="V94" s="13">
        <f>V25</f>
        <v>0.46</v>
      </c>
      <c r="W94" s="9">
        <v>1.7609999999999999</v>
      </c>
      <c r="X94" s="9">
        <v>1.5960000000000001</v>
      </c>
      <c r="Y94" s="13">
        <f t="shared" si="100"/>
        <v>0.31232254400908577</v>
      </c>
      <c r="Z94" s="13">
        <f t="shared" si="101"/>
        <v>0.2882205513784461</v>
      </c>
      <c r="AA94" s="9">
        <f t="shared" ref="AA94:AB94" si="130">X25</f>
        <v>0.35</v>
      </c>
      <c r="AB94" s="9">
        <f t="shared" si="130"/>
        <v>1</v>
      </c>
    </row>
    <row r="95" spans="11:28">
      <c r="K95" s="10">
        <f t="shared" ref="K95:R95" si="131">K27</f>
        <v>2200</v>
      </c>
      <c r="L95" s="9">
        <f t="shared" si="131"/>
        <v>0.9</v>
      </c>
      <c r="M95" s="9">
        <f t="shared" si="131"/>
        <v>0.69</v>
      </c>
      <c r="N95" s="9">
        <f t="shared" si="131"/>
        <v>1.64</v>
      </c>
      <c r="O95" s="9">
        <f t="shared" si="131"/>
        <v>1.5</v>
      </c>
      <c r="P95" s="9">
        <f t="shared" si="131"/>
        <v>0.65</v>
      </c>
      <c r="Q95" s="9">
        <f t="shared" si="131"/>
        <v>0.56000000000000005</v>
      </c>
      <c r="R95" s="9">
        <f t="shared" si="131"/>
        <v>1.4999999999999999E-2</v>
      </c>
      <c r="S95" s="9" t="str">
        <f t="shared" ref="S95:T95" si="132">T27</f>
        <v>1/333</v>
      </c>
      <c r="T95" s="9" t="str">
        <f t="shared" si="132"/>
        <v>U100</v>
      </c>
      <c r="U95" s="13">
        <f>W27</f>
        <v>0.55000000000000004</v>
      </c>
      <c r="V95" s="13">
        <f>V27</f>
        <v>0.46</v>
      </c>
      <c r="W95" s="9">
        <v>1.7609999999999999</v>
      </c>
      <c r="X95" s="9">
        <v>1.5960000000000001</v>
      </c>
      <c r="Y95" s="13">
        <f t="shared" si="100"/>
        <v>0.31232254400908577</v>
      </c>
      <c r="Z95" s="13">
        <f t="shared" si="101"/>
        <v>0.2882205513784461</v>
      </c>
      <c r="AA95" s="9">
        <f t="shared" ref="AA95:AB95" si="133">X27</f>
        <v>0.35</v>
      </c>
      <c r="AB95" s="9">
        <f t="shared" si="133"/>
        <v>1</v>
      </c>
    </row>
    <row r="96" spans="11:28">
      <c r="K96" s="10">
        <f t="shared" ref="K96:R96" si="134">K29</f>
        <v>2400</v>
      </c>
      <c r="L96" s="9">
        <f t="shared" si="134"/>
        <v>0.9</v>
      </c>
      <c r="M96" s="9">
        <f t="shared" si="134"/>
        <v>0.69</v>
      </c>
      <c r="N96" s="9">
        <f t="shared" si="134"/>
        <v>1.64</v>
      </c>
      <c r="O96" s="9">
        <f t="shared" si="134"/>
        <v>1.5</v>
      </c>
      <c r="P96" s="9">
        <f t="shared" si="134"/>
        <v>0.65</v>
      </c>
      <c r="Q96" s="9">
        <f t="shared" si="134"/>
        <v>0.56000000000000005</v>
      </c>
      <c r="R96" s="9">
        <f t="shared" si="134"/>
        <v>1.4999999999999999E-2</v>
      </c>
      <c r="S96" s="9" t="str">
        <f t="shared" ref="S96:T96" si="135">T29</f>
        <v>1/333</v>
      </c>
      <c r="T96" s="9" t="str">
        <f t="shared" si="135"/>
        <v>U100</v>
      </c>
      <c r="U96" s="13">
        <f>W29</f>
        <v>0.55000000000000004</v>
      </c>
      <c r="V96" s="13">
        <f>V29</f>
        <v>0.46</v>
      </c>
      <c r="W96" s="9">
        <v>1.7609999999999999</v>
      </c>
      <c r="X96" s="9">
        <v>1.5960000000000001</v>
      </c>
      <c r="Y96" s="13">
        <f t="shared" si="100"/>
        <v>0.31232254400908577</v>
      </c>
      <c r="Z96" s="13">
        <f t="shared" si="101"/>
        <v>0.2882205513784461</v>
      </c>
      <c r="AA96" s="9">
        <f t="shared" ref="AA96:AB96" si="136">X29</f>
        <v>0.35</v>
      </c>
      <c r="AB96" s="9">
        <f t="shared" si="136"/>
        <v>1</v>
      </c>
    </row>
    <row r="97" spans="11:28">
      <c r="K97" s="10">
        <f t="shared" ref="K97:R97" si="137">K31</f>
        <v>2600</v>
      </c>
      <c r="L97" s="9">
        <f t="shared" si="137"/>
        <v>0.9</v>
      </c>
      <c r="M97" s="9">
        <f t="shared" si="137"/>
        <v>0.69</v>
      </c>
      <c r="N97" s="9">
        <f t="shared" si="137"/>
        <v>1.64</v>
      </c>
      <c r="O97" s="9">
        <f t="shared" si="137"/>
        <v>1.5</v>
      </c>
      <c r="P97" s="9">
        <f t="shared" si="137"/>
        <v>0.65</v>
      </c>
      <c r="Q97" s="9">
        <f t="shared" si="137"/>
        <v>0.56000000000000005</v>
      </c>
      <c r="R97" s="9">
        <f t="shared" si="137"/>
        <v>1.4999999999999999E-2</v>
      </c>
      <c r="S97" s="9" t="str">
        <f t="shared" ref="S97:T97" si="138">T31</f>
        <v>1/333</v>
      </c>
      <c r="T97" s="9" t="str">
        <f t="shared" si="138"/>
        <v>U100</v>
      </c>
      <c r="U97" s="13">
        <f>W31</f>
        <v>0.55000000000000004</v>
      </c>
      <c r="V97" s="13">
        <f>V31</f>
        <v>0.46</v>
      </c>
      <c r="W97" s="9">
        <v>1.7609999999999999</v>
      </c>
      <c r="X97" s="9">
        <v>1.5960000000000001</v>
      </c>
      <c r="Y97" s="13">
        <f t="shared" si="100"/>
        <v>0.31232254400908577</v>
      </c>
      <c r="Z97" s="13">
        <f t="shared" si="101"/>
        <v>0.2882205513784461</v>
      </c>
      <c r="AA97" s="9">
        <f t="shared" ref="AA97:AB97" si="139">X31</f>
        <v>0.35</v>
      </c>
      <c r="AB97" s="9">
        <f t="shared" si="139"/>
        <v>1</v>
      </c>
    </row>
    <row r="98" spans="11:28">
      <c r="K98" s="10">
        <f>K33</f>
        <v>2800</v>
      </c>
      <c r="L98" s="9">
        <f>L33</f>
        <v>0.9</v>
      </c>
      <c r="M98" s="9">
        <f>M33</f>
        <v>0.69</v>
      </c>
      <c r="N98" s="9">
        <f t="shared" ref="N98:R98" si="140">N33</f>
        <v>1.64</v>
      </c>
      <c r="O98" s="9">
        <f t="shared" si="140"/>
        <v>1.5</v>
      </c>
      <c r="P98" s="9">
        <f t="shared" si="140"/>
        <v>0.54</v>
      </c>
      <c r="Q98" s="9">
        <f t="shared" si="140"/>
        <v>0.47</v>
      </c>
      <c r="R98" s="9">
        <f t="shared" si="140"/>
        <v>1.4999999999999999E-2</v>
      </c>
      <c r="S98" s="9" t="str">
        <f t="shared" ref="S98:T98" si="141">T33</f>
        <v>1/333</v>
      </c>
      <c r="T98" s="9" t="str">
        <f t="shared" si="141"/>
        <v>U100</v>
      </c>
      <c r="U98" s="13">
        <f>W33</f>
        <v>0.55000000000000004</v>
      </c>
      <c r="V98" s="13">
        <f>V33</f>
        <v>0.46</v>
      </c>
      <c r="W98" s="9">
        <v>1.7609999999999999</v>
      </c>
      <c r="X98" s="9">
        <v>1.5960000000000001</v>
      </c>
      <c r="Y98" s="13">
        <f t="shared" si="100"/>
        <v>0.31232254400908577</v>
      </c>
      <c r="Z98" s="13">
        <f t="shared" si="101"/>
        <v>0.2882205513784461</v>
      </c>
      <c r="AA98" s="9">
        <f t="shared" ref="AA98:AB98" si="142">X33</f>
        <v>0.45999999999999996</v>
      </c>
      <c r="AB98" s="9">
        <f t="shared" si="142"/>
        <v>1</v>
      </c>
    </row>
    <row r="99" spans="11:28">
      <c r="K99" s="10">
        <f>K35</f>
        <v>3000</v>
      </c>
      <c r="L99" s="9">
        <f t="shared" ref="L99:R99" si="143">L35</f>
        <v>0.9</v>
      </c>
      <c r="M99" s="9">
        <f t="shared" si="143"/>
        <v>0.69</v>
      </c>
      <c r="N99" s="9">
        <f t="shared" si="143"/>
        <v>1.64</v>
      </c>
      <c r="O99" s="9">
        <f t="shared" si="143"/>
        <v>1.5</v>
      </c>
      <c r="P99" s="9">
        <f t="shared" si="143"/>
        <v>0.54</v>
      </c>
      <c r="Q99" s="9">
        <f t="shared" si="143"/>
        <v>0.47</v>
      </c>
      <c r="R99" s="9">
        <f t="shared" si="143"/>
        <v>1.4999999999999999E-2</v>
      </c>
      <c r="S99" s="9" t="str">
        <f t="shared" ref="S99:T99" si="144">T35</f>
        <v>1/333</v>
      </c>
      <c r="T99" s="9" t="str">
        <f t="shared" si="144"/>
        <v>U100</v>
      </c>
      <c r="U99" s="13">
        <f>W35</f>
        <v>0.55000000000000004</v>
      </c>
      <c r="V99" s="13">
        <f>V35</f>
        <v>0.46</v>
      </c>
      <c r="W99" s="9">
        <v>1.7609999999999999</v>
      </c>
      <c r="X99" s="9">
        <v>1.5960000000000001</v>
      </c>
      <c r="Y99" s="13">
        <f t="shared" si="100"/>
        <v>0.31232254400908577</v>
      </c>
      <c r="Z99" s="13">
        <f t="shared" si="101"/>
        <v>0.2882205513784461</v>
      </c>
      <c r="AA99" s="9">
        <f t="shared" ref="AA99:AB99" si="145">X35</f>
        <v>0.45999999999999996</v>
      </c>
      <c r="AB99" s="9">
        <f t="shared" si="145"/>
        <v>1</v>
      </c>
    </row>
    <row r="100" spans="11:28">
      <c r="K100" s="10">
        <f>K36</f>
        <v>3100</v>
      </c>
      <c r="L100" s="9">
        <f t="shared" ref="L100:R100" si="146">L36</f>
        <v>0.9</v>
      </c>
      <c r="M100" s="9">
        <f t="shared" si="146"/>
        <v>0.69</v>
      </c>
      <c r="N100" s="9">
        <f t="shared" si="146"/>
        <v>1.64</v>
      </c>
      <c r="O100" s="9">
        <f t="shared" si="146"/>
        <v>1.5</v>
      </c>
      <c r="P100" s="9">
        <f t="shared" si="146"/>
        <v>0.54</v>
      </c>
      <c r="Q100" s="9">
        <f t="shared" si="146"/>
        <v>0.47</v>
      </c>
      <c r="R100" s="9">
        <f t="shared" si="146"/>
        <v>1.4999999999999999E-2</v>
      </c>
      <c r="S100" s="9" t="str">
        <f t="shared" ref="S100:T100" si="147">T36</f>
        <v>1/333</v>
      </c>
      <c r="T100" s="9" t="str">
        <f t="shared" si="147"/>
        <v>U100</v>
      </c>
      <c r="U100" s="13">
        <f>W36</f>
        <v>0.55000000000000004</v>
      </c>
      <c r="V100" s="13">
        <f>V36</f>
        <v>0.46</v>
      </c>
      <c r="W100" s="9">
        <v>1.7609999999999999</v>
      </c>
      <c r="X100" s="9">
        <v>1.5960000000000001</v>
      </c>
      <c r="Y100" s="13">
        <f t="shared" si="100"/>
        <v>0.31232254400908577</v>
      </c>
      <c r="Z100" s="13">
        <f t="shared" si="101"/>
        <v>0.2882205513784461</v>
      </c>
      <c r="AA100" s="9">
        <f t="shared" ref="AA100:AB100" si="148">X36</f>
        <v>0.45999999999999996</v>
      </c>
      <c r="AB100" s="9">
        <f t="shared" si="148"/>
        <v>1</v>
      </c>
    </row>
    <row r="101" spans="11:28">
      <c r="K101" s="10">
        <f>K37</f>
        <v>3200</v>
      </c>
      <c r="L101" s="9">
        <f t="shared" ref="L101:R101" si="149">L37</f>
        <v>0.9</v>
      </c>
      <c r="M101" s="9">
        <f t="shared" si="149"/>
        <v>0.69</v>
      </c>
      <c r="N101" s="9">
        <f t="shared" si="149"/>
        <v>1.64</v>
      </c>
      <c r="O101" s="9">
        <f t="shared" si="149"/>
        <v>1.5</v>
      </c>
      <c r="P101" s="9">
        <f t="shared" si="149"/>
        <v>0.67</v>
      </c>
      <c r="Q101" s="9">
        <f t="shared" si="149"/>
        <v>0.57999999999999996</v>
      </c>
      <c r="R101" s="9">
        <f t="shared" si="149"/>
        <v>1.4999999999999999E-2</v>
      </c>
      <c r="S101" s="9" t="str">
        <f t="shared" ref="S101:T101" si="150">T37</f>
        <v>1/500</v>
      </c>
      <c r="T101" s="9" t="str">
        <f t="shared" si="150"/>
        <v>U100</v>
      </c>
      <c r="U101" s="13">
        <f>W37</f>
        <v>0.55000000000000004</v>
      </c>
      <c r="V101" s="13">
        <f>V37</f>
        <v>0.46</v>
      </c>
      <c r="W101" s="9">
        <v>1.9259999999999999</v>
      </c>
      <c r="X101" s="9">
        <v>1.7410000000000001</v>
      </c>
      <c r="Y101" s="13">
        <f t="shared" si="100"/>
        <v>0.28556593977154726</v>
      </c>
      <c r="Z101" s="13">
        <f t="shared" si="101"/>
        <v>0.26421596783457785</v>
      </c>
      <c r="AA101" s="9">
        <f t="shared" ref="AA101:AB101" si="151">X37</f>
        <v>0.32999999999999996</v>
      </c>
      <c r="AB101" s="9">
        <f t="shared" si="151"/>
        <v>1</v>
      </c>
    </row>
    <row r="102" spans="11:28">
      <c r="K102" s="10">
        <f>K39</f>
        <v>3400</v>
      </c>
      <c r="L102" s="9">
        <f t="shared" ref="L102:R102" si="152">L39</f>
        <v>0.9</v>
      </c>
      <c r="M102" s="9">
        <f t="shared" si="152"/>
        <v>0.69</v>
      </c>
      <c r="N102" s="9">
        <f t="shared" si="152"/>
        <v>1.64</v>
      </c>
      <c r="O102" s="9">
        <f t="shared" si="152"/>
        <v>1.5</v>
      </c>
      <c r="P102" s="9">
        <f t="shared" si="152"/>
        <v>0.67</v>
      </c>
      <c r="Q102" s="9">
        <f t="shared" si="152"/>
        <v>0.57999999999999996</v>
      </c>
      <c r="R102" s="9">
        <f t="shared" si="152"/>
        <v>1.4999999999999999E-2</v>
      </c>
      <c r="S102" s="9" t="str">
        <f t="shared" ref="S102:T102" si="153">T39</f>
        <v>1/500</v>
      </c>
      <c r="T102" s="9" t="str">
        <f t="shared" si="153"/>
        <v>U100</v>
      </c>
      <c r="U102" s="13">
        <f>W39</f>
        <v>0.55000000000000004</v>
      </c>
      <c r="V102" s="13">
        <f>V39</f>
        <v>0.46</v>
      </c>
      <c r="W102" s="9">
        <v>1.9259999999999999</v>
      </c>
      <c r="X102" s="9">
        <v>1.7410000000000001</v>
      </c>
      <c r="Y102" s="13">
        <f t="shared" si="100"/>
        <v>0.28556593977154726</v>
      </c>
      <c r="Z102" s="13">
        <f t="shared" si="101"/>
        <v>0.26421596783457785</v>
      </c>
      <c r="AA102" s="9">
        <f t="shared" ref="AA102:AB102" si="154">X39</f>
        <v>0.32999999999999996</v>
      </c>
      <c r="AB102" s="9">
        <f t="shared" si="154"/>
        <v>1</v>
      </c>
    </row>
    <row r="103" spans="11:28">
      <c r="K103" s="10">
        <f>K41</f>
        <v>3600</v>
      </c>
      <c r="L103" s="9">
        <f t="shared" ref="L103:R103" si="155">L41</f>
        <v>0.9</v>
      </c>
      <c r="M103" s="9">
        <f t="shared" si="155"/>
        <v>0.69</v>
      </c>
      <c r="N103" s="9">
        <f t="shared" si="155"/>
        <v>1.64</v>
      </c>
      <c r="O103" s="9">
        <f t="shared" si="155"/>
        <v>1.5</v>
      </c>
      <c r="P103" s="9">
        <f t="shared" si="155"/>
        <v>0.67</v>
      </c>
      <c r="Q103" s="9">
        <f t="shared" si="155"/>
        <v>0.57999999999999996</v>
      </c>
      <c r="R103" s="9">
        <f t="shared" si="155"/>
        <v>1.4999999999999999E-2</v>
      </c>
      <c r="S103" s="9" t="str">
        <f t="shared" ref="S103:T103" si="156">T41</f>
        <v>1/500</v>
      </c>
      <c r="T103" s="9" t="str">
        <f t="shared" si="156"/>
        <v>U100</v>
      </c>
      <c r="U103" s="13">
        <f>W41</f>
        <v>0.55000000000000004</v>
      </c>
      <c r="V103" s="13">
        <f>V41</f>
        <v>0.46</v>
      </c>
      <c r="W103" s="9">
        <v>1.9259999999999999</v>
      </c>
      <c r="X103" s="9">
        <v>1.7410000000000001</v>
      </c>
      <c r="Y103" s="13">
        <f t="shared" si="100"/>
        <v>0.28556593977154726</v>
      </c>
      <c r="Z103" s="13">
        <f t="shared" si="101"/>
        <v>0.26421596783457785</v>
      </c>
      <c r="AA103" s="9">
        <f t="shared" ref="AA103:AB103" si="157">X41</f>
        <v>0.32999999999999996</v>
      </c>
      <c r="AB103" s="9">
        <f t="shared" si="157"/>
        <v>1</v>
      </c>
    </row>
    <row r="104" spans="11:28">
      <c r="K104" s="10">
        <f>K42</f>
        <v>3700</v>
      </c>
      <c r="L104" s="9">
        <f t="shared" ref="L104:R104" si="158">L42</f>
        <v>0.61</v>
      </c>
      <c r="M104" s="9">
        <f t="shared" si="158"/>
        <v>0.47</v>
      </c>
      <c r="N104" s="9">
        <f t="shared" si="158"/>
        <v>1.45</v>
      </c>
      <c r="O104" s="9">
        <f t="shared" si="158"/>
        <v>1.34</v>
      </c>
      <c r="P104" s="9">
        <f t="shared" si="158"/>
        <v>0.59</v>
      </c>
      <c r="Q104" s="9">
        <f t="shared" si="158"/>
        <v>0.52</v>
      </c>
      <c r="R104" s="9">
        <f t="shared" si="158"/>
        <v>1.4999999999999999E-2</v>
      </c>
      <c r="S104" s="9" t="str">
        <f t="shared" ref="S104:T104" si="159">T42</f>
        <v>1/500</v>
      </c>
      <c r="T104" s="9" t="str">
        <f t="shared" si="159"/>
        <v>U80</v>
      </c>
      <c r="U104" s="13">
        <f>W42</f>
        <v>0.42</v>
      </c>
      <c r="V104" s="13">
        <f>V42</f>
        <v>0.35</v>
      </c>
      <c r="W104" s="9">
        <v>1.6479999999999999</v>
      </c>
      <c r="X104" s="9">
        <v>1.504</v>
      </c>
      <c r="Y104" s="13">
        <f t="shared" si="100"/>
        <v>0.25485436893203883</v>
      </c>
      <c r="Z104" s="13">
        <f t="shared" si="101"/>
        <v>0.2327127659574468</v>
      </c>
      <c r="AA104" s="9">
        <f t="shared" ref="AA104:AB104" si="160">X42</f>
        <v>0.21000000000000008</v>
      </c>
      <c r="AB104" s="9">
        <f t="shared" si="160"/>
        <v>0.8</v>
      </c>
    </row>
    <row r="105" spans="11:28">
      <c r="K105" s="10">
        <f>K43</f>
        <v>3800</v>
      </c>
      <c r="L105" s="9">
        <f t="shared" ref="L105:R105" si="161">L43</f>
        <v>0.61</v>
      </c>
      <c r="M105" s="9">
        <f t="shared" si="161"/>
        <v>0.47</v>
      </c>
      <c r="N105" s="9">
        <f t="shared" si="161"/>
        <v>1.45</v>
      </c>
      <c r="O105" s="9">
        <f t="shared" si="161"/>
        <v>1.34</v>
      </c>
      <c r="P105" s="9">
        <f t="shared" si="161"/>
        <v>0.59</v>
      </c>
      <c r="Q105" s="9">
        <f t="shared" si="161"/>
        <v>0.52</v>
      </c>
      <c r="R105" s="9">
        <f t="shared" si="161"/>
        <v>1.4999999999999999E-2</v>
      </c>
      <c r="S105" s="9" t="str">
        <f t="shared" ref="S105:T105" si="162">T43</f>
        <v>1/500</v>
      </c>
      <c r="T105" s="9" t="str">
        <f t="shared" si="162"/>
        <v>U80</v>
      </c>
      <c r="U105" s="13">
        <f>W43</f>
        <v>0.42</v>
      </c>
      <c r="V105" s="13">
        <f>V43</f>
        <v>0.35</v>
      </c>
      <c r="W105" s="9">
        <v>1.6479999999999999</v>
      </c>
      <c r="X105" s="9">
        <v>1.504</v>
      </c>
      <c r="Y105" s="13">
        <f t="shared" si="100"/>
        <v>0.25485436893203883</v>
      </c>
      <c r="Z105" s="13">
        <f t="shared" si="101"/>
        <v>0.2327127659574468</v>
      </c>
      <c r="AA105" s="9">
        <f t="shared" ref="AA105:AB105" si="163">X43</f>
        <v>0.21000000000000008</v>
      </c>
      <c r="AB105" s="9">
        <f t="shared" si="163"/>
        <v>0.8</v>
      </c>
    </row>
    <row r="106" spans="11:28">
      <c r="K106" s="10">
        <f>K45</f>
        <v>4000</v>
      </c>
      <c r="L106" s="9">
        <f t="shared" ref="L106:R106" si="164">L45</f>
        <v>0.61</v>
      </c>
      <c r="M106" s="9">
        <f t="shared" si="164"/>
        <v>0.47</v>
      </c>
      <c r="N106" s="9">
        <f t="shared" si="164"/>
        <v>1.45</v>
      </c>
      <c r="O106" s="9">
        <f t="shared" si="164"/>
        <v>1.34</v>
      </c>
      <c r="P106" s="9">
        <f t="shared" si="164"/>
        <v>0.59</v>
      </c>
      <c r="Q106" s="9">
        <f t="shared" si="164"/>
        <v>0.52</v>
      </c>
      <c r="R106" s="9">
        <f t="shared" si="164"/>
        <v>1.4999999999999999E-2</v>
      </c>
      <c r="S106" s="9" t="str">
        <f t="shared" ref="S106:T106" si="165">T45</f>
        <v>1/500</v>
      </c>
      <c r="T106" s="9" t="str">
        <f t="shared" si="165"/>
        <v>U80</v>
      </c>
      <c r="U106" s="13">
        <f>W45</f>
        <v>0.42</v>
      </c>
      <c r="V106" s="13">
        <f>V45</f>
        <v>0.35</v>
      </c>
      <c r="W106" s="9">
        <v>1.6479999999999999</v>
      </c>
      <c r="X106" s="9">
        <v>1.504</v>
      </c>
      <c r="Y106" s="13">
        <f t="shared" si="100"/>
        <v>0.25485436893203883</v>
      </c>
      <c r="Z106" s="13">
        <f t="shared" si="101"/>
        <v>0.2327127659574468</v>
      </c>
      <c r="AA106" s="9">
        <f t="shared" ref="AA106:AB106" si="166">X45</f>
        <v>0.21000000000000008</v>
      </c>
      <c r="AB106" s="9">
        <f t="shared" si="166"/>
        <v>0.8</v>
      </c>
    </row>
    <row r="107" spans="11:28">
      <c r="K107" s="10">
        <f>K47</f>
        <v>4200</v>
      </c>
      <c r="L107" s="9">
        <f t="shared" ref="L107:R107" si="167">L47</f>
        <v>0.61</v>
      </c>
      <c r="M107" s="9">
        <f t="shared" si="167"/>
        <v>0.47</v>
      </c>
      <c r="N107" s="9">
        <f t="shared" si="167"/>
        <v>1.45</v>
      </c>
      <c r="O107" s="9">
        <f t="shared" si="167"/>
        <v>1.34</v>
      </c>
      <c r="P107" s="9">
        <f t="shared" si="167"/>
        <v>0.59</v>
      </c>
      <c r="Q107" s="9">
        <f t="shared" si="167"/>
        <v>0.52</v>
      </c>
      <c r="R107" s="9">
        <f t="shared" si="167"/>
        <v>1.4999999999999999E-2</v>
      </c>
      <c r="S107" s="9" t="str">
        <f t="shared" ref="S107:T107" si="168">T47</f>
        <v>1/500</v>
      </c>
      <c r="T107" s="9" t="str">
        <f t="shared" si="168"/>
        <v>U80</v>
      </c>
      <c r="U107" s="13">
        <f>W47</f>
        <v>0.42</v>
      </c>
      <c r="V107" s="13">
        <f>V47</f>
        <v>0.35</v>
      </c>
      <c r="W107" s="9">
        <v>1.6479999999999999</v>
      </c>
      <c r="X107" s="9">
        <v>1.504</v>
      </c>
      <c r="Y107" s="13">
        <f t="shared" si="100"/>
        <v>0.25485436893203883</v>
      </c>
      <c r="Z107" s="13">
        <f t="shared" si="101"/>
        <v>0.2327127659574468</v>
      </c>
      <c r="AA107" s="9">
        <f t="shared" ref="AA107:AB107" si="169">X47</f>
        <v>0.21000000000000008</v>
      </c>
      <c r="AB107" s="9">
        <f t="shared" si="169"/>
        <v>0.8</v>
      </c>
    </row>
    <row r="108" spans="11:28">
      <c r="K108" s="10">
        <f>K49</f>
        <v>4400</v>
      </c>
      <c r="L108" s="9">
        <f t="shared" ref="L108:R108" si="170">L49</f>
        <v>0.61</v>
      </c>
      <c r="M108" s="9">
        <f t="shared" si="170"/>
        <v>0.47</v>
      </c>
      <c r="N108" s="9">
        <f t="shared" si="170"/>
        <v>1.45</v>
      </c>
      <c r="O108" s="9">
        <f t="shared" si="170"/>
        <v>1.34</v>
      </c>
      <c r="P108" s="9">
        <f t="shared" si="170"/>
        <v>0.59</v>
      </c>
      <c r="Q108" s="9">
        <f t="shared" si="170"/>
        <v>0.52</v>
      </c>
      <c r="R108" s="9">
        <f t="shared" si="170"/>
        <v>1.4999999999999999E-2</v>
      </c>
      <c r="S108" s="9" t="str">
        <f t="shared" ref="S108:T108" si="171">T49</f>
        <v>1/500</v>
      </c>
      <c r="T108" s="9" t="str">
        <f t="shared" si="171"/>
        <v>U80</v>
      </c>
      <c r="U108" s="13">
        <f>W49</f>
        <v>0.42</v>
      </c>
      <c r="V108" s="13">
        <f>V49</f>
        <v>0.35</v>
      </c>
      <c r="W108" s="9">
        <v>1.6479999999999999</v>
      </c>
      <c r="X108" s="9">
        <v>1.504</v>
      </c>
      <c r="Y108" s="13">
        <f t="shared" si="100"/>
        <v>0.25485436893203883</v>
      </c>
      <c r="Z108" s="13">
        <f t="shared" si="101"/>
        <v>0.2327127659574468</v>
      </c>
      <c r="AA108" s="9">
        <f t="shared" ref="AA108:AB108" si="172">X49</f>
        <v>0.21000000000000008</v>
      </c>
      <c r="AB108" s="9">
        <f t="shared" si="172"/>
        <v>0.8</v>
      </c>
    </row>
    <row r="109" spans="11:28">
      <c r="K109" s="10">
        <f>K51</f>
        <v>4600</v>
      </c>
      <c r="L109" s="9">
        <f t="shared" ref="L109:R109" si="173">L51</f>
        <v>0.61</v>
      </c>
      <c r="M109" s="9">
        <f t="shared" si="173"/>
        <v>0.47</v>
      </c>
      <c r="N109" s="9">
        <f t="shared" si="173"/>
        <v>1.45</v>
      </c>
      <c r="O109" s="9">
        <f t="shared" si="173"/>
        <v>1.34</v>
      </c>
      <c r="P109" s="9">
        <f t="shared" si="173"/>
        <v>0.59</v>
      </c>
      <c r="Q109" s="9">
        <f t="shared" si="173"/>
        <v>0.52</v>
      </c>
      <c r="R109" s="9">
        <f t="shared" si="173"/>
        <v>1.4999999999999999E-2</v>
      </c>
      <c r="S109" s="9" t="str">
        <f t="shared" ref="S109:T109" si="174">T51</f>
        <v>1/500</v>
      </c>
      <c r="T109" s="9" t="str">
        <f t="shared" si="174"/>
        <v>U80</v>
      </c>
      <c r="U109" s="13">
        <f>W51</f>
        <v>0.42</v>
      </c>
      <c r="V109" s="13">
        <f>V51</f>
        <v>0.35</v>
      </c>
      <c r="W109" s="9">
        <v>1.6479999999999999</v>
      </c>
      <c r="X109" s="9">
        <v>1.504</v>
      </c>
      <c r="Y109" s="13">
        <f t="shared" si="100"/>
        <v>0.25485436893203883</v>
      </c>
      <c r="Z109" s="13">
        <f t="shared" si="101"/>
        <v>0.2327127659574468</v>
      </c>
      <c r="AA109" s="9">
        <f t="shared" ref="AA109:AB109" si="175">X51</f>
        <v>0.21000000000000008</v>
      </c>
      <c r="AB109" s="9">
        <f t="shared" si="175"/>
        <v>0.8</v>
      </c>
    </row>
    <row r="110" spans="11:28">
      <c r="K110" s="10">
        <f>K53</f>
        <v>4800</v>
      </c>
      <c r="L110" s="9">
        <f t="shared" ref="L110:R110" si="176">L53</f>
        <v>0.61</v>
      </c>
      <c r="M110" s="9">
        <f t="shared" si="176"/>
        <v>0.47</v>
      </c>
      <c r="N110" s="9">
        <f t="shared" si="176"/>
        <v>1.45</v>
      </c>
      <c r="O110" s="9">
        <f t="shared" si="176"/>
        <v>1.34</v>
      </c>
      <c r="P110" s="9">
        <f t="shared" si="176"/>
        <v>0.59</v>
      </c>
      <c r="Q110" s="9">
        <f t="shared" si="176"/>
        <v>0.52</v>
      </c>
      <c r="R110" s="9">
        <f t="shared" si="176"/>
        <v>1.4999999999999999E-2</v>
      </c>
      <c r="S110" s="9" t="str">
        <f t="shared" ref="S110:T110" si="177">T53</f>
        <v>1/500</v>
      </c>
      <c r="T110" s="9" t="str">
        <f t="shared" si="177"/>
        <v>U80</v>
      </c>
      <c r="U110" s="13">
        <f>W53</f>
        <v>0.42</v>
      </c>
      <c r="V110" s="13">
        <f>V53</f>
        <v>0.35</v>
      </c>
      <c r="W110" s="9">
        <v>1.6479999999999999</v>
      </c>
      <c r="X110" s="9">
        <v>1.504</v>
      </c>
      <c r="Y110" s="13">
        <f t="shared" si="100"/>
        <v>0.25485436893203883</v>
      </c>
      <c r="Z110" s="13">
        <f t="shared" si="101"/>
        <v>0.2327127659574468</v>
      </c>
      <c r="AA110" s="9">
        <f t="shared" ref="AA110:AB110" si="178">X53</f>
        <v>0.21000000000000008</v>
      </c>
      <c r="AB110" s="9">
        <f t="shared" si="178"/>
        <v>0.8</v>
      </c>
    </row>
    <row r="111" spans="11:28">
      <c r="K111" s="10">
        <f>K54</f>
        <v>4900</v>
      </c>
      <c r="L111" s="9">
        <f t="shared" ref="L111:R111" si="179">L54</f>
        <v>0.61</v>
      </c>
      <c r="M111" s="9">
        <f t="shared" si="179"/>
        <v>0.47</v>
      </c>
      <c r="N111" s="9">
        <f t="shared" si="179"/>
        <v>1.45</v>
      </c>
      <c r="O111" s="9">
        <f t="shared" si="179"/>
        <v>1.34</v>
      </c>
      <c r="P111" s="9">
        <f t="shared" si="179"/>
        <v>0.59</v>
      </c>
      <c r="Q111" s="9">
        <f t="shared" si="179"/>
        <v>0.52</v>
      </c>
      <c r="R111" s="9">
        <f t="shared" si="179"/>
        <v>1.4999999999999999E-2</v>
      </c>
      <c r="S111" s="9" t="str">
        <f t="shared" ref="S111:T111" si="180">T54</f>
        <v>1/500</v>
      </c>
      <c r="T111" s="9" t="str">
        <f t="shared" si="180"/>
        <v>U80</v>
      </c>
      <c r="U111" s="13">
        <f>W54</f>
        <v>0.42</v>
      </c>
      <c r="V111" s="13">
        <f>V54</f>
        <v>0.35</v>
      </c>
      <c r="W111" s="9">
        <v>1.5449999999999999</v>
      </c>
      <c r="X111" s="9">
        <v>1.3819999999999999</v>
      </c>
      <c r="Y111" s="13">
        <f t="shared" si="100"/>
        <v>0.27184466019417475</v>
      </c>
      <c r="Z111" s="13">
        <f t="shared" si="101"/>
        <v>0.25325615050651229</v>
      </c>
      <c r="AA111" s="9">
        <f t="shared" ref="AA111:AB111" si="181">X54</f>
        <v>0.21000000000000008</v>
      </c>
      <c r="AB111" s="9">
        <f t="shared" si="181"/>
        <v>0.8</v>
      </c>
    </row>
    <row r="112" spans="11:28">
      <c r="K112" s="10">
        <f>K55</f>
        <v>5000</v>
      </c>
      <c r="L112" s="9">
        <f t="shared" ref="L112:R112" si="182">L55</f>
        <v>0.61</v>
      </c>
      <c r="M112" s="9">
        <f t="shared" si="182"/>
        <v>0.47</v>
      </c>
      <c r="N112" s="9">
        <f t="shared" si="182"/>
        <v>1.65</v>
      </c>
      <c r="O112" s="9">
        <f t="shared" si="182"/>
        <v>1.57</v>
      </c>
      <c r="P112" s="9">
        <f t="shared" si="182"/>
        <v>0.54</v>
      </c>
      <c r="Q112" s="9">
        <f t="shared" si="182"/>
        <v>0.46</v>
      </c>
      <c r="R112" s="9">
        <f t="shared" si="182"/>
        <v>1.4999999999999999E-2</v>
      </c>
      <c r="S112" s="9" t="str">
        <f t="shared" ref="S112:T112" si="183">T55</f>
        <v>1/333</v>
      </c>
      <c r="T112" s="9" t="str">
        <f t="shared" si="183"/>
        <v>U80</v>
      </c>
      <c r="U112" s="13">
        <f>W55</f>
        <v>0.37</v>
      </c>
      <c r="V112" s="13">
        <f>V55</f>
        <v>0.3</v>
      </c>
      <c r="W112" s="9">
        <v>1.5449999999999999</v>
      </c>
      <c r="X112" s="9">
        <v>1.3819999999999999</v>
      </c>
      <c r="Y112" s="13">
        <f t="shared" si="100"/>
        <v>0.2394822006472492</v>
      </c>
      <c r="Z112" s="13">
        <f t="shared" si="101"/>
        <v>0.21707670043415342</v>
      </c>
      <c r="AA112" s="9">
        <f t="shared" ref="AA112:AB112" si="184">X55</f>
        <v>0.26</v>
      </c>
      <c r="AB112" s="9">
        <f t="shared" si="184"/>
        <v>0.8</v>
      </c>
    </row>
    <row r="113" spans="11:28">
      <c r="K113" s="10">
        <f>K57</f>
        <v>5200</v>
      </c>
      <c r="L113" s="9">
        <f t="shared" ref="L113:R113" si="185">L57</f>
        <v>0.61</v>
      </c>
      <c r="M113" s="9">
        <f t="shared" si="185"/>
        <v>0.47</v>
      </c>
      <c r="N113" s="9">
        <f t="shared" si="185"/>
        <v>1.65</v>
      </c>
      <c r="O113" s="9">
        <f t="shared" si="185"/>
        <v>1.57</v>
      </c>
      <c r="P113" s="9">
        <f t="shared" si="185"/>
        <v>0.54</v>
      </c>
      <c r="Q113" s="9">
        <f t="shared" si="185"/>
        <v>0.46</v>
      </c>
      <c r="R113" s="9">
        <f t="shared" si="185"/>
        <v>1.4999999999999999E-2</v>
      </c>
      <c r="S113" s="9" t="str">
        <f t="shared" ref="S113:T113" si="186">T57</f>
        <v>1/333</v>
      </c>
      <c r="T113" s="9" t="str">
        <f t="shared" si="186"/>
        <v>U80</v>
      </c>
      <c r="U113" s="13">
        <f>W57</f>
        <v>0.37</v>
      </c>
      <c r="V113" s="13">
        <f>V57</f>
        <v>0.3</v>
      </c>
      <c r="W113" s="9">
        <v>1.5449999999999999</v>
      </c>
      <c r="X113" s="9">
        <v>1.3819999999999999</v>
      </c>
      <c r="Y113" s="13">
        <f t="shared" si="100"/>
        <v>0.2394822006472492</v>
      </c>
      <c r="Z113" s="13">
        <f t="shared" si="101"/>
        <v>0.21707670043415342</v>
      </c>
      <c r="AA113" s="9">
        <f t="shared" ref="AA113:AB113" si="187">X57</f>
        <v>0.26</v>
      </c>
      <c r="AB113" s="9">
        <f t="shared" si="187"/>
        <v>0.8</v>
      </c>
    </row>
    <row r="114" spans="11:28">
      <c r="K114" s="10">
        <f>K59</f>
        <v>5400</v>
      </c>
      <c r="L114" s="9">
        <f t="shared" ref="L114:R114" si="188">L59</f>
        <v>0.61</v>
      </c>
      <c r="M114" s="9">
        <f t="shared" si="188"/>
        <v>0.47</v>
      </c>
      <c r="N114" s="9">
        <f t="shared" si="188"/>
        <v>1.65</v>
      </c>
      <c r="O114" s="9">
        <f t="shared" si="188"/>
        <v>1.57</v>
      </c>
      <c r="P114" s="9">
        <f t="shared" si="188"/>
        <v>0.54</v>
      </c>
      <c r="Q114" s="9">
        <f t="shared" si="188"/>
        <v>0.46</v>
      </c>
      <c r="R114" s="9">
        <f t="shared" si="188"/>
        <v>1.4999999999999999E-2</v>
      </c>
      <c r="S114" s="9" t="str">
        <f t="shared" ref="S114:T114" si="189">T59</f>
        <v>1/333</v>
      </c>
      <c r="T114" s="9" t="str">
        <f t="shared" si="189"/>
        <v>U80</v>
      </c>
      <c r="U114" s="13">
        <f>W59</f>
        <v>0.37</v>
      </c>
      <c r="V114" s="13">
        <f>V59</f>
        <v>0.3</v>
      </c>
      <c r="W114" s="9">
        <v>1.5449999999999999</v>
      </c>
      <c r="X114" s="9">
        <v>1.3819999999999999</v>
      </c>
      <c r="Y114" s="13">
        <f t="shared" si="100"/>
        <v>0.2394822006472492</v>
      </c>
      <c r="Z114" s="13">
        <f t="shared" si="101"/>
        <v>0.21707670043415342</v>
      </c>
      <c r="AA114" s="9">
        <f t="shared" ref="AA114:AB114" si="190">X59</f>
        <v>0.26</v>
      </c>
      <c r="AB114" s="9">
        <f t="shared" si="190"/>
        <v>0.8</v>
      </c>
    </row>
    <row r="115" spans="11:28">
      <c r="K115" s="10">
        <f>K61</f>
        <v>5600</v>
      </c>
      <c r="L115" s="9">
        <f t="shared" ref="L115:R115" si="191">L61</f>
        <v>0.61</v>
      </c>
      <c r="M115" s="9">
        <f t="shared" si="191"/>
        <v>0.47</v>
      </c>
      <c r="N115" s="9">
        <f t="shared" si="191"/>
        <v>1.65</v>
      </c>
      <c r="O115" s="9">
        <f t="shared" si="191"/>
        <v>1.57</v>
      </c>
      <c r="P115" s="9">
        <f t="shared" si="191"/>
        <v>0.54</v>
      </c>
      <c r="Q115" s="9">
        <f t="shared" si="191"/>
        <v>0.46</v>
      </c>
      <c r="R115" s="9">
        <f t="shared" si="191"/>
        <v>1.4999999999999999E-2</v>
      </c>
      <c r="S115" s="9" t="str">
        <f t="shared" ref="S115:T115" si="192">T61</f>
        <v>1/333</v>
      </c>
      <c r="T115" s="9" t="str">
        <f t="shared" si="192"/>
        <v>U80</v>
      </c>
      <c r="U115" s="13">
        <f>W61</f>
        <v>0.37</v>
      </c>
      <c r="V115" s="13">
        <f>V61</f>
        <v>0.3</v>
      </c>
      <c r="W115" s="9">
        <v>1.5449999999999999</v>
      </c>
      <c r="X115" s="9">
        <v>1.3819999999999999</v>
      </c>
      <c r="Y115" s="13">
        <f t="shared" si="100"/>
        <v>0.2394822006472492</v>
      </c>
      <c r="Z115" s="13">
        <f t="shared" si="101"/>
        <v>0.21707670043415342</v>
      </c>
      <c r="AA115" s="9">
        <f t="shared" ref="AA115:AB115" si="193">X61</f>
        <v>0.26</v>
      </c>
      <c r="AB115" s="9">
        <f t="shared" si="193"/>
        <v>0.8</v>
      </c>
    </row>
    <row r="116" spans="11:28">
      <c r="K116" s="10">
        <f>K63</f>
        <v>5800</v>
      </c>
      <c r="L116" s="9">
        <f t="shared" ref="L116:R116" si="194">L63</f>
        <v>0.61</v>
      </c>
      <c r="M116" s="9">
        <f t="shared" si="194"/>
        <v>0.47</v>
      </c>
      <c r="N116" s="9">
        <f t="shared" si="194"/>
        <v>1.65</v>
      </c>
      <c r="O116" s="9">
        <f t="shared" si="194"/>
        <v>1.57</v>
      </c>
      <c r="P116" s="9">
        <f t="shared" si="194"/>
        <v>0.54</v>
      </c>
      <c r="Q116" s="9">
        <f t="shared" si="194"/>
        <v>0.46</v>
      </c>
      <c r="R116" s="9">
        <f t="shared" si="194"/>
        <v>1.4999999999999999E-2</v>
      </c>
      <c r="S116" s="9" t="str">
        <f t="shared" ref="S116:T116" si="195">T63</f>
        <v>1/333</v>
      </c>
      <c r="T116" s="9" t="str">
        <f t="shared" si="195"/>
        <v>U80</v>
      </c>
      <c r="U116" s="13">
        <f>W63</f>
        <v>0.37</v>
      </c>
      <c r="V116" s="13">
        <f>V63</f>
        <v>0.3</v>
      </c>
      <c r="W116" s="9">
        <v>1.5449999999999999</v>
      </c>
      <c r="X116" s="9">
        <v>1.3819999999999999</v>
      </c>
      <c r="Y116" s="13">
        <f t="shared" si="100"/>
        <v>0.2394822006472492</v>
      </c>
      <c r="Z116" s="13">
        <f t="shared" si="101"/>
        <v>0.21707670043415342</v>
      </c>
      <c r="AA116" s="9">
        <f t="shared" ref="AA116:AB116" si="196">X63</f>
        <v>0.26</v>
      </c>
      <c r="AB116" s="9">
        <f t="shared" si="196"/>
        <v>0.8</v>
      </c>
    </row>
    <row r="117" spans="11:28">
      <c r="K117" s="10">
        <f>K64</f>
        <v>5900</v>
      </c>
      <c r="L117" s="9">
        <f t="shared" ref="L117:R117" si="197">L64</f>
        <v>0.61</v>
      </c>
      <c r="M117" s="9">
        <f t="shared" si="197"/>
        <v>0.47</v>
      </c>
      <c r="N117" s="9">
        <f t="shared" si="197"/>
        <v>1.65</v>
      </c>
      <c r="O117" s="9">
        <f t="shared" si="197"/>
        <v>1.52</v>
      </c>
      <c r="P117" s="9">
        <f t="shared" si="197"/>
        <v>0.56000000000000005</v>
      </c>
      <c r="Q117" s="9">
        <f t="shared" si="197"/>
        <v>0.48</v>
      </c>
      <c r="R117" s="9">
        <f t="shared" si="197"/>
        <v>1.4999999999999999E-2</v>
      </c>
      <c r="S117" s="9" t="str">
        <f>T64</f>
        <v>1/1000</v>
      </c>
      <c r="T117" s="9" t="str">
        <f>U64</f>
        <v>U80</v>
      </c>
      <c r="U117" s="13">
        <f>W64</f>
        <v>0.37</v>
      </c>
      <c r="V117" s="13">
        <f>V64</f>
        <v>0.31</v>
      </c>
      <c r="W117" s="9">
        <v>1.5860000000000001</v>
      </c>
      <c r="X117" s="9">
        <v>1.423</v>
      </c>
      <c r="Y117" s="13">
        <f t="shared" si="100"/>
        <v>0.23329129886506933</v>
      </c>
      <c r="Z117" s="13">
        <f t="shared" si="101"/>
        <v>0.21784961349262122</v>
      </c>
      <c r="AA117" s="9">
        <f t="shared" ref="AA117:AB117" si="198">X64</f>
        <v>0.24</v>
      </c>
      <c r="AB117" s="9">
        <f t="shared" si="198"/>
        <v>0.8</v>
      </c>
    </row>
    <row r="118" spans="11:28">
      <c r="K118" s="10">
        <f>K65</f>
        <v>6000</v>
      </c>
      <c r="L118" s="9">
        <f t="shared" ref="L118:R118" si="199">L65</f>
        <v>0.61</v>
      </c>
      <c r="M118" s="9">
        <f t="shared" si="199"/>
        <v>0.47</v>
      </c>
      <c r="N118" s="9">
        <f t="shared" si="199"/>
        <v>1.65</v>
      </c>
      <c r="O118" s="9">
        <f t="shared" si="199"/>
        <v>1.52</v>
      </c>
      <c r="P118" s="9">
        <f t="shared" si="199"/>
        <v>0.56000000000000005</v>
      </c>
      <c r="Q118" s="9">
        <f t="shared" si="199"/>
        <v>0.48</v>
      </c>
      <c r="R118" s="9">
        <f t="shared" si="199"/>
        <v>1.4999999999999999E-2</v>
      </c>
      <c r="S118" s="9" t="str">
        <f t="shared" ref="S118" si="200">T65</f>
        <v>1/1000</v>
      </c>
      <c r="T118" s="9" t="str">
        <f>U65</f>
        <v>U80</v>
      </c>
      <c r="U118" s="13">
        <f>W65</f>
        <v>0.37</v>
      </c>
      <c r="V118" s="13">
        <f>V65</f>
        <v>0.31</v>
      </c>
      <c r="W118" s="9">
        <v>1.5860000000000001</v>
      </c>
      <c r="X118" s="9">
        <v>1.423</v>
      </c>
      <c r="Y118" s="13">
        <f t="shared" si="100"/>
        <v>0.23329129886506933</v>
      </c>
      <c r="Z118" s="13">
        <f t="shared" si="101"/>
        <v>0.21784961349262122</v>
      </c>
      <c r="AA118" s="9">
        <f t="shared" ref="AA118:AB118" si="201">X65</f>
        <v>0.24</v>
      </c>
      <c r="AB118" s="9">
        <f t="shared" si="201"/>
        <v>0.8</v>
      </c>
    </row>
    <row r="119" spans="11:28">
      <c r="K119" s="10">
        <v>6200</v>
      </c>
      <c r="L119" s="9">
        <f t="shared" ref="L119:R119" si="202">L67</f>
        <v>0.61</v>
      </c>
      <c r="M119" s="9">
        <f t="shared" si="202"/>
        <v>0.47</v>
      </c>
      <c r="N119" s="9">
        <f t="shared" si="202"/>
        <v>1.65</v>
      </c>
      <c r="O119" s="9">
        <f t="shared" si="202"/>
        <v>1.52</v>
      </c>
      <c r="P119" s="9">
        <f t="shared" si="202"/>
        <v>0.56000000000000005</v>
      </c>
      <c r="Q119" s="9">
        <f t="shared" si="202"/>
        <v>0.48</v>
      </c>
      <c r="R119" s="9">
        <f t="shared" si="202"/>
        <v>1.4999999999999999E-2</v>
      </c>
      <c r="S119" s="9" t="str">
        <f t="shared" ref="S119" si="203">T67</f>
        <v>1/1000</v>
      </c>
      <c r="T119" s="9" t="str">
        <f>U67</f>
        <v>U80</v>
      </c>
      <c r="U119" s="13">
        <f>W67</f>
        <v>0.37</v>
      </c>
      <c r="V119" s="13">
        <f>V67</f>
        <v>0.31</v>
      </c>
      <c r="W119" s="9">
        <v>1.5860000000000001</v>
      </c>
      <c r="X119" s="9">
        <v>1.423</v>
      </c>
      <c r="Y119" s="13">
        <f t="shared" si="100"/>
        <v>0.23329129886506933</v>
      </c>
      <c r="Z119" s="13">
        <f t="shared" si="101"/>
        <v>0.21784961349262122</v>
      </c>
      <c r="AA119" s="9">
        <f t="shared" ref="AA119:AB119" si="204">X67</f>
        <v>0.24</v>
      </c>
      <c r="AB119" s="9">
        <f t="shared" si="204"/>
        <v>0.8</v>
      </c>
    </row>
    <row r="120" spans="11:28">
      <c r="K120" s="10">
        <f>K69</f>
        <v>6400</v>
      </c>
      <c r="L120" s="9">
        <f t="shared" ref="L120:R120" si="205">L69</f>
        <v>0.61</v>
      </c>
      <c r="M120" s="9">
        <f t="shared" si="205"/>
        <v>0.47</v>
      </c>
      <c r="N120" s="9">
        <f t="shared" si="205"/>
        <v>1.65</v>
      </c>
      <c r="O120" s="9">
        <f t="shared" si="205"/>
        <v>1.52</v>
      </c>
      <c r="P120" s="9">
        <f t="shared" si="205"/>
        <v>0.56000000000000005</v>
      </c>
      <c r="Q120" s="9">
        <f t="shared" si="205"/>
        <v>0.48</v>
      </c>
      <c r="R120" s="9">
        <f t="shared" si="205"/>
        <v>2.0150000000000001</v>
      </c>
      <c r="S120" s="9" t="str">
        <f t="shared" ref="S120" si="206">T69</f>
        <v>1/1000</v>
      </c>
      <c r="T120" s="9" t="str">
        <f>U69</f>
        <v>U80</v>
      </c>
      <c r="U120" s="13">
        <f>W69</f>
        <v>0.37</v>
      </c>
      <c r="V120" s="13">
        <f>V69</f>
        <v>0.31</v>
      </c>
      <c r="W120" s="9">
        <v>1.5860000000000001</v>
      </c>
      <c r="X120" s="9">
        <v>1.423</v>
      </c>
      <c r="Y120" s="13">
        <f t="shared" si="100"/>
        <v>0.23329129886506933</v>
      </c>
      <c r="Z120" s="13">
        <f t="shared" si="101"/>
        <v>0.21784961349262122</v>
      </c>
      <c r="AA120" s="9">
        <f t="shared" ref="AA120:AB120" si="207">X69</f>
        <v>0.24</v>
      </c>
      <c r="AB120" s="9">
        <f t="shared" si="207"/>
        <v>0.8</v>
      </c>
    </row>
    <row r="121" spans="11:28">
      <c r="K121" s="10">
        <f t="shared" ref="K121:R121" si="208">K71</f>
        <v>6600</v>
      </c>
      <c r="L121" s="9">
        <f t="shared" si="208"/>
        <v>0.61</v>
      </c>
      <c r="M121" s="9">
        <f t="shared" si="208"/>
        <v>0.47</v>
      </c>
      <c r="N121" s="9">
        <f t="shared" si="208"/>
        <v>1.65</v>
      </c>
      <c r="O121" s="9">
        <f t="shared" si="208"/>
        <v>1.52</v>
      </c>
      <c r="P121" s="9">
        <f t="shared" si="208"/>
        <v>0.56000000000000005</v>
      </c>
      <c r="Q121" s="9">
        <f t="shared" si="208"/>
        <v>0.48</v>
      </c>
      <c r="R121" s="9">
        <f t="shared" si="208"/>
        <v>4.0149999999999997</v>
      </c>
      <c r="S121" s="9" t="str">
        <f t="shared" ref="S121" si="209">T71</f>
        <v>1/1000</v>
      </c>
      <c r="T121" s="9" t="str">
        <f>U71</f>
        <v>U80</v>
      </c>
      <c r="U121" s="13">
        <f>W71</f>
        <v>0.37</v>
      </c>
      <c r="V121" s="13">
        <f>V71</f>
        <v>0.31</v>
      </c>
      <c r="W121" s="9">
        <v>1.5860000000000001</v>
      </c>
      <c r="X121" s="9">
        <v>1.423</v>
      </c>
      <c r="Y121" s="13">
        <f t="shared" ref="Y121:Y124" si="210">U121/W121</f>
        <v>0.23329129886506933</v>
      </c>
      <c r="Z121" s="13">
        <f t="shared" ref="Z121:Z124" si="211">V121/X121</f>
        <v>0.21784961349262122</v>
      </c>
      <c r="AA121" s="9">
        <f t="shared" ref="AA121:AB121" si="212">X71</f>
        <v>0.24</v>
      </c>
      <c r="AB121" s="9">
        <f t="shared" si="212"/>
        <v>0.8</v>
      </c>
    </row>
    <row r="122" spans="11:28">
      <c r="K122" s="10">
        <f t="shared" ref="K122:R122" si="213">K73</f>
        <v>6800</v>
      </c>
      <c r="L122" s="9">
        <f t="shared" si="213"/>
        <v>0.61</v>
      </c>
      <c r="M122" s="9">
        <f t="shared" si="213"/>
        <v>0.47</v>
      </c>
      <c r="N122" s="9">
        <f t="shared" si="213"/>
        <v>1.65</v>
      </c>
      <c r="O122" s="9">
        <f t="shared" si="213"/>
        <v>1.52</v>
      </c>
      <c r="P122" s="9">
        <f t="shared" si="213"/>
        <v>0.56000000000000005</v>
      </c>
      <c r="Q122" s="9">
        <f t="shared" si="213"/>
        <v>0.48</v>
      </c>
      <c r="R122" s="9">
        <f t="shared" si="213"/>
        <v>6.0149999999999997</v>
      </c>
      <c r="S122" s="9" t="str">
        <f t="shared" ref="S122" si="214">T73</f>
        <v>1/1000</v>
      </c>
      <c r="T122" s="9" t="str">
        <f>U73</f>
        <v>U80</v>
      </c>
      <c r="U122" s="13">
        <f>W73</f>
        <v>0.37</v>
      </c>
      <c r="V122" s="13">
        <f>V73</f>
        <v>0.31</v>
      </c>
      <c r="W122" s="9">
        <v>1.5860000000000001</v>
      </c>
      <c r="X122" s="9">
        <v>1.423</v>
      </c>
      <c r="Y122" s="13">
        <f t="shared" si="210"/>
        <v>0.23329129886506933</v>
      </c>
      <c r="Z122" s="13">
        <f t="shared" si="211"/>
        <v>0.21784961349262122</v>
      </c>
      <c r="AA122" s="9">
        <f t="shared" ref="AA122:AB122" si="215">X73</f>
        <v>0.24</v>
      </c>
      <c r="AB122" s="9">
        <f t="shared" si="215"/>
        <v>0.8</v>
      </c>
    </row>
    <row r="123" spans="11:28">
      <c r="K123" s="10">
        <f t="shared" ref="K123:R123" si="216">K75</f>
        <v>7000</v>
      </c>
      <c r="L123" s="9">
        <f t="shared" si="216"/>
        <v>0.61</v>
      </c>
      <c r="M123" s="9">
        <f t="shared" si="216"/>
        <v>0.47</v>
      </c>
      <c r="N123" s="9">
        <f t="shared" si="216"/>
        <v>1.65</v>
      </c>
      <c r="O123" s="9">
        <f t="shared" si="216"/>
        <v>1.52</v>
      </c>
      <c r="P123" s="9">
        <f t="shared" si="216"/>
        <v>0.56000000000000005</v>
      </c>
      <c r="Q123" s="9">
        <f t="shared" si="216"/>
        <v>0.48</v>
      </c>
      <c r="R123" s="9">
        <f t="shared" si="216"/>
        <v>8.0150000000000006</v>
      </c>
      <c r="S123" s="9" t="str">
        <f t="shared" ref="S123" si="217">T75</f>
        <v>1/1000</v>
      </c>
      <c r="T123" s="9" t="str">
        <f>U75</f>
        <v>U80</v>
      </c>
      <c r="U123" s="13">
        <f>W75</f>
        <v>0.37</v>
      </c>
      <c r="V123" s="13">
        <f>V75</f>
        <v>0.31</v>
      </c>
      <c r="W123" s="9">
        <v>1.5860000000000001</v>
      </c>
      <c r="X123" s="9">
        <v>1.423</v>
      </c>
      <c r="Y123" s="13">
        <f t="shared" si="210"/>
        <v>0.23329129886506933</v>
      </c>
      <c r="Z123" s="13">
        <f t="shared" si="211"/>
        <v>0.21784961349262122</v>
      </c>
      <c r="AA123" s="9">
        <f t="shared" ref="AA123:AB123" si="218">X75</f>
        <v>0.24</v>
      </c>
      <c r="AB123" s="9">
        <f t="shared" si="218"/>
        <v>0.8</v>
      </c>
    </row>
    <row r="124" spans="11:28">
      <c r="K124" s="10">
        <f t="shared" ref="K124:R124" si="219">K77</f>
        <v>7224</v>
      </c>
      <c r="L124" s="9">
        <f t="shared" si="219"/>
        <v>0.61</v>
      </c>
      <c r="M124" s="9">
        <f t="shared" si="219"/>
        <v>0.47</v>
      </c>
      <c r="N124" s="9">
        <f t="shared" si="219"/>
        <v>1.65</v>
      </c>
      <c r="O124" s="9">
        <f t="shared" si="219"/>
        <v>1.52</v>
      </c>
      <c r="P124" s="9">
        <f t="shared" si="219"/>
        <v>0.56000000000000005</v>
      </c>
      <c r="Q124" s="9">
        <f t="shared" si="219"/>
        <v>0.48</v>
      </c>
      <c r="R124" s="9">
        <f t="shared" si="219"/>
        <v>10.015000000000001</v>
      </c>
      <c r="S124" s="9" t="str">
        <f t="shared" ref="S124" si="220">T77</f>
        <v>1/1000</v>
      </c>
      <c r="T124" s="9" t="str">
        <f>U77</f>
        <v>U80</v>
      </c>
      <c r="U124" s="13">
        <f>W77</f>
        <v>0.37</v>
      </c>
      <c r="V124" s="13">
        <f>V77</f>
        <v>0.31</v>
      </c>
      <c r="W124" s="9">
        <v>1.5860000000000001</v>
      </c>
      <c r="X124" s="9">
        <v>1.423</v>
      </c>
      <c r="Y124" s="13">
        <f t="shared" si="210"/>
        <v>0.23329129886506933</v>
      </c>
      <c r="Z124" s="13">
        <f t="shared" si="211"/>
        <v>0.21784961349262122</v>
      </c>
      <c r="AA124" s="9">
        <f t="shared" ref="AA124:AB124" si="221">X77</f>
        <v>0.24</v>
      </c>
      <c r="AB124" s="9">
        <f t="shared" si="221"/>
        <v>0.8</v>
      </c>
    </row>
    <row r="125" spans="11:28">
      <c r="K125" s="23"/>
    </row>
    <row r="126" spans="11:28">
      <c r="K126" s="23"/>
    </row>
    <row r="127" spans="11:28">
      <c r="K127" s="23"/>
    </row>
    <row r="128" spans="11:28">
      <c r="K128" s="23"/>
    </row>
    <row r="134" spans="2:16">
      <c r="K134" t="s">
        <v>771</v>
      </c>
      <c r="L134" t="s">
        <v>773</v>
      </c>
      <c r="M134" t="s">
        <v>774</v>
      </c>
      <c r="N134" t="s">
        <v>776</v>
      </c>
      <c r="O134" t="s">
        <v>775</v>
      </c>
    </row>
    <row r="135" spans="2:16">
      <c r="K135" s="23">
        <v>10</v>
      </c>
      <c r="L135">
        <f>N135+Y5</f>
        <v>1666.75</v>
      </c>
      <c r="M135">
        <f>N135+Q5</f>
        <v>1666.22</v>
      </c>
      <c r="N135">
        <f t="shared" ref="N135:N141" si="222">AA5</f>
        <v>1665.75</v>
      </c>
      <c r="O135">
        <f>E4</f>
        <v>1666.65</v>
      </c>
      <c r="P135">
        <f>干渠!W228</f>
        <v>1666.44</v>
      </c>
    </row>
    <row r="136" spans="2:16">
      <c r="K136" s="23">
        <f t="shared" ref="K136:K141" si="223">K6</f>
        <v>100</v>
      </c>
      <c r="L136">
        <f t="shared" ref="L136:L141" si="224">AA6+Y6</f>
        <v>1666.3</v>
      </c>
      <c r="M136">
        <f t="shared" ref="M136:M141" si="225">AB6</f>
        <v>1665.77</v>
      </c>
      <c r="N136">
        <f t="shared" si="222"/>
        <v>1665.3</v>
      </c>
      <c r="O136">
        <f t="shared" ref="O136:O141" si="226">E6</f>
        <v>1665.81</v>
      </c>
    </row>
    <row r="137" spans="2:16">
      <c r="B137" t="s">
        <v>0</v>
      </c>
      <c r="D137" t="s">
        <v>1</v>
      </c>
      <c r="K137" s="23">
        <f t="shared" si="223"/>
        <v>200</v>
      </c>
      <c r="L137">
        <f t="shared" si="224"/>
        <v>1665.8</v>
      </c>
      <c r="M137">
        <f t="shared" si="225"/>
        <v>1665.27</v>
      </c>
      <c r="N137">
        <f t="shared" si="222"/>
        <v>1664.8</v>
      </c>
      <c r="O137">
        <f t="shared" si="226"/>
        <v>1665.63</v>
      </c>
    </row>
    <row r="138" spans="2:16">
      <c r="B138" t="s">
        <v>93</v>
      </c>
      <c r="C138">
        <v>3800</v>
      </c>
      <c r="D138">
        <v>1651.8240000000001</v>
      </c>
      <c r="E138">
        <f t="shared" ref="E138:E169" si="227">ROUND(D138,2)</f>
        <v>1651.82</v>
      </c>
      <c r="F138">
        <f>F43</f>
        <v>1651.4</v>
      </c>
      <c r="G138">
        <f t="shared" ref="G138" si="228">E138-F138</f>
        <v>0.41999999999984539</v>
      </c>
      <c r="H138">
        <v>2E-3</v>
      </c>
      <c r="K138" s="23">
        <f t="shared" si="223"/>
        <v>300</v>
      </c>
      <c r="L138">
        <f t="shared" si="224"/>
        <v>1665.3</v>
      </c>
      <c r="M138">
        <f t="shared" si="225"/>
        <v>1664.77</v>
      </c>
      <c r="N138">
        <f t="shared" si="222"/>
        <v>1664.3</v>
      </c>
      <c r="O138">
        <f t="shared" si="226"/>
        <v>1665.15</v>
      </c>
    </row>
    <row r="139" spans="2:16">
      <c r="B139" t="s">
        <v>95</v>
      </c>
      <c r="K139" s="23">
        <f t="shared" si="223"/>
        <v>400</v>
      </c>
      <c r="L139">
        <f t="shared" si="224"/>
        <v>1664.8</v>
      </c>
      <c r="M139">
        <f t="shared" si="225"/>
        <v>1664.27</v>
      </c>
      <c r="N139">
        <f t="shared" si="222"/>
        <v>1663.8</v>
      </c>
      <c r="O139">
        <f t="shared" si="226"/>
        <v>1664.74</v>
      </c>
    </row>
    <row r="140" spans="2:16">
      <c r="B140" t="s">
        <v>97</v>
      </c>
      <c r="K140" s="23">
        <f t="shared" si="223"/>
        <v>500</v>
      </c>
      <c r="L140">
        <f t="shared" si="224"/>
        <v>1664.3</v>
      </c>
      <c r="M140">
        <f t="shared" si="225"/>
        <v>1663.77</v>
      </c>
      <c r="N140">
        <f t="shared" si="222"/>
        <v>1663.3</v>
      </c>
      <c r="O140">
        <f t="shared" si="226"/>
        <v>1663.84</v>
      </c>
    </row>
    <row r="141" spans="2:16">
      <c r="B141" t="s">
        <v>100</v>
      </c>
      <c r="G141" s="12" t="s">
        <v>484</v>
      </c>
      <c r="H141" s="12">
        <v>100</v>
      </c>
      <c r="K141" s="23">
        <f t="shared" si="223"/>
        <v>600</v>
      </c>
      <c r="L141">
        <f t="shared" si="224"/>
        <v>1663.8</v>
      </c>
      <c r="M141">
        <f t="shared" si="225"/>
        <v>1663.27</v>
      </c>
      <c r="N141">
        <f t="shared" si="222"/>
        <v>1662.8</v>
      </c>
      <c r="O141">
        <f t="shared" si="226"/>
        <v>1663.04</v>
      </c>
    </row>
    <row r="142" spans="2:16">
      <c r="G142" s="12"/>
      <c r="H142" s="12"/>
      <c r="K142" s="23"/>
    </row>
    <row r="143" spans="2:16">
      <c r="B143" t="s">
        <v>102</v>
      </c>
      <c r="G143" s="12" t="s">
        <v>485</v>
      </c>
      <c r="H143" s="12">
        <v>800</v>
      </c>
      <c r="K143" s="23">
        <f t="shared" ref="K143:K148" si="229">K12</f>
        <v>700</v>
      </c>
      <c r="L143">
        <f t="shared" ref="L143:L148" si="230">AA12+Y12</f>
        <v>1663.3</v>
      </c>
      <c r="M143">
        <f t="shared" ref="M143:M148" si="231">AB12</f>
        <v>1662.77</v>
      </c>
      <c r="N143">
        <f t="shared" ref="N143:N148" si="232">AA12</f>
        <v>1662.3</v>
      </c>
      <c r="O143">
        <f t="shared" ref="O143:O148" si="233">E12</f>
        <v>1662.37</v>
      </c>
    </row>
    <row r="144" spans="2:16">
      <c r="B144" t="s">
        <v>104</v>
      </c>
      <c r="G144" s="12" t="s">
        <v>486</v>
      </c>
      <c r="H144" s="12">
        <v>1700</v>
      </c>
      <c r="K144" s="23">
        <f t="shared" si="229"/>
        <v>800</v>
      </c>
      <c r="L144">
        <f t="shared" si="230"/>
        <v>1662.8</v>
      </c>
      <c r="M144">
        <f t="shared" si="231"/>
        <v>1662.27</v>
      </c>
      <c r="N144">
        <f t="shared" si="232"/>
        <v>1661.8</v>
      </c>
      <c r="O144">
        <f t="shared" si="233"/>
        <v>1661.86</v>
      </c>
    </row>
    <row r="145" spans="2:15">
      <c r="B145" t="s">
        <v>107</v>
      </c>
      <c r="G145" s="12" t="s">
        <v>487</v>
      </c>
      <c r="H145" s="12">
        <v>2600</v>
      </c>
      <c r="K145" s="23">
        <f t="shared" si="229"/>
        <v>900</v>
      </c>
      <c r="L145">
        <f t="shared" si="230"/>
        <v>1662.3</v>
      </c>
      <c r="M145">
        <f t="shared" si="231"/>
        <v>1661.77</v>
      </c>
      <c r="N145">
        <f t="shared" si="232"/>
        <v>1661.3</v>
      </c>
      <c r="O145">
        <f t="shared" si="233"/>
        <v>1661.43</v>
      </c>
    </row>
    <row r="146" spans="2:15">
      <c r="B146" t="s">
        <v>109</v>
      </c>
      <c r="G146" s="12" t="s">
        <v>488</v>
      </c>
      <c r="H146" s="12">
        <v>3600</v>
      </c>
      <c r="K146" s="23">
        <f t="shared" si="229"/>
        <v>1000</v>
      </c>
      <c r="L146">
        <f t="shared" si="230"/>
        <v>1661.8</v>
      </c>
      <c r="M146">
        <f t="shared" si="231"/>
        <v>1661.27</v>
      </c>
      <c r="N146">
        <f t="shared" si="232"/>
        <v>1660.8</v>
      </c>
      <c r="O146">
        <f t="shared" si="233"/>
        <v>1661.14</v>
      </c>
    </row>
    <row r="147" spans="2:15">
      <c r="B147" t="s">
        <v>111</v>
      </c>
      <c r="G147" s="12" t="s">
        <v>489</v>
      </c>
      <c r="H147" s="12">
        <v>4700</v>
      </c>
      <c r="K147" s="23">
        <f t="shared" si="229"/>
        <v>1100</v>
      </c>
      <c r="L147">
        <f t="shared" si="230"/>
        <v>1661.3</v>
      </c>
      <c r="M147">
        <f t="shared" si="231"/>
        <v>1660.77</v>
      </c>
      <c r="N147">
        <f t="shared" si="232"/>
        <v>1660.3</v>
      </c>
      <c r="O147">
        <f t="shared" si="233"/>
        <v>1660.61</v>
      </c>
    </row>
    <row r="148" spans="2:15">
      <c r="B148" t="s">
        <v>113</v>
      </c>
      <c r="G148" s="12" t="s">
        <v>490</v>
      </c>
      <c r="H148" s="12">
        <v>4700</v>
      </c>
      <c r="K148" s="23">
        <f t="shared" si="229"/>
        <v>1200</v>
      </c>
      <c r="L148">
        <f t="shared" si="230"/>
        <v>1660.8</v>
      </c>
      <c r="M148">
        <f t="shared" si="231"/>
        <v>1660.27</v>
      </c>
      <c r="N148">
        <f t="shared" si="232"/>
        <v>1659.8</v>
      </c>
      <c r="O148">
        <f t="shared" si="233"/>
        <v>1660.17</v>
      </c>
    </row>
    <row r="149" spans="2:15">
      <c r="G149" s="12"/>
      <c r="H149" s="12"/>
      <c r="K149" s="23"/>
    </row>
    <row r="150" spans="2:15">
      <c r="B150" t="s">
        <v>115</v>
      </c>
      <c r="G150" s="12" t="s">
        <v>491</v>
      </c>
      <c r="H150" s="12">
        <v>6197</v>
      </c>
      <c r="K150" s="23">
        <f t="shared" ref="K150:K155" si="234">K18</f>
        <v>1300</v>
      </c>
      <c r="L150">
        <f t="shared" ref="L150:L155" si="235">AA18+Y18</f>
        <v>1660.3</v>
      </c>
      <c r="M150">
        <f t="shared" ref="M150:M155" si="236">AB18</f>
        <v>1659.77</v>
      </c>
      <c r="N150">
        <f t="shared" ref="N150:N155" si="237">AA18</f>
        <v>1659.3</v>
      </c>
      <c r="O150">
        <f t="shared" ref="O150:O155" si="238">E18</f>
        <v>1659.64</v>
      </c>
    </row>
    <row r="151" spans="2:15">
      <c r="B151" t="s">
        <v>117</v>
      </c>
      <c r="K151" s="23">
        <f t="shared" si="234"/>
        <v>1400</v>
      </c>
      <c r="L151">
        <f t="shared" si="235"/>
        <v>1659.8</v>
      </c>
      <c r="M151">
        <f t="shared" si="236"/>
        <v>1659.27</v>
      </c>
      <c r="N151">
        <f t="shared" si="237"/>
        <v>1658.8</v>
      </c>
      <c r="O151">
        <f t="shared" si="238"/>
        <v>1659.1</v>
      </c>
    </row>
    <row r="152" spans="2:15">
      <c r="B152" t="s">
        <v>119</v>
      </c>
      <c r="K152" s="23">
        <f t="shared" si="234"/>
        <v>1500</v>
      </c>
      <c r="L152">
        <f t="shared" si="235"/>
        <v>1659.3</v>
      </c>
      <c r="M152">
        <f t="shared" si="236"/>
        <v>1658.77</v>
      </c>
      <c r="N152">
        <f t="shared" si="237"/>
        <v>1658.3</v>
      </c>
      <c r="O152">
        <f t="shared" si="238"/>
        <v>1658.88</v>
      </c>
    </row>
    <row r="153" spans="2:15">
      <c r="B153" t="s">
        <v>122</v>
      </c>
      <c r="K153" s="23">
        <f t="shared" si="234"/>
        <v>1600</v>
      </c>
      <c r="L153">
        <f t="shared" si="235"/>
        <v>1658.8</v>
      </c>
      <c r="M153">
        <f t="shared" si="236"/>
        <v>1658.27</v>
      </c>
      <c r="N153">
        <f t="shared" si="237"/>
        <v>1657.8</v>
      </c>
      <c r="O153">
        <f t="shared" si="238"/>
        <v>1658.33</v>
      </c>
    </row>
    <row r="154" spans="2:15">
      <c r="B154" t="s">
        <v>124</v>
      </c>
      <c r="K154" s="23">
        <f t="shared" si="234"/>
        <v>1700</v>
      </c>
      <c r="L154">
        <f t="shared" si="235"/>
        <v>1658.3</v>
      </c>
      <c r="M154">
        <f t="shared" si="236"/>
        <v>1657.77</v>
      </c>
      <c r="N154">
        <f t="shared" si="237"/>
        <v>1657.3</v>
      </c>
      <c r="O154">
        <f t="shared" si="238"/>
        <v>1657.8</v>
      </c>
    </row>
    <row r="155" spans="2:15">
      <c r="B155" t="s">
        <v>127</v>
      </c>
      <c r="K155" s="23">
        <f t="shared" si="234"/>
        <v>1800</v>
      </c>
      <c r="L155">
        <f t="shared" si="235"/>
        <v>1657.8</v>
      </c>
      <c r="M155">
        <f t="shared" si="236"/>
        <v>1657.36</v>
      </c>
      <c r="N155">
        <f t="shared" si="237"/>
        <v>1656.8</v>
      </c>
      <c r="O155">
        <f t="shared" si="238"/>
        <v>1657.41</v>
      </c>
    </row>
    <row r="156" spans="2:15">
      <c r="K156" s="23"/>
    </row>
    <row r="157" spans="2:15">
      <c r="B157" t="s">
        <v>129</v>
      </c>
      <c r="K157" s="23">
        <f t="shared" ref="K157:K162" si="239">K24</f>
        <v>1900</v>
      </c>
      <c r="L157">
        <f t="shared" ref="L157:L162" si="240">AA24+Y24</f>
        <v>1657.5</v>
      </c>
      <c r="M157">
        <f t="shared" ref="M157:M162" si="241">AB24</f>
        <v>1657.06</v>
      </c>
      <c r="N157">
        <f t="shared" ref="N157:N162" si="242">AA24</f>
        <v>1656.5</v>
      </c>
      <c r="O157">
        <f t="shared" ref="O157:O162" si="243">E24</f>
        <v>1656.81</v>
      </c>
    </row>
    <row r="158" spans="2:15">
      <c r="B158" t="s">
        <v>131</v>
      </c>
      <c r="K158" s="23">
        <f t="shared" si="239"/>
        <v>2000</v>
      </c>
      <c r="L158">
        <f t="shared" si="240"/>
        <v>1657.2</v>
      </c>
      <c r="M158">
        <f t="shared" si="241"/>
        <v>1656.76</v>
      </c>
      <c r="N158">
        <f t="shared" si="242"/>
        <v>1656.2</v>
      </c>
      <c r="O158">
        <f t="shared" si="243"/>
        <v>1656.32</v>
      </c>
    </row>
    <row r="159" spans="2:15">
      <c r="B159" t="s">
        <v>133</v>
      </c>
      <c r="K159" s="23">
        <f t="shared" si="239"/>
        <v>2100</v>
      </c>
      <c r="L159">
        <f t="shared" si="240"/>
        <v>1656.9</v>
      </c>
      <c r="M159">
        <f t="shared" si="241"/>
        <v>1656.46</v>
      </c>
      <c r="N159">
        <f t="shared" si="242"/>
        <v>1655.9</v>
      </c>
      <c r="O159">
        <f t="shared" si="243"/>
        <v>1656.02</v>
      </c>
    </row>
    <row r="160" spans="2:15">
      <c r="B160" t="s">
        <v>135</v>
      </c>
      <c r="K160" s="23">
        <f t="shared" si="239"/>
        <v>2200</v>
      </c>
      <c r="L160">
        <f t="shared" si="240"/>
        <v>1656.6</v>
      </c>
      <c r="M160">
        <f t="shared" si="241"/>
        <v>1656.1599999999999</v>
      </c>
      <c r="N160">
        <f t="shared" si="242"/>
        <v>1655.6</v>
      </c>
      <c r="O160">
        <f t="shared" si="243"/>
        <v>1656.09</v>
      </c>
    </row>
    <row r="161" spans="2:15">
      <c r="B161" t="s">
        <v>137</v>
      </c>
      <c r="K161" s="23">
        <f t="shared" si="239"/>
        <v>2300</v>
      </c>
      <c r="L161">
        <f t="shared" si="240"/>
        <v>1656.3</v>
      </c>
      <c r="M161">
        <f t="shared" si="241"/>
        <v>1655.86</v>
      </c>
      <c r="N161">
        <f t="shared" si="242"/>
        <v>1655.3</v>
      </c>
      <c r="O161">
        <f t="shared" si="243"/>
        <v>1655.64</v>
      </c>
    </row>
    <row r="162" spans="2:15">
      <c r="B162" t="s">
        <v>139</v>
      </c>
      <c r="K162" s="23">
        <f t="shared" si="239"/>
        <v>2400</v>
      </c>
      <c r="L162">
        <f t="shared" si="240"/>
        <v>1656</v>
      </c>
      <c r="M162">
        <f t="shared" si="241"/>
        <v>1655.56</v>
      </c>
      <c r="N162">
        <f t="shared" si="242"/>
        <v>1655</v>
      </c>
      <c r="O162">
        <f t="shared" si="243"/>
        <v>1655.24</v>
      </c>
    </row>
    <row r="163" spans="2:15">
      <c r="K163" s="23"/>
    </row>
    <row r="164" spans="2:15">
      <c r="B164" t="s">
        <v>141</v>
      </c>
      <c r="K164" s="23">
        <f t="shared" ref="K164:K169" si="244">K30</f>
        <v>2500</v>
      </c>
      <c r="L164">
        <f t="shared" ref="L164:L169" si="245">AA30+Y30</f>
        <v>1655.7</v>
      </c>
      <c r="M164">
        <f t="shared" ref="M164:M169" si="246">AB30</f>
        <v>1655.26</v>
      </c>
      <c r="N164">
        <f t="shared" ref="N164:N169" si="247">AA30</f>
        <v>1654.7</v>
      </c>
      <c r="O164">
        <f t="shared" ref="O164:O169" si="248">E30</f>
        <v>1655.13</v>
      </c>
    </row>
    <row r="165" spans="2:15">
      <c r="B165" t="s">
        <v>143</v>
      </c>
      <c r="K165" s="23">
        <f t="shared" si="244"/>
        <v>2600</v>
      </c>
      <c r="L165">
        <f t="shared" si="245"/>
        <v>1655.4</v>
      </c>
      <c r="M165">
        <f t="shared" si="246"/>
        <v>1654.96</v>
      </c>
      <c r="N165">
        <f t="shared" si="247"/>
        <v>1654.4</v>
      </c>
      <c r="O165">
        <f t="shared" si="248"/>
        <v>1654.84</v>
      </c>
    </row>
    <row r="166" spans="2:15">
      <c r="B166" t="s">
        <v>145</v>
      </c>
      <c r="K166" s="23">
        <f t="shared" si="244"/>
        <v>2700</v>
      </c>
      <c r="L166">
        <f t="shared" si="245"/>
        <v>1655.1</v>
      </c>
      <c r="M166">
        <f t="shared" si="246"/>
        <v>1654.57</v>
      </c>
      <c r="N166">
        <f t="shared" si="247"/>
        <v>1654.1</v>
      </c>
      <c r="O166">
        <f t="shared" si="248"/>
        <v>1654.5</v>
      </c>
    </row>
    <row r="167" spans="2:15">
      <c r="B167" t="s">
        <v>147</v>
      </c>
      <c r="C167">
        <v>6300</v>
      </c>
      <c r="D167">
        <v>1646.277</v>
      </c>
      <c r="E167">
        <f t="shared" si="227"/>
        <v>1646.28</v>
      </c>
      <c r="F167">
        <f>ROUND(F67-(C167-C67)*H67,2)</f>
        <v>1645.9</v>
      </c>
      <c r="K167" s="23">
        <f t="shared" si="244"/>
        <v>2800</v>
      </c>
      <c r="L167">
        <f t="shared" si="245"/>
        <v>1654.8</v>
      </c>
      <c r="M167">
        <f t="shared" si="246"/>
        <v>1654.27</v>
      </c>
      <c r="N167">
        <f t="shared" si="247"/>
        <v>1653.8</v>
      </c>
      <c r="O167">
        <f t="shared" si="248"/>
        <v>1654.19</v>
      </c>
    </row>
    <row r="168" spans="2:15">
      <c r="B168" t="s">
        <v>149</v>
      </c>
      <c r="C168">
        <v>6400</v>
      </c>
      <c r="D168">
        <v>1646.3610000000001</v>
      </c>
      <c r="E168">
        <f t="shared" si="227"/>
        <v>1646.36</v>
      </c>
      <c r="F168">
        <f t="shared" ref="F168:F169" si="249">ROUND(F167-(C168-C167)*H167,2)</f>
        <v>1645.9</v>
      </c>
      <c r="K168" s="23">
        <f t="shared" si="244"/>
        <v>2900</v>
      </c>
      <c r="L168">
        <f t="shared" si="245"/>
        <v>1654.5</v>
      </c>
      <c r="M168">
        <f t="shared" si="246"/>
        <v>1653.97</v>
      </c>
      <c r="N168">
        <f t="shared" si="247"/>
        <v>1653.5</v>
      </c>
      <c r="O168">
        <f t="shared" si="248"/>
        <v>1654</v>
      </c>
    </row>
    <row r="169" spans="2:15">
      <c r="B169" t="s">
        <v>445</v>
      </c>
      <c r="C169">
        <v>6444</v>
      </c>
      <c r="D169">
        <v>1646.2809999999999</v>
      </c>
      <c r="E169">
        <f t="shared" si="227"/>
        <v>1646.28</v>
      </c>
      <c r="F169">
        <f t="shared" si="249"/>
        <v>1645.9</v>
      </c>
      <c r="K169" s="23">
        <f t="shared" si="244"/>
        <v>3000</v>
      </c>
      <c r="L169">
        <f t="shared" si="245"/>
        <v>1654.2</v>
      </c>
      <c r="M169">
        <f t="shared" si="246"/>
        <v>1653.67</v>
      </c>
      <c r="N169">
        <f t="shared" si="247"/>
        <v>1653.2</v>
      </c>
      <c r="O169">
        <f t="shared" si="248"/>
        <v>1653.68</v>
      </c>
    </row>
    <row r="170" spans="2:15">
      <c r="K170" s="23"/>
    </row>
    <row r="171" spans="2:15">
      <c r="K171" s="23">
        <f t="shared" ref="K171:K176" si="250">K36</f>
        <v>3100</v>
      </c>
      <c r="L171">
        <f t="shared" ref="L171:L176" si="251">AA36+Y36</f>
        <v>1653.9</v>
      </c>
      <c r="M171">
        <f t="shared" ref="M171:M176" si="252">AB36</f>
        <v>1653.3700000000001</v>
      </c>
      <c r="N171">
        <f t="shared" ref="N171:N176" si="253">AA36</f>
        <v>1652.9</v>
      </c>
      <c r="O171">
        <f t="shared" ref="O171:O176" si="254">E36</f>
        <v>1653.4</v>
      </c>
    </row>
    <row r="172" spans="2:15">
      <c r="K172" s="23">
        <f t="shared" si="250"/>
        <v>3200</v>
      </c>
      <c r="L172">
        <f t="shared" si="251"/>
        <v>1653.6</v>
      </c>
      <c r="M172">
        <f t="shared" si="252"/>
        <v>1653.1799999999998</v>
      </c>
      <c r="N172">
        <f t="shared" si="253"/>
        <v>1652.6</v>
      </c>
      <c r="O172">
        <f t="shared" si="254"/>
        <v>1652.88</v>
      </c>
    </row>
    <row r="173" spans="2:15">
      <c r="K173" s="23">
        <f t="shared" si="250"/>
        <v>3300</v>
      </c>
      <c r="L173">
        <f t="shared" si="251"/>
        <v>1653.4</v>
      </c>
      <c r="M173">
        <f t="shared" si="252"/>
        <v>1652.98</v>
      </c>
      <c r="N173">
        <f t="shared" si="253"/>
        <v>1652.4</v>
      </c>
      <c r="O173">
        <f t="shared" si="254"/>
        <v>1652.69</v>
      </c>
    </row>
    <row r="174" spans="2:15">
      <c r="K174" s="23">
        <f t="shared" si="250"/>
        <v>3400</v>
      </c>
      <c r="L174">
        <f t="shared" si="251"/>
        <v>1653.2</v>
      </c>
      <c r="M174">
        <f t="shared" si="252"/>
        <v>1652.78</v>
      </c>
      <c r="N174">
        <f t="shared" si="253"/>
        <v>1652.2</v>
      </c>
      <c r="O174">
        <f t="shared" si="254"/>
        <v>1652.21</v>
      </c>
    </row>
    <row r="175" spans="2:15">
      <c r="K175" s="23">
        <f t="shared" si="250"/>
        <v>3500</v>
      </c>
      <c r="L175">
        <f t="shared" si="251"/>
        <v>1653</v>
      </c>
      <c r="M175">
        <f t="shared" si="252"/>
        <v>1652.58</v>
      </c>
      <c r="N175">
        <f t="shared" si="253"/>
        <v>1652</v>
      </c>
      <c r="O175">
        <f t="shared" si="254"/>
        <v>1652.07</v>
      </c>
    </row>
    <row r="176" spans="2:15">
      <c r="K176" s="23">
        <f t="shared" si="250"/>
        <v>3600</v>
      </c>
      <c r="L176">
        <f t="shared" si="251"/>
        <v>1652.8</v>
      </c>
      <c r="M176">
        <f t="shared" si="252"/>
        <v>1652.3799999999999</v>
      </c>
      <c r="N176">
        <f t="shared" si="253"/>
        <v>1651.8</v>
      </c>
      <c r="O176">
        <f t="shared" si="254"/>
        <v>1652.07</v>
      </c>
    </row>
    <row r="177" spans="11:15">
      <c r="K177" s="23"/>
    </row>
    <row r="178" spans="11:15">
      <c r="K178" s="23">
        <f t="shared" ref="K178:K183" si="255">K42</f>
        <v>3700</v>
      </c>
      <c r="L178">
        <f t="shared" ref="L178:L183" si="256">AA42+Y42</f>
        <v>1652.3999999999999</v>
      </c>
      <c r="M178">
        <f t="shared" ref="M178:M183" si="257">AB42</f>
        <v>1652.12</v>
      </c>
      <c r="N178">
        <f t="shared" ref="N178:N183" si="258">AA42</f>
        <v>1651.6</v>
      </c>
      <c r="O178">
        <f t="shared" ref="O178:O183" si="259">E42</f>
        <v>1651.95</v>
      </c>
    </row>
    <row r="179" spans="11:15">
      <c r="K179" s="23">
        <f t="shared" si="255"/>
        <v>3800</v>
      </c>
      <c r="L179">
        <f t="shared" si="256"/>
        <v>1652.2</v>
      </c>
      <c r="M179">
        <f t="shared" si="257"/>
        <v>1651.92</v>
      </c>
      <c r="N179">
        <f t="shared" si="258"/>
        <v>1651.4</v>
      </c>
      <c r="O179">
        <f t="shared" si="259"/>
        <v>1651.82</v>
      </c>
    </row>
    <row r="180" spans="11:15">
      <c r="K180" s="23">
        <f t="shared" si="255"/>
        <v>3900</v>
      </c>
      <c r="L180">
        <f t="shared" si="256"/>
        <v>1652</v>
      </c>
      <c r="M180">
        <f t="shared" si="257"/>
        <v>1651.72</v>
      </c>
      <c r="N180">
        <f t="shared" si="258"/>
        <v>1651.2</v>
      </c>
      <c r="O180">
        <f t="shared" si="259"/>
        <v>1651.73</v>
      </c>
    </row>
    <row r="181" spans="11:15">
      <c r="K181" s="23">
        <f t="shared" si="255"/>
        <v>4000</v>
      </c>
      <c r="L181">
        <f t="shared" si="256"/>
        <v>1651.8</v>
      </c>
      <c r="M181">
        <f t="shared" si="257"/>
        <v>1651.52</v>
      </c>
      <c r="N181">
        <f t="shared" si="258"/>
        <v>1651</v>
      </c>
      <c r="O181">
        <f t="shared" si="259"/>
        <v>1651.52</v>
      </c>
    </row>
    <row r="182" spans="11:15">
      <c r="K182" s="23">
        <f t="shared" si="255"/>
        <v>4100</v>
      </c>
      <c r="L182">
        <f t="shared" si="256"/>
        <v>1651.6</v>
      </c>
      <c r="M182">
        <f t="shared" si="257"/>
        <v>1651.32</v>
      </c>
      <c r="N182">
        <f t="shared" si="258"/>
        <v>1650.8</v>
      </c>
      <c r="O182">
        <f t="shared" si="259"/>
        <v>1651.24</v>
      </c>
    </row>
    <row r="183" spans="11:15">
      <c r="K183" s="23">
        <f t="shared" si="255"/>
        <v>4200</v>
      </c>
      <c r="L183">
        <f t="shared" si="256"/>
        <v>1651.3999999999999</v>
      </c>
      <c r="M183">
        <f t="shared" si="257"/>
        <v>1651.12</v>
      </c>
      <c r="N183">
        <f t="shared" si="258"/>
        <v>1650.6</v>
      </c>
      <c r="O183">
        <f t="shared" si="259"/>
        <v>1650.9</v>
      </c>
    </row>
    <row r="184" spans="11:15">
      <c r="K184" s="23"/>
    </row>
    <row r="185" spans="11:15">
      <c r="K185" s="23">
        <f t="shared" ref="K185:K190" si="260">K48</f>
        <v>4300</v>
      </c>
      <c r="L185">
        <f t="shared" ref="L185:L190" si="261">AA48+Y48</f>
        <v>1651.2</v>
      </c>
      <c r="M185">
        <f t="shared" ref="M185:M190" si="262">AB48</f>
        <v>1650.92</v>
      </c>
      <c r="N185">
        <f t="shared" ref="N185:N190" si="263">AA48</f>
        <v>1650.4</v>
      </c>
      <c r="O185">
        <f t="shared" ref="O185:O190" si="264">E48</f>
        <v>1650.52</v>
      </c>
    </row>
    <row r="186" spans="11:15">
      <c r="K186" s="23">
        <f t="shared" si="260"/>
        <v>4400</v>
      </c>
      <c r="L186">
        <f t="shared" si="261"/>
        <v>1651</v>
      </c>
      <c r="M186">
        <f t="shared" si="262"/>
        <v>1650.72</v>
      </c>
      <c r="N186">
        <f t="shared" si="263"/>
        <v>1650.2</v>
      </c>
      <c r="O186">
        <f t="shared" si="264"/>
        <v>1650.23</v>
      </c>
    </row>
    <row r="187" spans="11:15">
      <c r="K187" s="23">
        <f t="shared" si="260"/>
        <v>4500</v>
      </c>
      <c r="L187">
        <f t="shared" si="261"/>
        <v>1650.8</v>
      </c>
      <c r="M187">
        <f t="shared" si="262"/>
        <v>1650.52</v>
      </c>
      <c r="N187">
        <f t="shared" si="263"/>
        <v>1650</v>
      </c>
      <c r="O187">
        <f t="shared" si="264"/>
        <v>1649.96</v>
      </c>
    </row>
    <row r="188" spans="11:15">
      <c r="K188" s="23">
        <f t="shared" si="260"/>
        <v>4600</v>
      </c>
      <c r="L188">
        <f t="shared" si="261"/>
        <v>1650.6</v>
      </c>
      <c r="M188">
        <f t="shared" si="262"/>
        <v>1650.32</v>
      </c>
      <c r="N188">
        <f t="shared" si="263"/>
        <v>1649.8</v>
      </c>
      <c r="O188">
        <f t="shared" si="264"/>
        <v>1649.88</v>
      </c>
    </row>
    <row r="189" spans="11:15">
      <c r="K189" s="23">
        <f t="shared" si="260"/>
        <v>4700</v>
      </c>
      <c r="L189">
        <f t="shared" si="261"/>
        <v>1650.3999999999999</v>
      </c>
      <c r="M189">
        <f t="shared" si="262"/>
        <v>1650.12</v>
      </c>
      <c r="N189">
        <f t="shared" si="263"/>
        <v>1649.6</v>
      </c>
      <c r="O189">
        <f t="shared" si="264"/>
        <v>1649.66</v>
      </c>
    </row>
    <row r="190" spans="11:15">
      <c r="K190" s="23">
        <f t="shared" si="260"/>
        <v>4800</v>
      </c>
      <c r="L190">
        <f t="shared" si="261"/>
        <v>1650.2</v>
      </c>
      <c r="M190">
        <f t="shared" si="262"/>
        <v>1649.92</v>
      </c>
      <c r="N190">
        <f t="shared" si="263"/>
        <v>1649.4</v>
      </c>
      <c r="O190">
        <f t="shared" si="264"/>
        <v>1649.33</v>
      </c>
    </row>
    <row r="191" spans="11:15">
      <c r="K191" s="23"/>
    </row>
    <row r="192" spans="11:15">
      <c r="K192" s="23">
        <f t="shared" ref="K192:K197" si="265">K54</f>
        <v>4900</v>
      </c>
      <c r="L192">
        <f t="shared" ref="L192:L197" si="266">AA54+Y54</f>
        <v>1650</v>
      </c>
      <c r="M192">
        <f t="shared" ref="M192:M197" si="267">AB54</f>
        <v>1649.72</v>
      </c>
      <c r="N192">
        <f t="shared" ref="N192:N197" si="268">AA54</f>
        <v>1649.2</v>
      </c>
      <c r="O192">
        <f t="shared" ref="O192:O197" si="269">E54</f>
        <v>1649.47</v>
      </c>
    </row>
    <row r="193" spans="11:15">
      <c r="K193" s="23">
        <f t="shared" si="265"/>
        <v>5000</v>
      </c>
      <c r="L193">
        <f t="shared" si="266"/>
        <v>1649.8</v>
      </c>
      <c r="M193">
        <f t="shared" si="267"/>
        <v>1649.46</v>
      </c>
      <c r="N193">
        <f t="shared" si="268"/>
        <v>1649</v>
      </c>
      <c r="O193">
        <f t="shared" si="269"/>
        <v>1649.13</v>
      </c>
    </row>
    <row r="194" spans="11:15">
      <c r="K194" s="23">
        <f t="shared" si="265"/>
        <v>5100</v>
      </c>
      <c r="L194">
        <f t="shared" si="266"/>
        <v>1649.5</v>
      </c>
      <c r="M194">
        <f t="shared" si="267"/>
        <v>1649.16</v>
      </c>
      <c r="N194">
        <f t="shared" si="268"/>
        <v>1648.7</v>
      </c>
      <c r="O194">
        <f t="shared" si="269"/>
        <v>1648.73</v>
      </c>
    </row>
    <row r="195" spans="11:15">
      <c r="K195" s="23">
        <f t="shared" si="265"/>
        <v>5200</v>
      </c>
      <c r="L195">
        <f t="shared" si="266"/>
        <v>1649.2</v>
      </c>
      <c r="M195">
        <f t="shared" si="267"/>
        <v>1648.8600000000001</v>
      </c>
      <c r="N195">
        <f t="shared" si="268"/>
        <v>1648.4</v>
      </c>
      <c r="O195">
        <f t="shared" si="269"/>
        <v>1648.51</v>
      </c>
    </row>
    <row r="196" spans="11:15">
      <c r="K196" s="23">
        <f t="shared" si="265"/>
        <v>5300</v>
      </c>
      <c r="L196">
        <f t="shared" si="266"/>
        <v>1648.8999999999999</v>
      </c>
      <c r="M196">
        <f t="shared" si="267"/>
        <v>1648.56</v>
      </c>
      <c r="N196">
        <f t="shared" si="268"/>
        <v>1648.1</v>
      </c>
      <c r="O196">
        <f t="shared" si="269"/>
        <v>1648.27</v>
      </c>
    </row>
    <row r="197" spans="11:15">
      <c r="K197" s="23">
        <f t="shared" si="265"/>
        <v>5400</v>
      </c>
      <c r="L197">
        <f t="shared" si="266"/>
        <v>1648.6</v>
      </c>
      <c r="M197">
        <f t="shared" si="267"/>
        <v>1648.26</v>
      </c>
      <c r="N197">
        <f t="shared" si="268"/>
        <v>1647.8</v>
      </c>
      <c r="O197">
        <f t="shared" si="269"/>
        <v>1647.86</v>
      </c>
    </row>
    <row r="198" spans="11:15">
      <c r="K198" s="23"/>
    </row>
    <row r="199" spans="11:15">
      <c r="K199" s="23">
        <f t="shared" ref="K199:K204" si="270">K60</f>
        <v>5500</v>
      </c>
      <c r="L199">
        <f t="shared" ref="L199:L204" si="271">AA60+Y60</f>
        <v>1648.3</v>
      </c>
      <c r="M199">
        <f t="shared" ref="M199:M204" si="272">AB60</f>
        <v>1647.96</v>
      </c>
      <c r="N199">
        <f t="shared" ref="N199:N204" si="273">AA60</f>
        <v>1647.5</v>
      </c>
      <c r="O199">
        <f t="shared" ref="O199:O204" si="274">E60</f>
        <v>1647.62</v>
      </c>
    </row>
    <row r="200" spans="11:15">
      <c r="K200" s="23">
        <f t="shared" si="270"/>
        <v>5600</v>
      </c>
      <c r="L200">
        <f t="shared" si="271"/>
        <v>1648</v>
      </c>
      <c r="M200">
        <f t="shared" si="272"/>
        <v>1647.66</v>
      </c>
      <c r="N200">
        <f t="shared" si="273"/>
        <v>1647.2</v>
      </c>
      <c r="O200">
        <f t="shared" si="274"/>
        <v>1647.45</v>
      </c>
    </row>
    <row r="201" spans="11:15">
      <c r="K201" s="23">
        <f t="shared" si="270"/>
        <v>5700</v>
      </c>
      <c r="L201">
        <f t="shared" si="271"/>
        <v>1647.7</v>
      </c>
      <c r="M201">
        <f t="shared" si="272"/>
        <v>1647.3600000000001</v>
      </c>
      <c r="N201">
        <f t="shared" si="273"/>
        <v>1646.9</v>
      </c>
      <c r="O201">
        <f t="shared" si="274"/>
        <v>1647.39</v>
      </c>
    </row>
    <row r="202" spans="11:15">
      <c r="K202" s="23">
        <f t="shared" si="270"/>
        <v>5800</v>
      </c>
      <c r="L202">
        <f t="shared" si="271"/>
        <v>1647.3999999999999</v>
      </c>
      <c r="M202">
        <f t="shared" si="272"/>
        <v>1647.06</v>
      </c>
      <c r="N202">
        <f t="shared" si="273"/>
        <v>1646.6</v>
      </c>
      <c r="O202">
        <f t="shared" si="274"/>
        <v>1647.03</v>
      </c>
    </row>
    <row r="203" spans="11:15">
      <c r="K203" s="23">
        <f t="shared" si="270"/>
        <v>5900</v>
      </c>
      <c r="L203">
        <f t="shared" si="271"/>
        <v>1647.1</v>
      </c>
      <c r="M203">
        <f t="shared" si="272"/>
        <v>1646.78</v>
      </c>
      <c r="N203">
        <f t="shared" si="273"/>
        <v>1646.3</v>
      </c>
      <c r="O203">
        <f t="shared" si="274"/>
        <v>1646.57</v>
      </c>
    </row>
    <row r="204" spans="11:15">
      <c r="K204" s="23">
        <f t="shared" si="270"/>
        <v>6000</v>
      </c>
      <c r="L204">
        <f t="shared" si="271"/>
        <v>1647</v>
      </c>
      <c r="M204">
        <f t="shared" si="272"/>
        <v>1646.68</v>
      </c>
      <c r="N204">
        <f t="shared" si="273"/>
        <v>1646.2</v>
      </c>
      <c r="O204">
        <f t="shared" si="274"/>
        <v>1646.23</v>
      </c>
    </row>
    <row r="205" spans="11:15">
      <c r="K205" s="23"/>
    </row>
    <row r="206" spans="11:15">
      <c r="K206" s="23">
        <f>K66</f>
        <v>6100</v>
      </c>
      <c r="L206">
        <f t="shared" ref="L206:L211" si="275">AA66+Y66</f>
        <v>1646.8999999999999</v>
      </c>
      <c r="M206">
        <f t="shared" ref="M206:M211" si="276">AB66</f>
        <v>1646.58</v>
      </c>
      <c r="N206">
        <f t="shared" ref="N206:N211" si="277">AA66</f>
        <v>1646.1</v>
      </c>
      <c r="O206">
        <f t="shared" ref="O206:O211" si="278">E66</f>
        <v>1646.11</v>
      </c>
    </row>
    <row r="207" spans="11:15">
      <c r="K207" s="23">
        <v>6200</v>
      </c>
      <c r="L207">
        <f t="shared" si="275"/>
        <v>1646.8</v>
      </c>
      <c r="M207">
        <f t="shared" si="276"/>
        <v>1646.48</v>
      </c>
      <c r="N207">
        <f t="shared" si="277"/>
        <v>1646</v>
      </c>
      <c r="O207">
        <f t="shared" si="278"/>
        <v>1646.12</v>
      </c>
    </row>
    <row r="208" spans="11:15">
      <c r="K208" s="23">
        <f>K68</f>
        <v>6300</v>
      </c>
      <c r="L208">
        <f t="shared" si="275"/>
        <v>1646.7</v>
      </c>
      <c r="M208">
        <f t="shared" si="276"/>
        <v>1646.38</v>
      </c>
      <c r="N208">
        <f t="shared" si="277"/>
        <v>1645.9</v>
      </c>
      <c r="O208">
        <f t="shared" si="278"/>
        <v>1646.31</v>
      </c>
    </row>
    <row r="209" spans="11:15">
      <c r="K209" s="23">
        <f>K69</f>
        <v>6400</v>
      </c>
      <c r="L209">
        <f t="shared" si="275"/>
        <v>1646.6</v>
      </c>
      <c r="M209">
        <f t="shared" si="276"/>
        <v>1646.28</v>
      </c>
      <c r="N209">
        <f t="shared" si="277"/>
        <v>1645.8</v>
      </c>
      <c r="O209">
        <f t="shared" si="278"/>
        <v>1646.19</v>
      </c>
    </row>
    <row r="210" spans="11:15">
      <c r="K210" s="23">
        <f>K70</f>
        <v>6500</v>
      </c>
      <c r="L210">
        <f t="shared" si="275"/>
        <v>1646.5</v>
      </c>
      <c r="M210">
        <f t="shared" si="276"/>
        <v>1646.18</v>
      </c>
      <c r="N210">
        <f t="shared" si="277"/>
        <v>1645.7</v>
      </c>
      <c r="O210">
        <f t="shared" si="278"/>
        <v>1646.14</v>
      </c>
    </row>
    <row r="211" spans="11:15">
      <c r="K211" s="23">
        <f>K71</f>
        <v>6600</v>
      </c>
      <c r="L211">
        <f t="shared" si="275"/>
        <v>1646.3999999999999</v>
      </c>
      <c r="M211">
        <f t="shared" si="276"/>
        <v>1646.08</v>
      </c>
      <c r="N211">
        <f t="shared" si="277"/>
        <v>1645.6</v>
      </c>
      <c r="O211">
        <f t="shared" si="278"/>
        <v>1646.01</v>
      </c>
    </row>
    <row r="212" spans="11:15">
      <c r="K212" s="23"/>
    </row>
    <row r="213" spans="11:15">
      <c r="K213" s="23">
        <f t="shared" ref="K213:K218" si="279">K72</f>
        <v>6700</v>
      </c>
      <c r="L213">
        <f t="shared" ref="L213:L218" si="280">AA72+Y72</f>
        <v>1646.3</v>
      </c>
      <c r="M213">
        <f t="shared" ref="M213:M218" si="281">AB72</f>
        <v>1645.98</v>
      </c>
      <c r="N213">
        <f t="shared" ref="N213:N218" si="282">AA72</f>
        <v>1645.5</v>
      </c>
      <c r="O213">
        <f t="shared" ref="O213:O218" si="283">E72</f>
        <v>1645.46</v>
      </c>
    </row>
    <row r="214" spans="11:15">
      <c r="K214" s="23">
        <f t="shared" si="279"/>
        <v>6800</v>
      </c>
      <c r="L214">
        <f t="shared" si="280"/>
        <v>1646.2</v>
      </c>
      <c r="M214">
        <f t="shared" si="281"/>
        <v>1645.88</v>
      </c>
      <c r="N214">
        <f t="shared" si="282"/>
        <v>1645.4</v>
      </c>
      <c r="O214">
        <f t="shared" si="283"/>
        <v>1645.26</v>
      </c>
    </row>
    <row r="215" spans="11:15">
      <c r="K215" s="23">
        <f t="shared" si="279"/>
        <v>6900</v>
      </c>
      <c r="L215">
        <f t="shared" si="280"/>
        <v>1646.1</v>
      </c>
      <c r="M215">
        <f t="shared" si="281"/>
        <v>1645.78</v>
      </c>
      <c r="N215">
        <f t="shared" si="282"/>
        <v>1645.3</v>
      </c>
      <c r="O215">
        <f t="shared" si="283"/>
        <v>1645.49</v>
      </c>
    </row>
    <row r="216" spans="11:15">
      <c r="K216" s="23">
        <f t="shared" si="279"/>
        <v>7000</v>
      </c>
      <c r="L216">
        <f t="shared" si="280"/>
        <v>1646</v>
      </c>
      <c r="M216">
        <f t="shared" si="281"/>
        <v>1645.68</v>
      </c>
      <c r="N216">
        <f t="shared" si="282"/>
        <v>1645.2</v>
      </c>
      <c r="O216">
        <f t="shared" si="283"/>
        <v>1645.52</v>
      </c>
    </row>
    <row r="217" spans="11:15">
      <c r="K217" s="23">
        <f t="shared" si="279"/>
        <v>7100</v>
      </c>
      <c r="L217">
        <f t="shared" si="280"/>
        <v>1645.8999999999999</v>
      </c>
      <c r="M217">
        <f t="shared" si="281"/>
        <v>1645.58</v>
      </c>
      <c r="N217">
        <f t="shared" si="282"/>
        <v>1645.1</v>
      </c>
      <c r="O217">
        <f t="shared" si="283"/>
        <v>1645.58</v>
      </c>
    </row>
    <row r="218" spans="11:15">
      <c r="K218" s="23">
        <f t="shared" si="279"/>
        <v>7224</v>
      </c>
      <c r="L218">
        <f t="shared" si="280"/>
        <v>1645.78</v>
      </c>
      <c r="M218">
        <f t="shared" si="281"/>
        <v>1645.46</v>
      </c>
      <c r="N218">
        <f t="shared" si="282"/>
        <v>1644.98</v>
      </c>
      <c r="O218">
        <f t="shared" si="283"/>
        <v>1645.5</v>
      </c>
    </row>
    <row r="219" spans="11:15">
      <c r="K219" s="23"/>
    </row>
    <row r="220" spans="11:15">
      <c r="K220" s="23"/>
    </row>
    <row r="221" spans="11:15">
      <c r="K221" s="23"/>
    </row>
    <row r="222" spans="11:15">
      <c r="K222" s="23"/>
    </row>
    <row r="223" spans="11:15">
      <c r="K223" s="23"/>
    </row>
    <row r="224" spans="11:15">
      <c r="K224" s="23"/>
    </row>
    <row r="225" spans="11:11">
      <c r="K225" s="23"/>
    </row>
    <row r="226" spans="11:11">
      <c r="K226" s="23"/>
    </row>
    <row r="227" spans="11:11">
      <c r="K227" s="23"/>
    </row>
    <row r="228" spans="11:11">
      <c r="K228" s="23"/>
    </row>
    <row r="229" spans="11:11">
      <c r="K229" s="23"/>
    </row>
    <row r="230" spans="11:11">
      <c r="K230" s="23"/>
    </row>
    <row r="231" spans="11:11">
      <c r="K231" s="23"/>
    </row>
    <row r="232" spans="11:11">
      <c r="K232" s="23"/>
    </row>
    <row r="233" spans="11:11">
      <c r="K233" s="23"/>
    </row>
    <row r="234" spans="11:11">
      <c r="K234" s="23"/>
    </row>
    <row r="235" spans="11:11">
      <c r="K235" s="23"/>
    </row>
    <row r="236" spans="11:11">
      <c r="K236" s="23"/>
    </row>
    <row r="237" spans="11:11">
      <c r="K237" s="23"/>
    </row>
    <row r="238" spans="11:11">
      <c r="K238" s="23"/>
    </row>
    <row r="239" spans="11:11">
      <c r="K239" s="23"/>
    </row>
    <row r="240" spans="11:11">
      <c r="K240" s="23"/>
    </row>
    <row r="241" spans="11:11">
      <c r="K241" s="23"/>
    </row>
    <row r="242" spans="11:11">
      <c r="K242" s="23"/>
    </row>
    <row r="243" spans="11:11">
      <c r="K243" s="23"/>
    </row>
    <row r="244" spans="11:11">
      <c r="K244" s="23"/>
    </row>
    <row r="245" spans="11:11">
      <c r="K245" s="23"/>
    </row>
    <row r="246" spans="11:11">
      <c r="K246" s="23"/>
    </row>
    <row r="247" spans="11:11">
      <c r="K247" s="23"/>
    </row>
    <row r="248" spans="11:11">
      <c r="K248" s="23"/>
    </row>
    <row r="249" spans="11:11">
      <c r="K249" s="23"/>
    </row>
    <row r="250" spans="11:11">
      <c r="K250" s="23"/>
    </row>
    <row r="251" spans="11:11">
      <c r="K251" s="23"/>
    </row>
    <row r="252" spans="11:11">
      <c r="K252" s="23"/>
    </row>
    <row r="253" spans="11:11">
      <c r="K253" s="23"/>
    </row>
    <row r="254" spans="11:11">
      <c r="K254" s="23"/>
    </row>
  </sheetData>
  <mergeCells count="16">
    <mergeCell ref="AA1:AA2"/>
    <mergeCell ref="AB1:AB2"/>
    <mergeCell ref="AC1:AC2"/>
    <mergeCell ref="J1:J2"/>
    <mergeCell ref="K1:K2"/>
    <mergeCell ref="L1:M1"/>
    <mergeCell ref="N1:O1"/>
    <mergeCell ref="P1:Q1"/>
    <mergeCell ref="Z1:Z2"/>
    <mergeCell ref="W80:X80"/>
    <mergeCell ref="Y80:Z80"/>
    <mergeCell ref="K80:K81"/>
    <mergeCell ref="L80:M80"/>
    <mergeCell ref="N80:O80"/>
    <mergeCell ref="P80:Q80"/>
    <mergeCell ref="U80:V80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C224"/>
  <sheetViews>
    <sheetView topLeftCell="H109" workbookViewId="0">
      <selection activeCell="M136" sqref="M136"/>
    </sheetView>
  </sheetViews>
  <sheetFormatPr defaultRowHeight="14.4"/>
  <sheetData>
    <row r="1" spans="2:29">
      <c r="J1" s="43" t="s">
        <v>359</v>
      </c>
      <c r="K1" s="43" t="s">
        <v>336</v>
      </c>
      <c r="L1" s="43" t="s">
        <v>337</v>
      </c>
      <c r="M1" s="43"/>
      <c r="N1" s="43" t="s">
        <v>338</v>
      </c>
      <c r="O1" s="43"/>
      <c r="P1" s="43" t="s">
        <v>339</v>
      </c>
      <c r="Q1" s="43"/>
      <c r="R1" s="9" t="s">
        <v>340</v>
      </c>
      <c r="S1" s="9" t="s">
        <v>289</v>
      </c>
      <c r="T1" s="9"/>
      <c r="U1" s="9" t="s">
        <v>438</v>
      </c>
      <c r="V1" s="11"/>
      <c r="W1" s="11"/>
      <c r="X1" s="9" t="s">
        <v>343</v>
      </c>
      <c r="Y1" s="9" t="s">
        <v>344</v>
      </c>
      <c r="Z1" s="40" t="s">
        <v>395</v>
      </c>
      <c r="AA1" s="40" t="s">
        <v>346</v>
      </c>
      <c r="AB1" s="43" t="s">
        <v>347</v>
      </c>
      <c r="AC1" s="43" t="s">
        <v>359</v>
      </c>
    </row>
    <row r="2" spans="2:29" ht="15.6">
      <c r="J2" s="43"/>
      <c r="K2" s="43"/>
      <c r="L2" s="9" t="s">
        <v>349</v>
      </c>
      <c r="M2" s="9" t="s">
        <v>348</v>
      </c>
      <c r="N2" s="9" t="s">
        <v>351</v>
      </c>
      <c r="O2" s="9" t="s">
        <v>352</v>
      </c>
      <c r="P2" s="9" t="s">
        <v>353</v>
      </c>
      <c r="Q2" s="9" t="s">
        <v>354</v>
      </c>
      <c r="R2" s="9" t="s">
        <v>309</v>
      </c>
      <c r="S2" s="9" t="s">
        <v>308</v>
      </c>
      <c r="T2" s="9"/>
      <c r="U2" s="9" t="s">
        <v>306</v>
      </c>
      <c r="V2" s="11" t="s">
        <v>368</v>
      </c>
      <c r="W2" s="11" t="s">
        <v>366</v>
      </c>
      <c r="X2" s="9" t="s">
        <v>355</v>
      </c>
      <c r="Y2" s="9" t="s">
        <v>310</v>
      </c>
      <c r="Z2" s="41"/>
      <c r="AA2" s="41"/>
      <c r="AB2" s="43"/>
      <c r="AC2" s="43"/>
    </row>
    <row r="3" spans="2:29" ht="16.2">
      <c r="B3" t="s">
        <v>0</v>
      </c>
      <c r="D3" t="s">
        <v>1</v>
      </c>
      <c r="J3" s="9"/>
      <c r="K3" s="9" t="s">
        <v>356</v>
      </c>
      <c r="L3" s="9" t="s">
        <v>358</v>
      </c>
      <c r="M3" s="9" t="s">
        <v>358</v>
      </c>
      <c r="N3" s="9" t="s">
        <v>357</v>
      </c>
      <c r="O3" s="9" t="s">
        <v>357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1665.9760000000001</v>
      </c>
      <c r="E4">
        <f>ROUND(D4,2)</f>
        <v>1665.98</v>
      </c>
      <c r="F4">
        <f>干渠!W277</f>
        <v>1663.99</v>
      </c>
      <c r="J4" s="9"/>
      <c r="K4" s="10">
        <f>C4</f>
        <v>0</v>
      </c>
      <c r="L4" s="9">
        <f>ROUND(M4*1.3,2)</f>
        <v>0.51</v>
      </c>
      <c r="M4" s="9">
        <f>支渠!M5</f>
        <v>0.39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1665.91</v>
      </c>
      <c r="F5">
        <f>F4</f>
        <v>1663.99</v>
      </c>
      <c r="G5">
        <f>E5-F5</f>
        <v>1.9200000000000728</v>
      </c>
      <c r="H5">
        <v>6.0000000000000001E-3</v>
      </c>
      <c r="J5" s="9"/>
      <c r="K5" s="10">
        <f t="shared" ref="K5:K10" si="0">C5</f>
        <v>10</v>
      </c>
      <c r="L5" s="9">
        <f t="shared" ref="L5:L49" si="1">ROUND(M5*1.3,2)</f>
        <v>0.51</v>
      </c>
      <c r="M5" s="9">
        <f>M4</f>
        <v>0.39</v>
      </c>
      <c r="N5" s="9">
        <f>ROUND(L5/W5,2)</f>
        <v>1.82</v>
      </c>
      <c r="O5" s="9">
        <f>ROUND(M5/V5,2)</f>
        <v>1.56</v>
      </c>
      <c r="P5" s="9">
        <v>0.43</v>
      </c>
      <c r="Q5" s="9">
        <v>0.4</v>
      </c>
      <c r="R5" s="9">
        <v>1.4999999999999999E-2</v>
      </c>
      <c r="S5" s="9">
        <f>H5</f>
        <v>6.0000000000000001E-3</v>
      </c>
      <c r="T5" s="9" t="str">
        <f>"1/"&amp;ROUND(1/S5,0)</f>
        <v>1/167</v>
      </c>
      <c r="U5" s="9" t="s">
        <v>502</v>
      </c>
      <c r="V5" s="9">
        <v>0.25</v>
      </c>
      <c r="W5" s="9">
        <v>0.28000000000000003</v>
      </c>
      <c r="X5" s="9">
        <f t="shared" ref="X5:X49" si="2">Y5-P5</f>
        <v>0.37000000000000005</v>
      </c>
      <c r="Y5" s="9">
        <v>0.8</v>
      </c>
      <c r="Z5" s="9">
        <f t="shared" ref="Z5:Z49" si="3">E5</f>
        <v>1665.91</v>
      </c>
      <c r="AA5" s="9">
        <f t="shared" ref="AA5:AA49" si="4">F5</f>
        <v>1663.99</v>
      </c>
      <c r="AB5" s="14">
        <f t="shared" ref="AB5:AB49" si="5">AA5+Q5</f>
        <v>1664.39</v>
      </c>
      <c r="AC5" s="9"/>
    </row>
    <row r="6" spans="2:29">
      <c r="B6" t="s">
        <v>9</v>
      </c>
      <c r="C6">
        <v>100</v>
      </c>
      <c r="D6">
        <v>1665.2940000000001</v>
      </c>
      <c r="E6">
        <f t="shared" ref="E6:E35" si="6">ROUND(D6,2)</f>
        <v>1665.29</v>
      </c>
      <c r="F6">
        <f>F5</f>
        <v>1663.99</v>
      </c>
      <c r="G6">
        <f t="shared" ref="G6:G54" si="7">E6-F6</f>
        <v>1.2999999999999545</v>
      </c>
      <c r="H6">
        <v>6.0000000000000001E-3</v>
      </c>
      <c r="I6">
        <v>50</v>
      </c>
      <c r="J6" s="12" t="s">
        <v>492</v>
      </c>
      <c r="K6" s="10">
        <f t="shared" si="0"/>
        <v>100</v>
      </c>
      <c r="L6" s="9">
        <f t="shared" si="1"/>
        <v>0.51</v>
      </c>
      <c r="M6" s="9">
        <f t="shared" ref="M6:M10" si="8">M5</f>
        <v>0.39</v>
      </c>
      <c r="N6" s="9">
        <f t="shared" ref="N6:N10" si="9">ROUND(L6/W6,2)</f>
        <v>1.82</v>
      </c>
      <c r="O6" s="9">
        <f t="shared" ref="O6:O10" si="10">ROUND(M6/V6,2)</f>
        <v>1.56</v>
      </c>
      <c r="P6" s="9">
        <f>P5</f>
        <v>0.43</v>
      </c>
      <c r="Q6" s="9">
        <f>Q5</f>
        <v>0.4</v>
      </c>
      <c r="R6" s="9">
        <v>1.4999999999999999E-2</v>
      </c>
      <c r="S6" s="9">
        <f t="shared" ref="S6:S10" si="11">H6</f>
        <v>6.0000000000000001E-3</v>
      </c>
      <c r="T6" s="9" t="str">
        <f t="shared" ref="T6:T10" si="12">"1/"&amp;ROUND(1/S6,0)</f>
        <v>1/167</v>
      </c>
      <c r="U6" s="9" t="str">
        <f>U5</f>
        <v>U80</v>
      </c>
      <c r="V6" s="9">
        <f>V5</f>
        <v>0.25</v>
      </c>
      <c r="W6" s="9">
        <f>W5</f>
        <v>0.28000000000000003</v>
      </c>
      <c r="X6" s="9">
        <f t="shared" si="2"/>
        <v>0.37000000000000005</v>
      </c>
      <c r="Y6" s="9">
        <f>Y5</f>
        <v>0.8</v>
      </c>
      <c r="Z6" s="9">
        <f t="shared" si="3"/>
        <v>1665.29</v>
      </c>
      <c r="AA6" s="9">
        <f t="shared" si="4"/>
        <v>1663.99</v>
      </c>
      <c r="AB6" s="14">
        <f t="shared" si="5"/>
        <v>1664.39</v>
      </c>
      <c r="AC6" s="9"/>
    </row>
    <row r="7" spans="2:29">
      <c r="B7" t="s">
        <v>11</v>
      </c>
      <c r="C7">
        <v>200</v>
      </c>
      <c r="D7">
        <v>1664.422</v>
      </c>
      <c r="E7">
        <f t="shared" si="6"/>
        <v>1664.42</v>
      </c>
      <c r="F7">
        <f>ROUND(F6-(C7-C6)*H6,2)</f>
        <v>1663.39</v>
      </c>
      <c r="G7">
        <f t="shared" si="7"/>
        <v>1.0299999999999727</v>
      </c>
      <c r="H7">
        <v>6.0000000000000001E-3</v>
      </c>
      <c r="J7" s="9"/>
      <c r="K7" s="10">
        <f t="shared" si="0"/>
        <v>200</v>
      </c>
      <c r="L7" s="9">
        <f t="shared" si="1"/>
        <v>0.51</v>
      </c>
      <c r="M7" s="9">
        <f t="shared" si="8"/>
        <v>0.39</v>
      </c>
      <c r="N7" s="9">
        <f t="shared" si="9"/>
        <v>1.82</v>
      </c>
      <c r="O7" s="9">
        <f t="shared" si="10"/>
        <v>1.56</v>
      </c>
      <c r="P7" s="9">
        <f t="shared" ref="P7:Q10" si="13">P6</f>
        <v>0.43</v>
      </c>
      <c r="Q7" s="9">
        <f t="shared" si="13"/>
        <v>0.4</v>
      </c>
      <c r="R7" s="9">
        <v>1.4999999999999999E-2</v>
      </c>
      <c r="S7" s="9">
        <f t="shared" si="11"/>
        <v>6.0000000000000001E-3</v>
      </c>
      <c r="T7" s="9" t="str">
        <f t="shared" si="12"/>
        <v>1/167</v>
      </c>
      <c r="U7" s="9" t="str">
        <f t="shared" ref="U7:U10" si="14">U6</f>
        <v>U80</v>
      </c>
      <c r="V7" s="9">
        <f t="shared" ref="V7:V11" si="15">V6</f>
        <v>0.25</v>
      </c>
      <c r="W7" s="9">
        <f t="shared" ref="W7:W11" si="16">W6</f>
        <v>0.28000000000000003</v>
      </c>
      <c r="X7" s="9">
        <f t="shared" si="2"/>
        <v>0.37000000000000005</v>
      </c>
      <c r="Y7" s="9">
        <f t="shared" ref="Y7:Y54" si="17">Y6</f>
        <v>0.8</v>
      </c>
      <c r="Z7" s="9">
        <f t="shared" si="3"/>
        <v>1664.42</v>
      </c>
      <c r="AA7" s="9">
        <f t="shared" si="4"/>
        <v>1663.39</v>
      </c>
      <c r="AB7" s="14">
        <f t="shared" si="5"/>
        <v>1663.7900000000002</v>
      </c>
      <c r="AC7" s="9"/>
    </row>
    <row r="8" spans="2:29">
      <c r="B8" t="s">
        <v>414</v>
      </c>
      <c r="C8">
        <v>300</v>
      </c>
      <c r="D8">
        <v>1663.5219999999999</v>
      </c>
      <c r="E8">
        <f t="shared" si="6"/>
        <v>1663.52</v>
      </c>
      <c r="F8">
        <f t="shared" ref="F8:F35" si="18">ROUND(F7-(C8-C7)*H7,2)</f>
        <v>1662.79</v>
      </c>
      <c r="G8">
        <f t="shared" si="7"/>
        <v>0.73000000000001819</v>
      </c>
      <c r="H8">
        <v>6.0000000000000001E-3</v>
      </c>
      <c r="J8" s="9"/>
      <c r="K8" s="10">
        <f t="shared" si="0"/>
        <v>300</v>
      </c>
      <c r="L8" s="9">
        <f t="shared" si="1"/>
        <v>0.51</v>
      </c>
      <c r="M8" s="9">
        <f t="shared" si="8"/>
        <v>0.39</v>
      </c>
      <c r="N8" s="9">
        <f t="shared" si="9"/>
        <v>1.82</v>
      </c>
      <c r="O8" s="9">
        <f t="shared" si="10"/>
        <v>1.56</v>
      </c>
      <c r="P8" s="9">
        <f t="shared" si="13"/>
        <v>0.43</v>
      </c>
      <c r="Q8" s="9">
        <f t="shared" si="13"/>
        <v>0.4</v>
      </c>
      <c r="R8" s="9">
        <v>1.4999999999999999E-2</v>
      </c>
      <c r="S8" s="9">
        <f t="shared" si="11"/>
        <v>6.0000000000000001E-3</v>
      </c>
      <c r="T8" s="9" t="str">
        <f t="shared" si="12"/>
        <v>1/167</v>
      </c>
      <c r="U8" s="9" t="str">
        <f t="shared" si="14"/>
        <v>U80</v>
      </c>
      <c r="V8" s="9">
        <f t="shared" si="15"/>
        <v>0.25</v>
      </c>
      <c r="W8" s="9">
        <f t="shared" si="16"/>
        <v>0.28000000000000003</v>
      </c>
      <c r="X8" s="9">
        <f t="shared" si="2"/>
        <v>0.37000000000000005</v>
      </c>
      <c r="Y8" s="9">
        <f t="shared" si="17"/>
        <v>0.8</v>
      </c>
      <c r="Z8" s="9">
        <f t="shared" si="3"/>
        <v>1663.52</v>
      </c>
      <c r="AA8" s="9">
        <f t="shared" si="4"/>
        <v>1662.79</v>
      </c>
      <c r="AB8" s="14">
        <f t="shared" si="5"/>
        <v>1663.19</v>
      </c>
      <c r="AC8" s="9"/>
    </row>
    <row r="9" spans="2:29">
      <c r="B9" t="s">
        <v>415</v>
      </c>
      <c r="C9">
        <v>400</v>
      </c>
      <c r="D9">
        <v>1662.8340000000001</v>
      </c>
      <c r="E9">
        <f t="shared" si="6"/>
        <v>1662.83</v>
      </c>
      <c r="F9">
        <f t="shared" si="18"/>
        <v>1662.19</v>
      </c>
      <c r="G9">
        <f t="shared" si="7"/>
        <v>0.63999999999987267</v>
      </c>
      <c r="H9">
        <v>6.0000000000000001E-3</v>
      </c>
      <c r="J9" s="9"/>
      <c r="K9" s="10">
        <f t="shared" si="0"/>
        <v>400</v>
      </c>
      <c r="L9" s="9">
        <f t="shared" si="1"/>
        <v>0.51</v>
      </c>
      <c r="M9" s="9">
        <f t="shared" si="8"/>
        <v>0.39</v>
      </c>
      <c r="N9" s="9">
        <f t="shared" si="9"/>
        <v>1.82</v>
      </c>
      <c r="O9" s="9">
        <f t="shared" si="10"/>
        <v>1.56</v>
      </c>
      <c r="P9" s="9">
        <f t="shared" si="13"/>
        <v>0.43</v>
      </c>
      <c r="Q9" s="9">
        <f t="shared" si="13"/>
        <v>0.4</v>
      </c>
      <c r="R9" s="9">
        <v>1.4999999999999999E-2</v>
      </c>
      <c r="S9" s="9">
        <f t="shared" si="11"/>
        <v>6.0000000000000001E-3</v>
      </c>
      <c r="T9" s="9" t="str">
        <f t="shared" si="12"/>
        <v>1/167</v>
      </c>
      <c r="U9" s="9" t="str">
        <f t="shared" si="14"/>
        <v>U80</v>
      </c>
      <c r="V9" s="9">
        <f t="shared" si="15"/>
        <v>0.25</v>
      </c>
      <c r="W9" s="9">
        <f t="shared" si="16"/>
        <v>0.28000000000000003</v>
      </c>
      <c r="X9" s="9">
        <f t="shared" si="2"/>
        <v>0.37000000000000005</v>
      </c>
      <c r="Y9" s="9">
        <f t="shared" si="17"/>
        <v>0.8</v>
      </c>
      <c r="Z9" s="9">
        <f t="shared" si="3"/>
        <v>1662.83</v>
      </c>
      <c r="AA9" s="9">
        <f t="shared" si="4"/>
        <v>1662.19</v>
      </c>
      <c r="AB9" s="14">
        <f t="shared" si="5"/>
        <v>1662.5900000000001</v>
      </c>
      <c r="AC9" s="9"/>
    </row>
    <row r="10" spans="2:29">
      <c r="B10" t="s">
        <v>15</v>
      </c>
      <c r="C10">
        <v>500</v>
      </c>
      <c r="D10">
        <v>1662.34</v>
      </c>
      <c r="E10">
        <f t="shared" si="6"/>
        <v>1662.34</v>
      </c>
      <c r="F10">
        <f t="shared" si="18"/>
        <v>1661.59</v>
      </c>
      <c r="G10">
        <f t="shared" si="7"/>
        <v>0.75</v>
      </c>
      <c r="H10">
        <v>6.0000000000000001E-3</v>
      </c>
      <c r="J10" s="9"/>
      <c r="K10" s="10">
        <f t="shared" si="0"/>
        <v>500</v>
      </c>
      <c r="L10" s="9">
        <f t="shared" si="1"/>
        <v>0.51</v>
      </c>
      <c r="M10" s="9">
        <f t="shared" si="8"/>
        <v>0.39</v>
      </c>
      <c r="N10" s="9">
        <f t="shared" si="9"/>
        <v>1.82</v>
      </c>
      <c r="O10" s="9">
        <f t="shared" si="10"/>
        <v>1.56</v>
      </c>
      <c r="P10" s="9">
        <f t="shared" si="13"/>
        <v>0.43</v>
      </c>
      <c r="Q10" s="9">
        <f t="shared" si="13"/>
        <v>0.4</v>
      </c>
      <c r="R10" s="9">
        <v>1.4999999999999999E-2</v>
      </c>
      <c r="S10" s="9">
        <f t="shared" si="11"/>
        <v>6.0000000000000001E-3</v>
      </c>
      <c r="T10" s="9" t="str">
        <f t="shared" si="12"/>
        <v>1/167</v>
      </c>
      <c r="U10" s="9" t="str">
        <f t="shared" si="14"/>
        <v>U80</v>
      </c>
      <c r="V10" s="9">
        <f t="shared" si="15"/>
        <v>0.25</v>
      </c>
      <c r="W10" s="9">
        <f t="shared" si="16"/>
        <v>0.28000000000000003</v>
      </c>
      <c r="X10" s="9">
        <f t="shared" si="2"/>
        <v>0.37000000000000005</v>
      </c>
      <c r="Y10" s="9">
        <f t="shared" si="17"/>
        <v>0.8</v>
      </c>
      <c r="Z10" s="9">
        <f t="shared" si="3"/>
        <v>1662.34</v>
      </c>
      <c r="AA10" s="9">
        <f t="shared" si="4"/>
        <v>1661.59</v>
      </c>
      <c r="AB10" s="14">
        <f t="shared" si="5"/>
        <v>1661.99</v>
      </c>
      <c r="AC10" s="9"/>
    </row>
    <row r="11" spans="2:29">
      <c r="B11" t="s">
        <v>17</v>
      </c>
      <c r="C11">
        <v>600</v>
      </c>
      <c r="D11">
        <v>1661.6869999999999</v>
      </c>
      <c r="E11">
        <f t="shared" si="6"/>
        <v>1661.69</v>
      </c>
      <c r="F11">
        <f t="shared" si="18"/>
        <v>1660.99</v>
      </c>
      <c r="G11">
        <f t="shared" si="7"/>
        <v>0.70000000000004547</v>
      </c>
      <c r="H11">
        <v>6.0000000000000001E-3</v>
      </c>
      <c r="J11" s="9"/>
      <c r="K11" s="10">
        <f t="shared" ref="K11:K47" si="19">C11</f>
        <v>600</v>
      </c>
      <c r="L11" s="9">
        <f t="shared" si="1"/>
        <v>0.51</v>
      </c>
      <c r="M11" s="9">
        <f t="shared" ref="M11" si="20">M10</f>
        <v>0.39</v>
      </c>
      <c r="N11" s="9">
        <f t="shared" ref="N11:N47" si="21">ROUND(L11/W11,2)</f>
        <v>1.82</v>
      </c>
      <c r="O11" s="9">
        <f t="shared" ref="O11:O47" si="22">ROUND(M11/V11,2)</f>
        <v>1.56</v>
      </c>
      <c r="P11" s="9">
        <f t="shared" ref="P11:P47" si="23">P10</f>
        <v>0.43</v>
      </c>
      <c r="Q11" s="9">
        <f t="shared" ref="Q11:Q47" si="24">Q10</f>
        <v>0.4</v>
      </c>
      <c r="R11" s="9">
        <v>1.4999999999999999E-2</v>
      </c>
      <c r="S11" s="9">
        <f t="shared" ref="S11:S47" si="25">H11</f>
        <v>6.0000000000000001E-3</v>
      </c>
      <c r="T11" s="9" t="str">
        <f t="shared" ref="T11:T47" si="26">"1/"&amp;ROUND(1/S11,0)</f>
        <v>1/167</v>
      </c>
      <c r="U11" s="9" t="str">
        <f t="shared" ref="U11:U47" si="27">U10</f>
        <v>U80</v>
      </c>
      <c r="V11" s="9">
        <f t="shared" si="15"/>
        <v>0.25</v>
      </c>
      <c r="W11" s="9">
        <f t="shared" si="16"/>
        <v>0.28000000000000003</v>
      </c>
      <c r="X11" s="9">
        <f t="shared" si="2"/>
        <v>0.37000000000000005</v>
      </c>
      <c r="Y11" s="9">
        <f t="shared" si="17"/>
        <v>0.8</v>
      </c>
      <c r="Z11" s="9">
        <f t="shared" si="3"/>
        <v>1661.69</v>
      </c>
      <c r="AA11" s="9">
        <f t="shared" si="4"/>
        <v>1660.99</v>
      </c>
      <c r="AB11" s="14">
        <f t="shared" si="5"/>
        <v>1661.39</v>
      </c>
      <c r="AC11" s="9"/>
    </row>
    <row r="12" spans="2:29">
      <c r="B12" t="s">
        <v>416</v>
      </c>
      <c r="C12">
        <v>700</v>
      </c>
      <c r="D12">
        <v>1660.95</v>
      </c>
      <c r="E12">
        <f t="shared" si="6"/>
        <v>1660.95</v>
      </c>
      <c r="F12">
        <f t="shared" si="18"/>
        <v>1660.39</v>
      </c>
      <c r="G12">
        <f t="shared" si="7"/>
        <v>0.55999999999994543</v>
      </c>
      <c r="H12">
        <v>4.0000000000000001E-3</v>
      </c>
      <c r="J12" s="9"/>
      <c r="K12" s="10">
        <f t="shared" si="19"/>
        <v>700</v>
      </c>
      <c r="L12" s="9">
        <f t="shared" si="1"/>
        <v>0.51</v>
      </c>
      <c r="M12" s="9">
        <f t="shared" ref="M12" si="28">M11</f>
        <v>0.39</v>
      </c>
      <c r="N12" s="9">
        <f t="shared" si="21"/>
        <v>1.82</v>
      </c>
      <c r="O12" s="9">
        <f t="shared" si="22"/>
        <v>1.5</v>
      </c>
      <c r="P12" s="9">
        <v>0.48</v>
      </c>
      <c r="Q12" s="9">
        <v>0.42</v>
      </c>
      <c r="R12" s="9">
        <v>1.4999999999999999E-2</v>
      </c>
      <c r="S12" s="9">
        <f t="shared" si="25"/>
        <v>4.0000000000000001E-3</v>
      </c>
      <c r="T12" s="9" t="str">
        <f t="shared" si="26"/>
        <v>1/250</v>
      </c>
      <c r="U12" s="9" t="str">
        <f t="shared" si="27"/>
        <v>U80</v>
      </c>
      <c r="V12" s="9">
        <v>0.26</v>
      </c>
      <c r="W12" s="9">
        <v>0.28000000000000003</v>
      </c>
      <c r="X12" s="9">
        <f t="shared" si="2"/>
        <v>0.32000000000000006</v>
      </c>
      <c r="Y12" s="9">
        <f t="shared" si="17"/>
        <v>0.8</v>
      </c>
      <c r="Z12" s="9">
        <f t="shared" si="3"/>
        <v>1660.95</v>
      </c>
      <c r="AA12" s="9">
        <f t="shared" si="4"/>
        <v>1660.39</v>
      </c>
      <c r="AB12" s="14">
        <f t="shared" si="5"/>
        <v>1660.8100000000002</v>
      </c>
      <c r="AC12" s="9"/>
    </row>
    <row r="13" spans="2:29">
      <c r="B13" t="s">
        <v>21</v>
      </c>
      <c r="C13">
        <v>800</v>
      </c>
      <c r="D13">
        <v>1660.6279999999999</v>
      </c>
      <c r="E13">
        <f t="shared" si="6"/>
        <v>1660.63</v>
      </c>
      <c r="F13">
        <f t="shared" si="18"/>
        <v>1659.99</v>
      </c>
      <c r="G13">
        <f t="shared" si="7"/>
        <v>0.64000000000010004</v>
      </c>
      <c r="H13">
        <v>4.0000000000000001E-3</v>
      </c>
      <c r="J13" s="12" t="s">
        <v>493</v>
      </c>
      <c r="K13" s="10">
        <f t="shared" si="19"/>
        <v>800</v>
      </c>
      <c r="L13" s="9">
        <f t="shared" si="1"/>
        <v>0.51</v>
      </c>
      <c r="M13" s="9">
        <f t="shared" ref="M13" si="29">M12</f>
        <v>0.39</v>
      </c>
      <c r="N13" s="9">
        <f t="shared" si="21"/>
        <v>1.65</v>
      </c>
      <c r="O13" s="9">
        <f t="shared" si="22"/>
        <v>1.44</v>
      </c>
      <c r="P13" s="9">
        <f t="shared" si="23"/>
        <v>0.48</v>
      </c>
      <c r="Q13" s="9">
        <f t="shared" si="24"/>
        <v>0.42</v>
      </c>
      <c r="R13" s="9">
        <v>1.4999999999999999E-2</v>
      </c>
      <c r="S13" s="9">
        <f t="shared" si="25"/>
        <v>4.0000000000000001E-3</v>
      </c>
      <c r="T13" s="9" t="str">
        <f t="shared" si="26"/>
        <v>1/250</v>
      </c>
      <c r="U13" s="9" t="str">
        <f t="shared" si="27"/>
        <v>U80</v>
      </c>
      <c r="V13" s="9">
        <v>0.27</v>
      </c>
      <c r="W13" s="9">
        <v>0.31</v>
      </c>
      <c r="X13" s="9">
        <f t="shared" si="2"/>
        <v>0.32000000000000006</v>
      </c>
      <c r="Y13" s="9">
        <f t="shared" si="17"/>
        <v>0.8</v>
      </c>
      <c r="Z13" s="9">
        <f t="shared" si="3"/>
        <v>1660.63</v>
      </c>
      <c r="AA13" s="9">
        <f t="shared" si="4"/>
        <v>1659.99</v>
      </c>
      <c r="AB13" s="14">
        <f t="shared" si="5"/>
        <v>1660.41</v>
      </c>
      <c r="AC13" s="9"/>
    </row>
    <row r="14" spans="2:29">
      <c r="B14" t="s">
        <v>417</v>
      </c>
      <c r="C14">
        <v>900</v>
      </c>
      <c r="D14">
        <v>1660.2660000000001</v>
      </c>
      <c r="E14">
        <f t="shared" si="6"/>
        <v>1660.27</v>
      </c>
      <c r="F14">
        <f t="shared" si="18"/>
        <v>1659.59</v>
      </c>
      <c r="G14">
        <f t="shared" si="7"/>
        <v>0.68000000000006366</v>
      </c>
      <c r="H14">
        <v>4.0000000000000001E-3</v>
      </c>
      <c r="J14" s="9"/>
      <c r="K14" s="10">
        <f t="shared" si="19"/>
        <v>900</v>
      </c>
      <c r="L14" s="9">
        <f t="shared" si="1"/>
        <v>0.51</v>
      </c>
      <c r="M14" s="9">
        <f t="shared" ref="M14" si="30">M13</f>
        <v>0.39</v>
      </c>
      <c r="N14" s="9">
        <f t="shared" si="21"/>
        <v>1.65</v>
      </c>
      <c r="O14" s="9">
        <f t="shared" si="22"/>
        <v>1.44</v>
      </c>
      <c r="P14" s="9">
        <f t="shared" si="23"/>
        <v>0.48</v>
      </c>
      <c r="Q14" s="9">
        <f t="shared" si="24"/>
        <v>0.42</v>
      </c>
      <c r="R14" s="9">
        <v>1.4999999999999999E-2</v>
      </c>
      <c r="S14" s="9">
        <f t="shared" si="25"/>
        <v>4.0000000000000001E-3</v>
      </c>
      <c r="T14" s="9" t="str">
        <f t="shared" si="26"/>
        <v>1/250</v>
      </c>
      <c r="U14" s="9" t="str">
        <f t="shared" si="27"/>
        <v>U80</v>
      </c>
      <c r="V14" s="9">
        <f t="shared" ref="V14:V54" si="31">V13</f>
        <v>0.27</v>
      </c>
      <c r="W14" s="9">
        <f t="shared" ref="W14:W54" si="32">W13</f>
        <v>0.31</v>
      </c>
      <c r="X14" s="9">
        <f t="shared" si="2"/>
        <v>0.32000000000000006</v>
      </c>
      <c r="Y14" s="9">
        <f t="shared" si="17"/>
        <v>0.8</v>
      </c>
      <c r="Z14" s="9">
        <f t="shared" si="3"/>
        <v>1660.27</v>
      </c>
      <c r="AA14" s="9">
        <f t="shared" si="4"/>
        <v>1659.59</v>
      </c>
      <c r="AB14" s="14">
        <f t="shared" si="5"/>
        <v>1660.01</v>
      </c>
      <c r="AC14" s="9"/>
    </row>
    <row r="15" spans="2:29">
      <c r="B15" t="s">
        <v>26</v>
      </c>
      <c r="C15">
        <v>1000</v>
      </c>
      <c r="D15">
        <v>1659.64</v>
      </c>
      <c r="E15">
        <f t="shared" si="6"/>
        <v>1659.64</v>
      </c>
      <c r="F15">
        <f t="shared" si="18"/>
        <v>1659.19</v>
      </c>
      <c r="G15">
        <f t="shared" si="7"/>
        <v>0.45000000000004547</v>
      </c>
      <c r="H15">
        <v>4.0000000000000001E-3</v>
      </c>
      <c r="J15" s="9"/>
      <c r="K15" s="10">
        <f t="shared" si="19"/>
        <v>1000</v>
      </c>
      <c r="L15" s="9">
        <f t="shared" si="1"/>
        <v>0.51</v>
      </c>
      <c r="M15" s="9">
        <f t="shared" ref="M15" si="33">M14</f>
        <v>0.39</v>
      </c>
      <c r="N15" s="9">
        <f t="shared" si="21"/>
        <v>1.65</v>
      </c>
      <c r="O15" s="9">
        <f t="shared" si="22"/>
        <v>1.44</v>
      </c>
      <c r="P15" s="9">
        <f t="shared" si="23"/>
        <v>0.48</v>
      </c>
      <c r="Q15" s="9">
        <f t="shared" si="24"/>
        <v>0.42</v>
      </c>
      <c r="R15" s="9">
        <v>1.4999999999999999E-2</v>
      </c>
      <c r="S15" s="9">
        <f t="shared" si="25"/>
        <v>4.0000000000000001E-3</v>
      </c>
      <c r="T15" s="9" t="str">
        <f t="shared" si="26"/>
        <v>1/250</v>
      </c>
      <c r="U15" s="9" t="str">
        <f t="shared" si="27"/>
        <v>U80</v>
      </c>
      <c r="V15" s="9">
        <f t="shared" si="31"/>
        <v>0.27</v>
      </c>
      <c r="W15" s="9">
        <f t="shared" si="32"/>
        <v>0.31</v>
      </c>
      <c r="X15" s="9">
        <f t="shared" si="2"/>
        <v>0.32000000000000006</v>
      </c>
      <c r="Y15" s="9">
        <f t="shared" si="17"/>
        <v>0.8</v>
      </c>
      <c r="Z15" s="9">
        <f t="shared" si="3"/>
        <v>1659.64</v>
      </c>
      <c r="AA15" s="9">
        <f t="shared" si="4"/>
        <v>1659.19</v>
      </c>
      <c r="AB15" s="14">
        <f t="shared" si="5"/>
        <v>1659.6100000000001</v>
      </c>
      <c r="AC15" s="9"/>
    </row>
    <row r="16" spans="2:29">
      <c r="B16" t="s">
        <v>28</v>
      </c>
      <c r="C16">
        <v>1100</v>
      </c>
      <c r="D16">
        <v>1659.3130000000001</v>
      </c>
      <c r="E16">
        <f t="shared" si="6"/>
        <v>1659.31</v>
      </c>
      <c r="F16">
        <f t="shared" si="18"/>
        <v>1658.79</v>
      </c>
      <c r="G16">
        <f t="shared" si="7"/>
        <v>0.51999999999998181</v>
      </c>
      <c r="H16">
        <v>4.0000000000000001E-3</v>
      </c>
      <c r="J16" s="9"/>
      <c r="K16" s="10">
        <f t="shared" si="19"/>
        <v>1100</v>
      </c>
      <c r="L16" s="9">
        <f t="shared" si="1"/>
        <v>0.51</v>
      </c>
      <c r="M16" s="9">
        <f t="shared" ref="M16" si="34">M15</f>
        <v>0.39</v>
      </c>
      <c r="N16" s="9">
        <f t="shared" si="21"/>
        <v>1.65</v>
      </c>
      <c r="O16" s="9">
        <f t="shared" si="22"/>
        <v>1.44</v>
      </c>
      <c r="P16" s="9">
        <f t="shared" si="23"/>
        <v>0.48</v>
      </c>
      <c r="Q16" s="9">
        <f t="shared" si="24"/>
        <v>0.42</v>
      </c>
      <c r="R16" s="9">
        <v>1.4999999999999999E-2</v>
      </c>
      <c r="S16" s="9">
        <f t="shared" si="25"/>
        <v>4.0000000000000001E-3</v>
      </c>
      <c r="T16" s="9" t="str">
        <f t="shared" si="26"/>
        <v>1/250</v>
      </c>
      <c r="U16" s="9" t="str">
        <f t="shared" si="27"/>
        <v>U80</v>
      </c>
      <c r="V16" s="9">
        <f t="shared" si="31"/>
        <v>0.27</v>
      </c>
      <c r="W16" s="9">
        <f t="shared" si="32"/>
        <v>0.31</v>
      </c>
      <c r="X16" s="9">
        <f t="shared" si="2"/>
        <v>0.32000000000000006</v>
      </c>
      <c r="Y16" s="9">
        <f t="shared" si="17"/>
        <v>0.8</v>
      </c>
      <c r="Z16" s="9">
        <f t="shared" si="3"/>
        <v>1659.31</v>
      </c>
      <c r="AA16" s="9">
        <f t="shared" si="4"/>
        <v>1658.79</v>
      </c>
      <c r="AB16" s="14">
        <f t="shared" si="5"/>
        <v>1659.21</v>
      </c>
      <c r="AC16" s="9"/>
    </row>
    <row r="17" spans="2:29">
      <c r="B17" t="s">
        <v>418</v>
      </c>
      <c r="C17">
        <v>1200</v>
      </c>
      <c r="D17">
        <v>1659.008</v>
      </c>
      <c r="E17">
        <f t="shared" si="6"/>
        <v>1659.01</v>
      </c>
      <c r="F17">
        <f t="shared" si="18"/>
        <v>1658.39</v>
      </c>
      <c r="G17">
        <f t="shared" si="7"/>
        <v>0.61999999999989086</v>
      </c>
      <c r="H17">
        <v>4.0000000000000001E-3</v>
      </c>
      <c r="J17" s="9"/>
      <c r="K17" s="10">
        <f t="shared" si="19"/>
        <v>1200</v>
      </c>
      <c r="L17" s="9">
        <f t="shared" si="1"/>
        <v>0.51</v>
      </c>
      <c r="M17" s="9">
        <f t="shared" ref="M17" si="35">M16</f>
        <v>0.39</v>
      </c>
      <c r="N17" s="9">
        <f t="shared" si="21"/>
        <v>1.65</v>
      </c>
      <c r="O17" s="9">
        <f t="shared" si="22"/>
        <v>1.44</v>
      </c>
      <c r="P17" s="9">
        <f t="shared" si="23"/>
        <v>0.48</v>
      </c>
      <c r="Q17" s="9">
        <f t="shared" si="24"/>
        <v>0.42</v>
      </c>
      <c r="R17" s="9">
        <v>1.4999999999999999E-2</v>
      </c>
      <c r="S17" s="9">
        <f t="shared" si="25"/>
        <v>4.0000000000000001E-3</v>
      </c>
      <c r="T17" s="9" t="str">
        <f t="shared" si="26"/>
        <v>1/250</v>
      </c>
      <c r="U17" s="9" t="str">
        <f t="shared" si="27"/>
        <v>U80</v>
      </c>
      <c r="V17" s="9">
        <f t="shared" si="31"/>
        <v>0.27</v>
      </c>
      <c r="W17" s="9">
        <f t="shared" si="32"/>
        <v>0.31</v>
      </c>
      <c r="X17" s="9">
        <f t="shared" si="2"/>
        <v>0.32000000000000006</v>
      </c>
      <c r="Y17" s="9">
        <f t="shared" si="17"/>
        <v>0.8</v>
      </c>
      <c r="Z17" s="9">
        <f t="shared" si="3"/>
        <v>1659.01</v>
      </c>
      <c r="AA17" s="9">
        <f t="shared" si="4"/>
        <v>1658.39</v>
      </c>
      <c r="AB17" s="14">
        <f t="shared" si="5"/>
        <v>1658.8100000000002</v>
      </c>
      <c r="AC17" s="9"/>
    </row>
    <row r="18" spans="2:29">
      <c r="B18" t="s">
        <v>419</v>
      </c>
      <c r="C18">
        <v>1300</v>
      </c>
      <c r="D18">
        <v>1658.597</v>
      </c>
      <c r="E18">
        <f t="shared" si="6"/>
        <v>1658.6</v>
      </c>
      <c r="F18">
        <f t="shared" si="18"/>
        <v>1657.99</v>
      </c>
      <c r="G18">
        <f t="shared" si="7"/>
        <v>0.60999999999989996</v>
      </c>
      <c r="H18">
        <v>4.0000000000000001E-3</v>
      </c>
      <c r="J18" s="9"/>
      <c r="K18" s="10">
        <f t="shared" si="19"/>
        <v>1300</v>
      </c>
      <c r="L18" s="9">
        <f t="shared" si="1"/>
        <v>0.51</v>
      </c>
      <c r="M18" s="9">
        <f t="shared" ref="M18" si="36">M17</f>
        <v>0.39</v>
      </c>
      <c r="N18" s="9">
        <f t="shared" si="21"/>
        <v>1.65</v>
      </c>
      <c r="O18" s="9">
        <f t="shared" si="22"/>
        <v>1.44</v>
      </c>
      <c r="P18" s="9">
        <f t="shared" si="23"/>
        <v>0.48</v>
      </c>
      <c r="Q18" s="9">
        <f t="shared" si="24"/>
        <v>0.42</v>
      </c>
      <c r="R18" s="9">
        <v>1.4999999999999999E-2</v>
      </c>
      <c r="S18" s="9">
        <f t="shared" si="25"/>
        <v>4.0000000000000001E-3</v>
      </c>
      <c r="T18" s="9" t="str">
        <f t="shared" si="26"/>
        <v>1/250</v>
      </c>
      <c r="U18" s="9" t="str">
        <f t="shared" si="27"/>
        <v>U80</v>
      </c>
      <c r="V18" s="9">
        <f t="shared" si="31"/>
        <v>0.27</v>
      </c>
      <c r="W18" s="9">
        <f t="shared" si="32"/>
        <v>0.31</v>
      </c>
      <c r="X18" s="9">
        <f t="shared" si="2"/>
        <v>0.32000000000000006</v>
      </c>
      <c r="Y18" s="9">
        <f t="shared" si="17"/>
        <v>0.8</v>
      </c>
      <c r="Z18" s="9">
        <f t="shared" si="3"/>
        <v>1658.6</v>
      </c>
      <c r="AA18" s="9">
        <f t="shared" si="4"/>
        <v>1657.99</v>
      </c>
      <c r="AB18" s="14">
        <f t="shared" si="5"/>
        <v>1658.41</v>
      </c>
      <c r="AC18" s="9"/>
    </row>
    <row r="19" spans="2:29">
      <c r="B19" t="s">
        <v>420</v>
      </c>
      <c r="C19">
        <v>1400</v>
      </c>
      <c r="D19">
        <v>1657.9749999999999</v>
      </c>
      <c r="E19">
        <f t="shared" si="6"/>
        <v>1657.98</v>
      </c>
      <c r="F19">
        <f t="shared" si="18"/>
        <v>1657.59</v>
      </c>
      <c r="G19">
        <f t="shared" si="7"/>
        <v>0.39000000000010004</v>
      </c>
      <c r="H19">
        <v>4.0000000000000001E-3</v>
      </c>
      <c r="J19" s="9"/>
      <c r="K19" s="10">
        <f t="shared" si="19"/>
        <v>1400</v>
      </c>
      <c r="L19" s="9">
        <f t="shared" si="1"/>
        <v>0.51</v>
      </c>
      <c r="M19" s="9">
        <f t="shared" ref="M19" si="37">M18</f>
        <v>0.39</v>
      </c>
      <c r="N19" s="9">
        <f t="shared" si="21"/>
        <v>1.65</v>
      </c>
      <c r="O19" s="9">
        <f t="shared" si="22"/>
        <v>1.44</v>
      </c>
      <c r="P19" s="9">
        <f t="shared" si="23"/>
        <v>0.48</v>
      </c>
      <c r="Q19" s="9">
        <f t="shared" si="24"/>
        <v>0.42</v>
      </c>
      <c r="R19" s="9">
        <v>1.4999999999999999E-2</v>
      </c>
      <c r="S19" s="9">
        <f t="shared" si="25"/>
        <v>4.0000000000000001E-3</v>
      </c>
      <c r="T19" s="9" t="str">
        <f t="shared" si="26"/>
        <v>1/250</v>
      </c>
      <c r="U19" s="9" t="str">
        <f t="shared" si="27"/>
        <v>U80</v>
      </c>
      <c r="V19" s="9">
        <f t="shared" si="31"/>
        <v>0.27</v>
      </c>
      <c r="W19" s="9">
        <f t="shared" si="32"/>
        <v>0.31</v>
      </c>
      <c r="X19" s="9">
        <f t="shared" si="2"/>
        <v>0.32000000000000006</v>
      </c>
      <c r="Y19" s="9">
        <f t="shared" si="17"/>
        <v>0.8</v>
      </c>
      <c r="Z19" s="9">
        <f t="shared" si="3"/>
        <v>1657.98</v>
      </c>
      <c r="AA19" s="9">
        <f t="shared" si="4"/>
        <v>1657.59</v>
      </c>
      <c r="AB19" s="14">
        <f t="shared" si="5"/>
        <v>1658.01</v>
      </c>
      <c r="AC19" s="9"/>
    </row>
    <row r="20" spans="2:29">
      <c r="B20" t="s">
        <v>33</v>
      </c>
      <c r="C20">
        <v>1500</v>
      </c>
      <c r="D20">
        <v>1657.6210000000001</v>
      </c>
      <c r="E20">
        <f t="shared" si="6"/>
        <v>1657.62</v>
      </c>
      <c r="F20">
        <f t="shared" si="18"/>
        <v>1657.19</v>
      </c>
      <c r="G20">
        <f t="shared" si="7"/>
        <v>0.42999999999983629</v>
      </c>
      <c r="H20">
        <v>4.0000000000000001E-3</v>
      </c>
      <c r="J20" s="9"/>
      <c r="K20" s="10">
        <f t="shared" si="19"/>
        <v>1500</v>
      </c>
      <c r="L20" s="9">
        <f t="shared" si="1"/>
        <v>0.51</v>
      </c>
      <c r="M20" s="9">
        <f t="shared" ref="M20" si="38">M19</f>
        <v>0.39</v>
      </c>
      <c r="N20" s="9">
        <f t="shared" si="21"/>
        <v>1.65</v>
      </c>
      <c r="O20" s="9">
        <f t="shared" si="22"/>
        <v>1.44</v>
      </c>
      <c r="P20" s="9">
        <f t="shared" si="23"/>
        <v>0.48</v>
      </c>
      <c r="Q20" s="9">
        <f t="shared" si="24"/>
        <v>0.42</v>
      </c>
      <c r="R20" s="9">
        <v>1.4999999999999999E-2</v>
      </c>
      <c r="S20" s="9">
        <f t="shared" si="25"/>
        <v>4.0000000000000001E-3</v>
      </c>
      <c r="T20" s="9" t="str">
        <f t="shared" si="26"/>
        <v>1/250</v>
      </c>
      <c r="U20" s="9" t="str">
        <f t="shared" si="27"/>
        <v>U80</v>
      </c>
      <c r="V20" s="9">
        <f t="shared" si="31"/>
        <v>0.27</v>
      </c>
      <c r="W20" s="9">
        <f t="shared" si="32"/>
        <v>0.31</v>
      </c>
      <c r="X20" s="9">
        <f t="shared" si="2"/>
        <v>0.32000000000000006</v>
      </c>
      <c r="Y20" s="9">
        <f t="shared" si="17"/>
        <v>0.8</v>
      </c>
      <c r="Z20" s="9">
        <f t="shared" si="3"/>
        <v>1657.62</v>
      </c>
      <c r="AA20" s="9">
        <f t="shared" si="4"/>
        <v>1657.19</v>
      </c>
      <c r="AB20" s="14">
        <f t="shared" si="5"/>
        <v>1657.6100000000001</v>
      </c>
      <c r="AC20" s="9"/>
    </row>
    <row r="21" spans="2:29">
      <c r="B21" t="s">
        <v>35</v>
      </c>
      <c r="C21">
        <v>1600</v>
      </c>
      <c r="D21">
        <v>1657.3219999999999</v>
      </c>
      <c r="E21">
        <f t="shared" si="6"/>
        <v>1657.32</v>
      </c>
      <c r="F21">
        <f t="shared" si="18"/>
        <v>1656.79</v>
      </c>
      <c r="G21">
        <f t="shared" si="7"/>
        <v>0.52999999999997272</v>
      </c>
      <c r="H21">
        <v>4.0000000000000001E-3</v>
      </c>
      <c r="J21" s="12" t="s">
        <v>494</v>
      </c>
      <c r="K21" s="10">
        <f t="shared" si="19"/>
        <v>1600</v>
      </c>
      <c r="L21" s="9">
        <f t="shared" si="1"/>
        <v>0.51</v>
      </c>
      <c r="M21" s="9">
        <f t="shared" ref="M21" si="39">M20</f>
        <v>0.39</v>
      </c>
      <c r="N21" s="9">
        <f t="shared" si="21"/>
        <v>1.65</v>
      </c>
      <c r="O21" s="9">
        <f t="shared" si="22"/>
        <v>1.44</v>
      </c>
      <c r="P21" s="9">
        <f t="shared" si="23"/>
        <v>0.48</v>
      </c>
      <c r="Q21" s="9">
        <f t="shared" si="24"/>
        <v>0.42</v>
      </c>
      <c r="R21" s="9">
        <v>1.4999999999999999E-2</v>
      </c>
      <c r="S21" s="9">
        <f t="shared" si="25"/>
        <v>4.0000000000000001E-3</v>
      </c>
      <c r="T21" s="9" t="str">
        <f t="shared" si="26"/>
        <v>1/250</v>
      </c>
      <c r="U21" s="9" t="str">
        <f t="shared" si="27"/>
        <v>U80</v>
      </c>
      <c r="V21" s="9">
        <f t="shared" si="31"/>
        <v>0.27</v>
      </c>
      <c r="W21" s="9">
        <f t="shared" si="32"/>
        <v>0.31</v>
      </c>
      <c r="X21" s="9">
        <f t="shared" si="2"/>
        <v>0.32000000000000006</v>
      </c>
      <c r="Y21" s="9">
        <f t="shared" si="17"/>
        <v>0.8</v>
      </c>
      <c r="Z21" s="9">
        <f t="shared" si="3"/>
        <v>1657.32</v>
      </c>
      <c r="AA21" s="9">
        <f t="shared" si="4"/>
        <v>1656.79</v>
      </c>
      <c r="AB21" s="14">
        <f t="shared" si="5"/>
        <v>1657.21</v>
      </c>
      <c r="AC21" s="9"/>
    </row>
    <row r="22" spans="2:29">
      <c r="B22" t="s">
        <v>39</v>
      </c>
      <c r="C22">
        <v>1700</v>
      </c>
      <c r="D22">
        <v>1657.0619999999999</v>
      </c>
      <c r="E22">
        <f t="shared" si="6"/>
        <v>1657.06</v>
      </c>
      <c r="F22">
        <f t="shared" si="18"/>
        <v>1656.39</v>
      </c>
      <c r="G22">
        <f t="shared" si="7"/>
        <v>0.66999999999984539</v>
      </c>
      <c r="H22">
        <v>4.0000000000000001E-3</v>
      </c>
      <c r="J22" s="9"/>
      <c r="K22" s="10">
        <f t="shared" si="19"/>
        <v>1700</v>
      </c>
      <c r="L22" s="9">
        <f t="shared" si="1"/>
        <v>0.51</v>
      </c>
      <c r="M22" s="9">
        <f t="shared" ref="M22" si="40">M21</f>
        <v>0.39</v>
      </c>
      <c r="N22" s="9">
        <f t="shared" si="21"/>
        <v>1.65</v>
      </c>
      <c r="O22" s="9">
        <f t="shared" si="22"/>
        <v>1.44</v>
      </c>
      <c r="P22" s="9">
        <f t="shared" si="23"/>
        <v>0.48</v>
      </c>
      <c r="Q22" s="9">
        <f t="shared" si="24"/>
        <v>0.42</v>
      </c>
      <c r="R22" s="9">
        <v>1.4999999999999999E-2</v>
      </c>
      <c r="S22" s="9">
        <f t="shared" si="25"/>
        <v>4.0000000000000001E-3</v>
      </c>
      <c r="T22" s="9" t="str">
        <f t="shared" si="26"/>
        <v>1/250</v>
      </c>
      <c r="U22" s="9" t="str">
        <f t="shared" si="27"/>
        <v>U80</v>
      </c>
      <c r="V22" s="9">
        <f t="shared" si="31"/>
        <v>0.27</v>
      </c>
      <c r="W22" s="9">
        <f t="shared" si="32"/>
        <v>0.31</v>
      </c>
      <c r="X22" s="9">
        <f t="shared" si="2"/>
        <v>0.32000000000000006</v>
      </c>
      <c r="Y22" s="9">
        <f t="shared" si="17"/>
        <v>0.8</v>
      </c>
      <c r="Z22" s="9">
        <f t="shared" si="3"/>
        <v>1657.06</v>
      </c>
      <c r="AA22" s="9">
        <f t="shared" si="4"/>
        <v>1656.39</v>
      </c>
      <c r="AB22" s="14">
        <f t="shared" si="5"/>
        <v>1656.8100000000002</v>
      </c>
      <c r="AC22" s="9"/>
    </row>
    <row r="23" spans="2:29">
      <c r="B23" t="s">
        <v>40</v>
      </c>
      <c r="C23">
        <v>1800</v>
      </c>
      <c r="D23">
        <v>1656.684</v>
      </c>
      <c r="E23">
        <f t="shared" si="6"/>
        <v>1656.68</v>
      </c>
      <c r="F23">
        <f t="shared" si="18"/>
        <v>1655.99</v>
      </c>
      <c r="G23">
        <f t="shared" si="7"/>
        <v>0.69000000000005457</v>
      </c>
      <c r="H23">
        <v>4.0000000000000001E-3</v>
      </c>
      <c r="J23" s="9"/>
      <c r="K23" s="10">
        <f t="shared" si="19"/>
        <v>1800</v>
      </c>
      <c r="L23" s="9">
        <f t="shared" si="1"/>
        <v>0.51</v>
      </c>
      <c r="M23" s="9">
        <f t="shared" ref="M23" si="41">M22</f>
        <v>0.39</v>
      </c>
      <c r="N23" s="9">
        <f t="shared" si="21"/>
        <v>1.65</v>
      </c>
      <c r="O23" s="9">
        <f t="shared" si="22"/>
        <v>1.44</v>
      </c>
      <c r="P23" s="9">
        <f t="shared" si="23"/>
        <v>0.48</v>
      </c>
      <c r="Q23" s="9">
        <f t="shared" si="24"/>
        <v>0.42</v>
      </c>
      <c r="R23" s="9">
        <v>1.4999999999999999E-2</v>
      </c>
      <c r="S23" s="9">
        <f t="shared" si="25"/>
        <v>4.0000000000000001E-3</v>
      </c>
      <c r="T23" s="9" t="str">
        <f t="shared" si="26"/>
        <v>1/250</v>
      </c>
      <c r="U23" s="9" t="str">
        <f t="shared" si="27"/>
        <v>U80</v>
      </c>
      <c r="V23" s="9">
        <f t="shared" si="31"/>
        <v>0.27</v>
      </c>
      <c r="W23" s="9">
        <f t="shared" si="32"/>
        <v>0.31</v>
      </c>
      <c r="X23" s="9">
        <f t="shared" si="2"/>
        <v>0.32000000000000006</v>
      </c>
      <c r="Y23" s="9">
        <f t="shared" si="17"/>
        <v>0.8</v>
      </c>
      <c r="Z23" s="9">
        <f t="shared" si="3"/>
        <v>1656.68</v>
      </c>
      <c r="AA23" s="9">
        <f t="shared" si="4"/>
        <v>1655.99</v>
      </c>
      <c r="AB23" s="14">
        <f t="shared" si="5"/>
        <v>1656.41</v>
      </c>
      <c r="AC23" s="9"/>
    </row>
    <row r="24" spans="2:29">
      <c r="B24" t="s">
        <v>42</v>
      </c>
      <c r="C24">
        <v>1900</v>
      </c>
      <c r="D24">
        <v>1656.38</v>
      </c>
      <c r="E24">
        <f t="shared" si="6"/>
        <v>1656.38</v>
      </c>
      <c r="F24">
        <f t="shared" si="18"/>
        <v>1655.59</v>
      </c>
      <c r="G24">
        <f t="shared" si="7"/>
        <v>0.79000000000019099</v>
      </c>
      <c r="H24">
        <v>4.0000000000000001E-3</v>
      </c>
      <c r="J24" s="9"/>
      <c r="K24" s="10">
        <f t="shared" si="19"/>
        <v>1900</v>
      </c>
      <c r="L24" s="9">
        <f t="shared" si="1"/>
        <v>0.51</v>
      </c>
      <c r="M24" s="9">
        <f t="shared" ref="M24" si="42">M23</f>
        <v>0.39</v>
      </c>
      <c r="N24" s="9">
        <f t="shared" si="21"/>
        <v>1.65</v>
      </c>
      <c r="O24" s="9">
        <f t="shared" si="22"/>
        <v>1.44</v>
      </c>
      <c r="P24" s="9">
        <f t="shared" si="23"/>
        <v>0.48</v>
      </c>
      <c r="Q24" s="9">
        <f t="shared" si="24"/>
        <v>0.42</v>
      </c>
      <c r="R24" s="9">
        <v>1.4999999999999999E-2</v>
      </c>
      <c r="S24" s="9">
        <f t="shared" si="25"/>
        <v>4.0000000000000001E-3</v>
      </c>
      <c r="T24" s="9" t="str">
        <f t="shared" si="26"/>
        <v>1/250</v>
      </c>
      <c r="U24" s="9" t="str">
        <f t="shared" si="27"/>
        <v>U80</v>
      </c>
      <c r="V24" s="9">
        <f t="shared" si="31"/>
        <v>0.27</v>
      </c>
      <c r="W24" s="9">
        <f t="shared" si="32"/>
        <v>0.31</v>
      </c>
      <c r="X24" s="9">
        <f t="shared" si="2"/>
        <v>0.32000000000000006</v>
      </c>
      <c r="Y24" s="9">
        <f t="shared" si="17"/>
        <v>0.8</v>
      </c>
      <c r="Z24" s="9">
        <f t="shared" si="3"/>
        <v>1656.38</v>
      </c>
      <c r="AA24" s="9">
        <f t="shared" si="4"/>
        <v>1655.59</v>
      </c>
      <c r="AB24" s="14">
        <f t="shared" si="5"/>
        <v>1656.01</v>
      </c>
      <c r="AC24" s="9"/>
    </row>
    <row r="25" spans="2:29">
      <c r="B25" t="s">
        <v>44</v>
      </c>
      <c r="C25">
        <v>2000</v>
      </c>
      <c r="D25">
        <v>1656.0830000000001</v>
      </c>
      <c r="E25">
        <f t="shared" si="6"/>
        <v>1656.08</v>
      </c>
      <c r="F25">
        <f t="shared" si="18"/>
        <v>1655.19</v>
      </c>
      <c r="G25">
        <f t="shared" si="7"/>
        <v>0.88999999999987267</v>
      </c>
      <c r="H25">
        <v>4.0000000000000001E-3</v>
      </c>
      <c r="J25" s="9"/>
      <c r="K25" s="10">
        <f t="shared" si="19"/>
        <v>2000</v>
      </c>
      <c r="L25" s="9">
        <f t="shared" si="1"/>
        <v>0.51</v>
      </c>
      <c r="M25" s="9">
        <f t="shared" ref="M25" si="43">M24</f>
        <v>0.39</v>
      </c>
      <c r="N25" s="9">
        <f t="shared" si="21"/>
        <v>1.65</v>
      </c>
      <c r="O25" s="9">
        <f t="shared" si="22"/>
        <v>1.44</v>
      </c>
      <c r="P25" s="9">
        <f t="shared" si="23"/>
        <v>0.48</v>
      </c>
      <c r="Q25" s="9">
        <f t="shared" si="24"/>
        <v>0.42</v>
      </c>
      <c r="R25" s="9">
        <v>1.4999999999999999E-2</v>
      </c>
      <c r="S25" s="9">
        <f t="shared" si="25"/>
        <v>4.0000000000000001E-3</v>
      </c>
      <c r="T25" s="9" t="str">
        <f t="shared" si="26"/>
        <v>1/250</v>
      </c>
      <c r="U25" s="9" t="str">
        <f t="shared" si="27"/>
        <v>U80</v>
      </c>
      <c r="V25" s="9">
        <f t="shared" si="31"/>
        <v>0.27</v>
      </c>
      <c r="W25" s="9">
        <f t="shared" si="32"/>
        <v>0.31</v>
      </c>
      <c r="X25" s="9">
        <f t="shared" si="2"/>
        <v>0.32000000000000006</v>
      </c>
      <c r="Y25" s="9">
        <f t="shared" si="17"/>
        <v>0.8</v>
      </c>
      <c r="Z25" s="9">
        <f t="shared" si="3"/>
        <v>1656.08</v>
      </c>
      <c r="AA25" s="9">
        <f t="shared" si="4"/>
        <v>1655.19</v>
      </c>
      <c r="AB25" s="14">
        <f t="shared" si="5"/>
        <v>1655.6100000000001</v>
      </c>
      <c r="AC25" s="9"/>
    </row>
    <row r="26" spans="2:29">
      <c r="B26" t="s">
        <v>46</v>
      </c>
      <c r="C26">
        <v>2100</v>
      </c>
      <c r="D26">
        <v>1655.692</v>
      </c>
      <c r="E26">
        <f t="shared" si="6"/>
        <v>1655.69</v>
      </c>
      <c r="F26">
        <f t="shared" si="18"/>
        <v>1654.79</v>
      </c>
      <c r="G26">
        <f t="shared" si="7"/>
        <v>0.90000000000009095</v>
      </c>
      <c r="H26">
        <v>4.0000000000000001E-3</v>
      </c>
      <c r="J26" s="9"/>
      <c r="K26" s="10">
        <f t="shared" si="19"/>
        <v>2100</v>
      </c>
      <c r="L26" s="9">
        <f t="shared" si="1"/>
        <v>0.51</v>
      </c>
      <c r="M26" s="9">
        <f t="shared" ref="M26" si="44">M25</f>
        <v>0.39</v>
      </c>
      <c r="N26" s="9">
        <f t="shared" si="21"/>
        <v>1.65</v>
      </c>
      <c r="O26" s="9">
        <f t="shared" si="22"/>
        <v>1.44</v>
      </c>
      <c r="P26" s="9">
        <f t="shared" si="23"/>
        <v>0.48</v>
      </c>
      <c r="Q26" s="9">
        <f t="shared" si="24"/>
        <v>0.42</v>
      </c>
      <c r="R26" s="9">
        <v>1.4999999999999999E-2</v>
      </c>
      <c r="S26" s="9">
        <f t="shared" si="25"/>
        <v>4.0000000000000001E-3</v>
      </c>
      <c r="T26" s="9" t="str">
        <f t="shared" si="26"/>
        <v>1/250</v>
      </c>
      <c r="U26" s="9" t="str">
        <f t="shared" si="27"/>
        <v>U80</v>
      </c>
      <c r="V26" s="9">
        <f t="shared" si="31"/>
        <v>0.27</v>
      </c>
      <c r="W26" s="9">
        <f t="shared" si="32"/>
        <v>0.31</v>
      </c>
      <c r="X26" s="9">
        <f t="shared" si="2"/>
        <v>0.32000000000000006</v>
      </c>
      <c r="Y26" s="9">
        <f t="shared" si="17"/>
        <v>0.8</v>
      </c>
      <c r="Z26" s="9">
        <f t="shared" si="3"/>
        <v>1655.69</v>
      </c>
      <c r="AA26" s="9">
        <f t="shared" si="4"/>
        <v>1654.79</v>
      </c>
      <c r="AB26" s="14">
        <f t="shared" si="5"/>
        <v>1655.21</v>
      </c>
      <c r="AC26" s="9"/>
    </row>
    <row r="27" spans="2:29">
      <c r="B27" t="s">
        <v>49</v>
      </c>
      <c r="C27">
        <v>2200</v>
      </c>
      <c r="D27">
        <v>1655.1610000000001</v>
      </c>
      <c r="E27">
        <f t="shared" si="6"/>
        <v>1655.16</v>
      </c>
      <c r="F27">
        <f t="shared" si="18"/>
        <v>1654.39</v>
      </c>
      <c r="G27">
        <f t="shared" si="7"/>
        <v>0.76999999999998181</v>
      </c>
      <c r="H27">
        <v>4.0000000000000001E-3</v>
      </c>
      <c r="J27" s="9"/>
      <c r="K27" s="10">
        <f t="shared" si="19"/>
        <v>2200</v>
      </c>
      <c r="L27" s="9">
        <f t="shared" si="1"/>
        <v>0.51</v>
      </c>
      <c r="M27" s="9">
        <f t="shared" ref="M27" si="45">M26</f>
        <v>0.39</v>
      </c>
      <c r="N27" s="9">
        <f t="shared" si="21"/>
        <v>1.65</v>
      </c>
      <c r="O27" s="9">
        <f t="shared" si="22"/>
        <v>1.44</v>
      </c>
      <c r="P27" s="9">
        <f t="shared" si="23"/>
        <v>0.48</v>
      </c>
      <c r="Q27" s="9">
        <f t="shared" si="24"/>
        <v>0.42</v>
      </c>
      <c r="R27" s="9">
        <v>1.4999999999999999E-2</v>
      </c>
      <c r="S27" s="9">
        <f t="shared" si="25"/>
        <v>4.0000000000000001E-3</v>
      </c>
      <c r="T27" s="9" t="str">
        <f t="shared" si="26"/>
        <v>1/250</v>
      </c>
      <c r="U27" s="9" t="str">
        <f t="shared" si="27"/>
        <v>U80</v>
      </c>
      <c r="V27" s="9">
        <f t="shared" si="31"/>
        <v>0.27</v>
      </c>
      <c r="W27" s="9">
        <f t="shared" si="32"/>
        <v>0.31</v>
      </c>
      <c r="X27" s="9">
        <f t="shared" si="2"/>
        <v>0.32000000000000006</v>
      </c>
      <c r="Y27" s="9">
        <f t="shared" si="17"/>
        <v>0.8</v>
      </c>
      <c r="Z27" s="9">
        <f t="shared" si="3"/>
        <v>1655.16</v>
      </c>
      <c r="AA27" s="9">
        <f t="shared" si="4"/>
        <v>1654.39</v>
      </c>
      <c r="AB27" s="14">
        <f t="shared" si="5"/>
        <v>1654.8100000000002</v>
      </c>
      <c r="AC27" s="9"/>
    </row>
    <row r="28" spans="2:29">
      <c r="B28" t="s">
        <v>51</v>
      </c>
      <c r="C28">
        <v>2300</v>
      </c>
      <c r="D28">
        <v>1654.847</v>
      </c>
      <c r="E28">
        <f t="shared" si="6"/>
        <v>1654.85</v>
      </c>
      <c r="F28">
        <f t="shared" si="18"/>
        <v>1653.99</v>
      </c>
      <c r="G28">
        <f t="shared" si="7"/>
        <v>0.85999999999989996</v>
      </c>
      <c r="H28">
        <v>4.0000000000000001E-3</v>
      </c>
      <c r="J28" s="9"/>
      <c r="K28" s="10">
        <f t="shared" si="19"/>
        <v>2300</v>
      </c>
      <c r="L28" s="9">
        <f t="shared" si="1"/>
        <v>0.51</v>
      </c>
      <c r="M28" s="9">
        <f t="shared" ref="M28" si="46">M27</f>
        <v>0.39</v>
      </c>
      <c r="N28" s="9">
        <f t="shared" si="21"/>
        <v>1.65</v>
      </c>
      <c r="O28" s="9">
        <f t="shared" si="22"/>
        <v>1.44</v>
      </c>
      <c r="P28" s="9">
        <f t="shared" si="23"/>
        <v>0.48</v>
      </c>
      <c r="Q28" s="9">
        <f t="shared" si="24"/>
        <v>0.42</v>
      </c>
      <c r="R28" s="9">
        <v>1.4999999999999999E-2</v>
      </c>
      <c r="S28" s="9">
        <f t="shared" si="25"/>
        <v>4.0000000000000001E-3</v>
      </c>
      <c r="T28" s="9" t="str">
        <f t="shared" si="26"/>
        <v>1/250</v>
      </c>
      <c r="U28" s="9" t="str">
        <f t="shared" si="27"/>
        <v>U80</v>
      </c>
      <c r="V28" s="9">
        <f t="shared" si="31"/>
        <v>0.27</v>
      </c>
      <c r="W28" s="9">
        <f t="shared" si="32"/>
        <v>0.31</v>
      </c>
      <c r="X28" s="9">
        <f t="shared" si="2"/>
        <v>0.32000000000000006</v>
      </c>
      <c r="Y28" s="9">
        <f t="shared" si="17"/>
        <v>0.8</v>
      </c>
      <c r="Z28" s="9">
        <f t="shared" si="3"/>
        <v>1654.85</v>
      </c>
      <c r="AA28" s="9">
        <f t="shared" si="4"/>
        <v>1653.99</v>
      </c>
      <c r="AB28" s="14">
        <f t="shared" si="5"/>
        <v>1654.41</v>
      </c>
      <c r="AC28" s="9"/>
    </row>
    <row r="29" spans="2:29">
      <c r="B29" t="s">
        <v>57</v>
      </c>
      <c r="C29">
        <v>2400</v>
      </c>
      <c r="D29">
        <v>1654.6189999999999</v>
      </c>
      <c r="E29">
        <f t="shared" si="6"/>
        <v>1654.62</v>
      </c>
      <c r="F29">
        <f t="shared" si="18"/>
        <v>1653.59</v>
      </c>
      <c r="G29">
        <f t="shared" si="7"/>
        <v>1.0299999999999727</v>
      </c>
      <c r="H29">
        <v>4.0000000000000001E-3</v>
      </c>
      <c r="J29" s="12" t="s">
        <v>495</v>
      </c>
      <c r="K29" s="10">
        <f t="shared" si="19"/>
        <v>2400</v>
      </c>
      <c r="L29" s="9">
        <f t="shared" si="1"/>
        <v>0.51</v>
      </c>
      <c r="M29" s="9">
        <f t="shared" ref="M29" si="47">M28</f>
        <v>0.39</v>
      </c>
      <c r="N29" s="9">
        <f t="shared" si="21"/>
        <v>1.65</v>
      </c>
      <c r="O29" s="9">
        <f t="shared" si="22"/>
        <v>1.44</v>
      </c>
      <c r="P29" s="9">
        <f t="shared" si="23"/>
        <v>0.48</v>
      </c>
      <c r="Q29" s="9">
        <f t="shared" si="24"/>
        <v>0.42</v>
      </c>
      <c r="R29" s="9">
        <v>1.4999999999999999E-2</v>
      </c>
      <c r="S29" s="9">
        <f t="shared" si="25"/>
        <v>4.0000000000000001E-3</v>
      </c>
      <c r="T29" s="9" t="str">
        <f t="shared" si="26"/>
        <v>1/250</v>
      </c>
      <c r="U29" s="9" t="str">
        <f t="shared" si="27"/>
        <v>U80</v>
      </c>
      <c r="V29" s="9">
        <f t="shared" si="31"/>
        <v>0.27</v>
      </c>
      <c r="W29" s="9">
        <f t="shared" si="32"/>
        <v>0.31</v>
      </c>
      <c r="X29" s="9">
        <f t="shared" si="2"/>
        <v>0.32000000000000006</v>
      </c>
      <c r="Y29" s="9">
        <f t="shared" si="17"/>
        <v>0.8</v>
      </c>
      <c r="Z29" s="9">
        <f t="shared" si="3"/>
        <v>1654.62</v>
      </c>
      <c r="AA29" s="9">
        <f t="shared" si="4"/>
        <v>1653.59</v>
      </c>
      <c r="AB29" s="14">
        <f t="shared" si="5"/>
        <v>1654.01</v>
      </c>
      <c r="AC29" s="9"/>
    </row>
    <row r="30" spans="2:29">
      <c r="B30" t="s">
        <v>59</v>
      </c>
      <c r="C30">
        <v>2500</v>
      </c>
      <c r="D30">
        <v>1654.2739999999999</v>
      </c>
      <c r="E30">
        <f t="shared" si="6"/>
        <v>1654.27</v>
      </c>
      <c r="F30">
        <f t="shared" si="18"/>
        <v>1653.19</v>
      </c>
      <c r="G30">
        <f t="shared" si="7"/>
        <v>1.0799999999999272</v>
      </c>
      <c r="H30">
        <v>4.0000000000000001E-3</v>
      </c>
      <c r="J30" s="9"/>
      <c r="K30" s="10">
        <f t="shared" si="19"/>
        <v>2500</v>
      </c>
      <c r="L30" s="9">
        <f t="shared" si="1"/>
        <v>0.51</v>
      </c>
      <c r="M30" s="9">
        <f t="shared" ref="M30" si="48">M29</f>
        <v>0.39</v>
      </c>
      <c r="N30" s="9">
        <f t="shared" si="21"/>
        <v>1.65</v>
      </c>
      <c r="O30" s="9">
        <f t="shared" si="22"/>
        <v>1.44</v>
      </c>
      <c r="P30" s="9">
        <f t="shared" si="23"/>
        <v>0.48</v>
      </c>
      <c r="Q30" s="9">
        <f t="shared" si="24"/>
        <v>0.42</v>
      </c>
      <c r="R30" s="9">
        <v>1.4999999999999999E-2</v>
      </c>
      <c r="S30" s="9">
        <f t="shared" si="25"/>
        <v>4.0000000000000001E-3</v>
      </c>
      <c r="T30" s="9" t="str">
        <f t="shared" si="26"/>
        <v>1/250</v>
      </c>
      <c r="U30" s="9" t="str">
        <f t="shared" si="27"/>
        <v>U80</v>
      </c>
      <c r="V30" s="9">
        <f t="shared" si="31"/>
        <v>0.27</v>
      </c>
      <c r="W30" s="9">
        <f t="shared" si="32"/>
        <v>0.31</v>
      </c>
      <c r="X30" s="9">
        <f t="shared" si="2"/>
        <v>0.32000000000000006</v>
      </c>
      <c r="Y30" s="9">
        <f t="shared" si="17"/>
        <v>0.8</v>
      </c>
      <c r="Z30" s="9">
        <f t="shared" si="3"/>
        <v>1654.27</v>
      </c>
      <c r="AA30" s="9">
        <f t="shared" si="4"/>
        <v>1653.19</v>
      </c>
      <c r="AB30" s="14">
        <f t="shared" si="5"/>
        <v>1653.6100000000001</v>
      </c>
      <c r="AC30" s="9"/>
    </row>
    <row r="31" spans="2:29">
      <c r="B31" t="s">
        <v>62</v>
      </c>
      <c r="C31">
        <v>2600</v>
      </c>
      <c r="D31">
        <v>1653.905</v>
      </c>
      <c r="E31">
        <f t="shared" si="6"/>
        <v>1653.91</v>
      </c>
      <c r="F31">
        <f t="shared" si="18"/>
        <v>1652.79</v>
      </c>
      <c r="G31">
        <f>E31-F31</f>
        <v>1.1200000000001182</v>
      </c>
      <c r="H31">
        <v>4.0000000000000001E-3</v>
      </c>
      <c r="J31" s="9"/>
      <c r="K31" s="10">
        <f t="shared" si="19"/>
        <v>2600</v>
      </c>
      <c r="L31" s="9">
        <f t="shared" si="1"/>
        <v>0.51</v>
      </c>
      <c r="M31" s="9">
        <f t="shared" ref="M31" si="49">M30</f>
        <v>0.39</v>
      </c>
      <c r="N31" s="9">
        <f t="shared" si="21"/>
        <v>1.65</v>
      </c>
      <c r="O31" s="9">
        <f t="shared" si="22"/>
        <v>1.44</v>
      </c>
      <c r="P31" s="9">
        <f t="shared" si="23"/>
        <v>0.48</v>
      </c>
      <c r="Q31" s="9">
        <f t="shared" si="24"/>
        <v>0.42</v>
      </c>
      <c r="R31" s="9">
        <v>1.4999999999999999E-2</v>
      </c>
      <c r="S31" s="9">
        <f t="shared" si="25"/>
        <v>4.0000000000000001E-3</v>
      </c>
      <c r="T31" s="9" t="str">
        <f t="shared" si="26"/>
        <v>1/250</v>
      </c>
      <c r="U31" s="9" t="str">
        <f t="shared" si="27"/>
        <v>U80</v>
      </c>
      <c r="V31" s="9">
        <f t="shared" si="31"/>
        <v>0.27</v>
      </c>
      <c r="W31" s="9">
        <f t="shared" si="32"/>
        <v>0.31</v>
      </c>
      <c r="X31" s="9">
        <f t="shared" si="2"/>
        <v>0.32000000000000006</v>
      </c>
      <c r="Y31" s="9">
        <f t="shared" si="17"/>
        <v>0.8</v>
      </c>
      <c r="Z31" s="9">
        <f t="shared" si="3"/>
        <v>1653.91</v>
      </c>
      <c r="AA31" s="9">
        <f t="shared" si="4"/>
        <v>1652.79</v>
      </c>
      <c r="AB31" s="14">
        <f t="shared" si="5"/>
        <v>1653.21</v>
      </c>
      <c r="AC31" s="9"/>
    </row>
    <row r="32" spans="2:29">
      <c r="B32" t="s">
        <v>64</v>
      </c>
      <c r="C32">
        <v>2700</v>
      </c>
      <c r="D32">
        <v>1653.5350000000001</v>
      </c>
      <c r="E32">
        <f t="shared" si="6"/>
        <v>1653.54</v>
      </c>
      <c r="F32">
        <f t="shared" si="18"/>
        <v>1652.39</v>
      </c>
      <c r="G32">
        <f t="shared" si="7"/>
        <v>1.1499999999998636</v>
      </c>
      <c r="H32">
        <v>4.0000000000000001E-3</v>
      </c>
      <c r="J32" s="9"/>
      <c r="K32" s="10">
        <f t="shared" si="19"/>
        <v>2700</v>
      </c>
      <c r="L32" s="9">
        <f t="shared" si="1"/>
        <v>0.51</v>
      </c>
      <c r="M32" s="9">
        <f t="shared" ref="M32" si="50">M31</f>
        <v>0.39</v>
      </c>
      <c r="N32" s="9">
        <f t="shared" si="21"/>
        <v>1.65</v>
      </c>
      <c r="O32" s="9">
        <f t="shared" si="22"/>
        <v>1.44</v>
      </c>
      <c r="P32" s="9">
        <f t="shared" si="23"/>
        <v>0.48</v>
      </c>
      <c r="Q32" s="9">
        <f t="shared" si="24"/>
        <v>0.42</v>
      </c>
      <c r="R32" s="9">
        <v>1.4999999999999999E-2</v>
      </c>
      <c r="S32" s="9">
        <f t="shared" si="25"/>
        <v>4.0000000000000001E-3</v>
      </c>
      <c r="T32" s="9" t="str">
        <f t="shared" si="26"/>
        <v>1/250</v>
      </c>
      <c r="U32" s="9" t="str">
        <f t="shared" si="27"/>
        <v>U80</v>
      </c>
      <c r="V32" s="9">
        <f t="shared" si="31"/>
        <v>0.27</v>
      </c>
      <c r="W32" s="9">
        <f t="shared" si="32"/>
        <v>0.31</v>
      </c>
      <c r="X32" s="9">
        <f t="shared" si="2"/>
        <v>0.32000000000000006</v>
      </c>
      <c r="Y32" s="9">
        <f t="shared" si="17"/>
        <v>0.8</v>
      </c>
      <c r="Z32" s="9">
        <f t="shared" si="3"/>
        <v>1653.54</v>
      </c>
      <c r="AA32" s="9">
        <f t="shared" si="4"/>
        <v>1652.39</v>
      </c>
      <c r="AB32" s="14">
        <f t="shared" si="5"/>
        <v>1652.8100000000002</v>
      </c>
      <c r="AC32" s="9"/>
    </row>
    <row r="33" spans="2:29">
      <c r="B33" t="s">
        <v>66</v>
      </c>
      <c r="C33">
        <v>2800</v>
      </c>
      <c r="D33">
        <v>1653.0940000000001</v>
      </c>
      <c r="E33">
        <f t="shared" si="6"/>
        <v>1653.09</v>
      </c>
      <c r="F33">
        <f t="shared" si="18"/>
        <v>1651.99</v>
      </c>
      <c r="G33">
        <f t="shared" si="7"/>
        <v>1.0999999999999091</v>
      </c>
      <c r="H33">
        <v>4.0000000000000001E-3</v>
      </c>
      <c r="J33" s="9"/>
      <c r="K33" s="10">
        <f t="shared" si="19"/>
        <v>2800</v>
      </c>
      <c r="L33" s="9">
        <f t="shared" si="1"/>
        <v>0.51</v>
      </c>
      <c r="M33" s="9">
        <f t="shared" ref="M33" si="51">M32</f>
        <v>0.39</v>
      </c>
      <c r="N33" s="9">
        <f t="shared" si="21"/>
        <v>1.65</v>
      </c>
      <c r="O33" s="9">
        <f t="shared" si="22"/>
        <v>1.44</v>
      </c>
      <c r="P33" s="9">
        <f t="shared" si="23"/>
        <v>0.48</v>
      </c>
      <c r="Q33" s="9">
        <f t="shared" si="24"/>
        <v>0.42</v>
      </c>
      <c r="R33" s="9">
        <v>1.4999999999999999E-2</v>
      </c>
      <c r="S33" s="9">
        <f t="shared" si="25"/>
        <v>4.0000000000000001E-3</v>
      </c>
      <c r="T33" s="9" t="str">
        <f t="shared" si="26"/>
        <v>1/250</v>
      </c>
      <c r="U33" s="9" t="str">
        <f t="shared" si="27"/>
        <v>U80</v>
      </c>
      <c r="V33" s="9">
        <f t="shared" si="31"/>
        <v>0.27</v>
      </c>
      <c r="W33" s="9">
        <f t="shared" si="32"/>
        <v>0.31</v>
      </c>
      <c r="X33" s="9">
        <f t="shared" si="2"/>
        <v>0.32000000000000006</v>
      </c>
      <c r="Y33" s="9">
        <f t="shared" si="17"/>
        <v>0.8</v>
      </c>
      <c r="Z33" s="9">
        <f t="shared" si="3"/>
        <v>1653.09</v>
      </c>
      <c r="AA33" s="9">
        <f t="shared" si="4"/>
        <v>1651.99</v>
      </c>
      <c r="AB33" s="14">
        <f t="shared" si="5"/>
        <v>1652.41</v>
      </c>
      <c r="AC33" s="9"/>
    </row>
    <row r="34" spans="2:29">
      <c r="B34" t="s">
        <v>71</v>
      </c>
      <c r="C34">
        <v>2900</v>
      </c>
      <c r="D34">
        <v>1652.5920000000001</v>
      </c>
      <c r="E34">
        <f t="shared" si="6"/>
        <v>1652.59</v>
      </c>
      <c r="F34">
        <f t="shared" si="18"/>
        <v>1651.59</v>
      </c>
      <c r="G34">
        <f t="shared" si="7"/>
        <v>1</v>
      </c>
      <c r="H34">
        <v>4.0000000000000001E-3</v>
      </c>
      <c r="J34" s="9"/>
      <c r="K34" s="10">
        <f t="shared" si="19"/>
        <v>2900</v>
      </c>
      <c r="L34" s="9">
        <f t="shared" si="1"/>
        <v>0.51</v>
      </c>
      <c r="M34" s="9">
        <f t="shared" ref="M34" si="52">M33</f>
        <v>0.39</v>
      </c>
      <c r="N34" s="9">
        <f t="shared" si="21"/>
        <v>1.65</v>
      </c>
      <c r="O34" s="9">
        <f t="shared" si="22"/>
        <v>1.44</v>
      </c>
      <c r="P34" s="9">
        <f t="shared" si="23"/>
        <v>0.48</v>
      </c>
      <c r="Q34" s="9">
        <f t="shared" si="24"/>
        <v>0.42</v>
      </c>
      <c r="R34" s="9">
        <v>1.4999999999999999E-2</v>
      </c>
      <c r="S34" s="9">
        <f t="shared" si="25"/>
        <v>4.0000000000000001E-3</v>
      </c>
      <c r="T34" s="9" t="str">
        <f t="shared" si="26"/>
        <v>1/250</v>
      </c>
      <c r="U34" s="9" t="str">
        <f t="shared" si="27"/>
        <v>U80</v>
      </c>
      <c r="V34" s="9">
        <f t="shared" si="31"/>
        <v>0.27</v>
      </c>
      <c r="W34" s="9">
        <f t="shared" si="32"/>
        <v>0.31</v>
      </c>
      <c r="X34" s="9">
        <f t="shared" si="2"/>
        <v>0.32000000000000006</v>
      </c>
      <c r="Y34" s="9">
        <f t="shared" si="17"/>
        <v>0.8</v>
      </c>
      <c r="Z34" s="9">
        <f t="shared" si="3"/>
        <v>1652.59</v>
      </c>
      <c r="AA34" s="9">
        <f t="shared" si="4"/>
        <v>1651.59</v>
      </c>
      <c r="AB34" s="14">
        <f t="shared" si="5"/>
        <v>1652.01</v>
      </c>
      <c r="AC34" s="9"/>
    </row>
    <row r="35" spans="2:29">
      <c r="B35" t="s">
        <v>73</v>
      </c>
      <c r="C35">
        <v>3000</v>
      </c>
      <c r="D35">
        <v>1651.713</v>
      </c>
      <c r="E35">
        <f t="shared" si="6"/>
        <v>1651.71</v>
      </c>
      <c r="F35">
        <f t="shared" si="18"/>
        <v>1651.19</v>
      </c>
      <c r="G35">
        <f t="shared" si="7"/>
        <v>0.51999999999998181</v>
      </c>
      <c r="H35">
        <v>4.0000000000000001E-3</v>
      </c>
      <c r="J35" s="9"/>
      <c r="K35" s="10">
        <f t="shared" si="19"/>
        <v>3000</v>
      </c>
      <c r="L35" s="9">
        <f t="shared" si="1"/>
        <v>0.51</v>
      </c>
      <c r="M35" s="9">
        <f t="shared" ref="M35" si="53">M34</f>
        <v>0.39</v>
      </c>
      <c r="N35" s="9">
        <f t="shared" si="21"/>
        <v>1.65</v>
      </c>
      <c r="O35" s="9">
        <f t="shared" si="22"/>
        <v>1.44</v>
      </c>
      <c r="P35" s="9">
        <f t="shared" si="23"/>
        <v>0.48</v>
      </c>
      <c r="Q35" s="9">
        <f t="shared" si="24"/>
        <v>0.42</v>
      </c>
      <c r="R35" s="9">
        <v>1.4999999999999999E-2</v>
      </c>
      <c r="S35" s="9">
        <f t="shared" si="25"/>
        <v>4.0000000000000001E-3</v>
      </c>
      <c r="T35" s="9" t="str">
        <f t="shared" si="26"/>
        <v>1/250</v>
      </c>
      <c r="U35" s="9" t="str">
        <f t="shared" si="27"/>
        <v>U80</v>
      </c>
      <c r="V35" s="9">
        <f t="shared" si="31"/>
        <v>0.27</v>
      </c>
      <c r="W35" s="9">
        <f t="shared" si="32"/>
        <v>0.31</v>
      </c>
      <c r="X35" s="9">
        <f t="shared" si="2"/>
        <v>0.32000000000000006</v>
      </c>
      <c r="Y35" s="9">
        <f t="shared" si="17"/>
        <v>0.8</v>
      </c>
      <c r="Z35" s="9">
        <f t="shared" si="3"/>
        <v>1651.71</v>
      </c>
      <c r="AA35" s="9">
        <f t="shared" si="4"/>
        <v>1651.19</v>
      </c>
      <c r="AB35" s="14">
        <f t="shared" si="5"/>
        <v>1651.6100000000001</v>
      </c>
      <c r="AC35" s="9"/>
    </row>
    <row r="36" spans="2:29">
      <c r="B36" t="s">
        <v>75</v>
      </c>
      <c r="C36">
        <v>3100</v>
      </c>
      <c r="D36">
        <v>1651.35</v>
      </c>
      <c r="E36">
        <f t="shared" ref="E36:E49" si="54">ROUND(D36,2)</f>
        <v>1651.35</v>
      </c>
      <c r="F36">
        <v>1651.09</v>
      </c>
      <c r="G36">
        <f t="shared" si="7"/>
        <v>0.25999999999999091</v>
      </c>
      <c r="H36">
        <v>4.0000000000000001E-3</v>
      </c>
      <c r="J36" s="9"/>
      <c r="K36" s="10">
        <f t="shared" si="19"/>
        <v>3100</v>
      </c>
      <c r="L36" s="9">
        <f t="shared" si="1"/>
        <v>0.51</v>
      </c>
      <c r="M36" s="9">
        <f t="shared" ref="M36" si="55">M35</f>
        <v>0.39</v>
      </c>
      <c r="N36" s="9">
        <f t="shared" si="21"/>
        <v>1.65</v>
      </c>
      <c r="O36" s="9">
        <f t="shared" si="22"/>
        <v>1.44</v>
      </c>
      <c r="P36" s="9">
        <f t="shared" si="23"/>
        <v>0.48</v>
      </c>
      <c r="Q36" s="9">
        <f t="shared" si="24"/>
        <v>0.42</v>
      </c>
      <c r="R36" s="9">
        <v>1.4999999999999999E-2</v>
      </c>
      <c r="S36" s="9">
        <f t="shared" si="25"/>
        <v>4.0000000000000001E-3</v>
      </c>
      <c r="T36" s="9" t="str">
        <f t="shared" si="26"/>
        <v>1/250</v>
      </c>
      <c r="U36" s="9" t="str">
        <f t="shared" si="27"/>
        <v>U80</v>
      </c>
      <c r="V36" s="9">
        <f t="shared" si="31"/>
        <v>0.27</v>
      </c>
      <c r="W36" s="9">
        <f t="shared" si="32"/>
        <v>0.31</v>
      </c>
      <c r="X36" s="9">
        <f t="shared" si="2"/>
        <v>0.32000000000000006</v>
      </c>
      <c r="Y36" s="9">
        <f t="shared" si="17"/>
        <v>0.8</v>
      </c>
      <c r="Z36" s="9">
        <f t="shared" si="3"/>
        <v>1651.35</v>
      </c>
      <c r="AA36" s="9">
        <f t="shared" si="4"/>
        <v>1651.09</v>
      </c>
      <c r="AB36" s="14">
        <f t="shared" si="5"/>
        <v>1651.51</v>
      </c>
      <c r="AC36" s="9"/>
    </row>
    <row r="37" spans="2:29">
      <c r="B37" t="s">
        <v>78</v>
      </c>
      <c r="C37">
        <v>3200</v>
      </c>
      <c r="D37">
        <v>1650.9549999999999</v>
      </c>
      <c r="E37">
        <f t="shared" si="54"/>
        <v>1650.96</v>
      </c>
      <c r="F37">
        <f t="shared" ref="F37:F49" si="56">ROUND(F36-(C37-C36)*H36,2)</f>
        <v>1650.69</v>
      </c>
      <c r="G37">
        <f t="shared" si="7"/>
        <v>0.26999999999998181</v>
      </c>
      <c r="H37">
        <v>4.0000000000000001E-3</v>
      </c>
      <c r="J37" s="12" t="s">
        <v>496</v>
      </c>
      <c r="K37" s="10">
        <f t="shared" si="19"/>
        <v>3200</v>
      </c>
      <c r="L37" s="9">
        <f t="shared" si="1"/>
        <v>0.51</v>
      </c>
      <c r="M37" s="9">
        <f t="shared" ref="M37" si="57">M36</f>
        <v>0.39</v>
      </c>
      <c r="N37" s="9">
        <f t="shared" si="21"/>
        <v>1.65</v>
      </c>
      <c r="O37" s="9">
        <f t="shared" si="22"/>
        <v>1.44</v>
      </c>
      <c r="P37" s="9">
        <f t="shared" si="23"/>
        <v>0.48</v>
      </c>
      <c r="Q37" s="9">
        <f t="shared" si="24"/>
        <v>0.42</v>
      </c>
      <c r="R37" s="9">
        <v>1.4999999999999999E-2</v>
      </c>
      <c r="S37" s="9">
        <f t="shared" si="25"/>
        <v>4.0000000000000001E-3</v>
      </c>
      <c r="T37" s="9" t="str">
        <f t="shared" si="26"/>
        <v>1/250</v>
      </c>
      <c r="U37" s="9" t="str">
        <f t="shared" si="27"/>
        <v>U80</v>
      </c>
      <c r="V37" s="9">
        <f t="shared" si="31"/>
        <v>0.27</v>
      </c>
      <c r="W37" s="9">
        <f t="shared" si="32"/>
        <v>0.31</v>
      </c>
      <c r="X37" s="9">
        <f t="shared" si="2"/>
        <v>0.32000000000000006</v>
      </c>
      <c r="Y37" s="9">
        <f t="shared" si="17"/>
        <v>0.8</v>
      </c>
      <c r="Z37" s="9">
        <f t="shared" si="3"/>
        <v>1650.96</v>
      </c>
      <c r="AA37" s="9">
        <f t="shared" si="4"/>
        <v>1650.69</v>
      </c>
      <c r="AB37" s="14">
        <f t="shared" si="5"/>
        <v>1651.1100000000001</v>
      </c>
      <c r="AC37" s="9"/>
    </row>
    <row r="38" spans="2:29">
      <c r="B38" t="s">
        <v>80</v>
      </c>
      <c r="C38">
        <v>3300</v>
      </c>
      <c r="D38">
        <v>1650.3240000000001</v>
      </c>
      <c r="E38">
        <f t="shared" si="54"/>
        <v>1650.32</v>
      </c>
      <c r="F38">
        <f t="shared" si="56"/>
        <v>1650.29</v>
      </c>
      <c r="G38">
        <f t="shared" si="7"/>
        <v>2.9999999999972715E-2</v>
      </c>
      <c r="H38">
        <v>4.0000000000000001E-3</v>
      </c>
      <c r="J38" s="9"/>
      <c r="K38" s="10">
        <f t="shared" si="19"/>
        <v>3300</v>
      </c>
      <c r="L38" s="9">
        <f t="shared" si="1"/>
        <v>0.25</v>
      </c>
      <c r="M38" s="9">
        <v>0.19</v>
      </c>
      <c r="N38" s="9">
        <f t="shared" si="21"/>
        <v>1.67</v>
      </c>
      <c r="O38" s="9">
        <f t="shared" si="22"/>
        <v>1.36</v>
      </c>
      <c r="P38" s="9">
        <v>0.31</v>
      </c>
      <c r="Q38" s="9">
        <v>0.3</v>
      </c>
      <c r="R38" s="9">
        <v>1.4999999999999999E-2</v>
      </c>
      <c r="S38" s="9">
        <f t="shared" si="25"/>
        <v>4.0000000000000001E-3</v>
      </c>
      <c r="T38" s="9" t="str">
        <f t="shared" si="26"/>
        <v>1/250</v>
      </c>
      <c r="U38" s="9" t="s">
        <v>503</v>
      </c>
      <c r="V38" s="9">
        <v>0.14000000000000001</v>
      </c>
      <c r="W38" s="9">
        <v>0.15</v>
      </c>
      <c r="X38" s="9">
        <f t="shared" si="2"/>
        <v>0.28999999999999998</v>
      </c>
      <c r="Y38" s="9">
        <v>0.6</v>
      </c>
      <c r="Z38" s="9">
        <f t="shared" si="3"/>
        <v>1650.32</v>
      </c>
      <c r="AA38" s="9">
        <f t="shared" si="4"/>
        <v>1650.29</v>
      </c>
      <c r="AB38" s="14">
        <f t="shared" si="5"/>
        <v>1650.59</v>
      </c>
      <c r="AC38" s="9"/>
    </row>
    <row r="39" spans="2:29">
      <c r="B39" t="s">
        <v>82</v>
      </c>
      <c r="C39">
        <v>3400</v>
      </c>
      <c r="D39">
        <v>1649.873</v>
      </c>
      <c r="E39">
        <f t="shared" si="54"/>
        <v>1649.87</v>
      </c>
      <c r="F39">
        <f t="shared" si="56"/>
        <v>1649.89</v>
      </c>
      <c r="G39">
        <f t="shared" si="7"/>
        <v>-2.0000000000209184E-2</v>
      </c>
      <c r="H39">
        <v>4.0000000000000001E-3</v>
      </c>
      <c r="J39" s="9"/>
      <c r="K39" s="10">
        <f t="shared" si="19"/>
        <v>3400</v>
      </c>
      <c r="L39" s="9">
        <f t="shared" si="1"/>
        <v>0.25</v>
      </c>
      <c r="M39" s="9">
        <f t="shared" ref="M39" si="58">M38</f>
        <v>0.19</v>
      </c>
      <c r="N39" s="9">
        <f t="shared" si="21"/>
        <v>1.67</v>
      </c>
      <c r="O39" s="9">
        <f t="shared" si="22"/>
        <v>1.36</v>
      </c>
      <c r="P39" s="9">
        <f t="shared" si="23"/>
        <v>0.31</v>
      </c>
      <c r="Q39" s="9">
        <f t="shared" si="24"/>
        <v>0.3</v>
      </c>
      <c r="R39" s="9">
        <v>1.4999999999999999E-2</v>
      </c>
      <c r="S39" s="9">
        <f t="shared" si="25"/>
        <v>4.0000000000000001E-3</v>
      </c>
      <c r="T39" s="9" t="str">
        <f t="shared" si="26"/>
        <v>1/250</v>
      </c>
      <c r="U39" s="9" t="str">
        <f t="shared" si="27"/>
        <v>U60</v>
      </c>
      <c r="V39" s="9">
        <f t="shared" si="31"/>
        <v>0.14000000000000001</v>
      </c>
      <c r="W39" s="9">
        <f t="shared" si="32"/>
        <v>0.15</v>
      </c>
      <c r="X39" s="9">
        <f t="shared" si="2"/>
        <v>0.28999999999999998</v>
      </c>
      <c r="Y39" s="9">
        <f t="shared" si="17"/>
        <v>0.6</v>
      </c>
      <c r="Z39" s="9">
        <f t="shared" si="3"/>
        <v>1649.87</v>
      </c>
      <c r="AA39" s="9">
        <f t="shared" si="4"/>
        <v>1649.89</v>
      </c>
      <c r="AB39" s="14">
        <f t="shared" si="5"/>
        <v>1650.19</v>
      </c>
      <c r="AC39" s="9"/>
    </row>
    <row r="40" spans="2:29">
      <c r="B40" t="s">
        <v>86</v>
      </c>
      <c r="C40">
        <v>3500</v>
      </c>
      <c r="D40">
        <v>1649.66</v>
      </c>
      <c r="E40">
        <f t="shared" si="54"/>
        <v>1649.66</v>
      </c>
      <c r="F40">
        <f t="shared" si="56"/>
        <v>1649.49</v>
      </c>
      <c r="G40">
        <f t="shared" si="7"/>
        <v>0.17000000000007276</v>
      </c>
      <c r="H40">
        <v>4.0000000000000001E-3</v>
      </c>
      <c r="J40" s="9"/>
      <c r="K40" s="10">
        <f t="shared" si="19"/>
        <v>3500</v>
      </c>
      <c r="L40" s="9">
        <f t="shared" si="1"/>
        <v>0.25</v>
      </c>
      <c r="M40" s="9">
        <f t="shared" ref="M40" si="59">M39</f>
        <v>0.19</v>
      </c>
      <c r="N40" s="9">
        <f t="shared" si="21"/>
        <v>1.67</v>
      </c>
      <c r="O40" s="9">
        <f t="shared" si="22"/>
        <v>1.36</v>
      </c>
      <c r="P40" s="9">
        <f t="shared" si="23"/>
        <v>0.31</v>
      </c>
      <c r="Q40" s="9">
        <f t="shared" si="24"/>
        <v>0.3</v>
      </c>
      <c r="R40" s="9">
        <v>1.4999999999999999E-2</v>
      </c>
      <c r="S40" s="9">
        <f t="shared" si="25"/>
        <v>4.0000000000000001E-3</v>
      </c>
      <c r="T40" s="9" t="str">
        <f t="shared" si="26"/>
        <v>1/250</v>
      </c>
      <c r="U40" s="9" t="str">
        <f t="shared" si="27"/>
        <v>U60</v>
      </c>
      <c r="V40" s="9">
        <f t="shared" si="31"/>
        <v>0.14000000000000001</v>
      </c>
      <c r="W40" s="9">
        <f t="shared" si="32"/>
        <v>0.15</v>
      </c>
      <c r="X40" s="9">
        <f t="shared" si="2"/>
        <v>0.28999999999999998</v>
      </c>
      <c r="Y40" s="9">
        <f t="shared" si="17"/>
        <v>0.6</v>
      </c>
      <c r="Z40" s="9">
        <f t="shared" si="3"/>
        <v>1649.66</v>
      </c>
      <c r="AA40" s="9">
        <f t="shared" si="4"/>
        <v>1649.49</v>
      </c>
      <c r="AB40" s="14">
        <f t="shared" si="5"/>
        <v>1649.79</v>
      </c>
      <c r="AC40" s="9"/>
    </row>
    <row r="41" spans="2:29">
      <c r="B41" t="s">
        <v>88</v>
      </c>
      <c r="C41">
        <v>3600</v>
      </c>
      <c r="D41">
        <v>1649.3030000000001</v>
      </c>
      <c r="E41">
        <f t="shared" si="54"/>
        <v>1649.3</v>
      </c>
      <c r="F41">
        <f t="shared" si="56"/>
        <v>1649.09</v>
      </c>
      <c r="G41">
        <f t="shared" si="7"/>
        <v>0.21000000000003638</v>
      </c>
      <c r="H41">
        <v>4.0000000000000001E-3</v>
      </c>
      <c r="J41" s="9"/>
      <c r="K41" s="10">
        <f t="shared" si="19"/>
        <v>3600</v>
      </c>
      <c r="L41" s="9">
        <f t="shared" si="1"/>
        <v>0.25</v>
      </c>
      <c r="M41" s="9">
        <f t="shared" ref="M41" si="60">M40</f>
        <v>0.19</v>
      </c>
      <c r="N41" s="9">
        <f t="shared" si="21"/>
        <v>1.32</v>
      </c>
      <c r="O41" s="9">
        <f t="shared" si="22"/>
        <v>1.19</v>
      </c>
      <c r="P41" s="9">
        <f t="shared" si="23"/>
        <v>0.31</v>
      </c>
      <c r="Q41" s="9">
        <f t="shared" si="24"/>
        <v>0.3</v>
      </c>
      <c r="R41" s="9">
        <v>1.4999999999999999E-2</v>
      </c>
      <c r="S41" s="9">
        <f t="shared" si="25"/>
        <v>4.0000000000000001E-3</v>
      </c>
      <c r="T41" s="9" t="str">
        <f t="shared" si="26"/>
        <v>1/250</v>
      </c>
      <c r="U41" s="9" t="str">
        <f t="shared" si="27"/>
        <v>U60</v>
      </c>
      <c r="V41" s="9">
        <v>0.16</v>
      </c>
      <c r="W41" s="9">
        <v>0.19</v>
      </c>
      <c r="X41" s="9">
        <f t="shared" si="2"/>
        <v>0.28999999999999998</v>
      </c>
      <c r="Y41" s="9">
        <f t="shared" si="17"/>
        <v>0.6</v>
      </c>
      <c r="Z41" s="9">
        <f t="shared" si="3"/>
        <v>1649.3</v>
      </c>
      <c r="AA41" s="9">
        <f t="shared" si="4"/>
        <v>1649.09</v>
      </c>
      <c r="AB41" s="14">
        <f t="shared" si="5"/>
        <v>1649.3899999999999</v>
      </c>
      <c r="AC41" s="9"/>
    </row>
    <row r="42" spans="2:29">
      <c r="B42" t="s">
        <v>90</v>
      </c>
      <c r="C42">
        <v>3700</v>
      </c>
      <c r="D42">
        <v>1649.2</v>
      </c>
      <c r="E42">
        <f t="shared" si="54"/>
        <v>1649.2</v>
      </c>
      <c r="F42">
        <f t="shared" si="56"/>
        <v>1648.69</v>
      </c>
      <c r="G42">
        <f t="shared" si="7"/>
        <v>0.50999999999999091</v>
      </c>
      <c r="H42">
        <v>2E-3</v>
      </c>
      <c r="J42" s="9"/>
      <c r="K42" s="10">
        <f t="shared" si="19"/>
        <v>3700</v>
      </c>
      <c r="L42" s="9">
        <f t="shared" si="1"/>
        <v>0.25</v>
      </c>
      <c r="M42" s="9">
        <f t="shared" ref="M42" si="61">M41</f>
        <v>0.19</v>
      </c>
      <c r="N42" s="9">
        <f t="shared" si="21"/>
        <v>1.32</v>
      </c>
      <c r="O42" s="9">
        <f t="shared" si="22"/>
        <v>1.19</v>
      </c>
      <c r="P42" s="9">
        <v>0.39</v>
      </c>
      <c r="Q42" s="9">
        <v>0.33</v>
      </c>
      <c r="R42" s="9">
        <v>1.4999999999999999E-2</v>
      </c>
      <c r="S42" s="9">
        <f t="shared" si="25"/>
        <v>2E-3</v>
      </c>
      <c r="T42" s="9" t="str">
        <f t="shared" si="26"/>
        <v>1/500</v>
      </c>
      <c r="U42" s="9" t="str">
        <f t="shared" si="27"/>
        <v>U60</v>
      </c>
      <c r="V42" s="9">
        <f t="shared" si="31"/>
        <v>0.16</v>
      </c>
      <c r="W42" s="9">
        <f t="shared" si="32"/>
        <v>0.19</v>
      </c>
      <c r="X42" s="9">
        <f t="shared" si="2"/>
        <v>0.20999999999999996</v>
      </c>
      <c r="Y42" s="9">
        <f t="shared" si="17"/>
        <v>0.6</v>
      </c>
      <c r="Z42" s="9">
        <f t="shared" si="3"/>
        <v>1649.2</v>
      </c>
      <c r="AA42" s="9">
        <f t="shared" si="4"/>
        <v>1648.69</v>
      </c>
      <c r="AB42" s="14">
        <f t="shared" si="5"/>
        <v>1649.02</v>
      </c>
      <c r="AC42" s="9"/>
    </row>
    <row r="43" spans="2:29">
      <c r="B43" t="s">
        <v>93</v>
      </c>
      <c r="C43">
        <v>3800</v>
      </c>
      <c r="D43">
        <v>1649.0730000000001</v>
      </c>
      <c r="E43">
        <f t="shared" si="54"/>
        <v>1649.07</v>
      </c>
      <c r="F43">
        <f t="shared" si="56"/>
        <v>1648.49</v>
      </c>
      <c r="G43">
        <f t="shared" si="7"/>
        <v>0.57999999999992724</v>
      </c>
      <c r="H43">
        <v>2E-3</v>
      </c>
      <c r="J43" s="12" t="s">
        <v>497</v>
      </c>
      <c r="K43" s="10">
        <f t="shared" si="19"/>
        <v>3800</v>
      </c>
      <c r="L43" s="9">
        <f t="shared" si="1"/>
        <v>0.25</v>
      </c>
      <c r="M43" s="9">
        <f t="shared" ref="M43" si="62">M42</f>
        <v>0.19</v>
      </c>
      <c r="N43" s="9">
        <f t="shared" si="21"/>
        <v>1.32</v>
      </c>
      <c r="O43" s="9">
        <f t="shared" si="22"/>
        <v>1.19</v>
      </c>
      <c r="P43" s="9">
        <f t="shared" si="23"/>
        <v>0.39</v>
      </c>
      <c r="Q43" s="9">
        <f t="shared" si="24"/>
        <v>0.33</v>
      </c>
      <c r="R43" s="9">
        <v>1.4999999999999999E-2</v>
      </c>
      <c r="S43" s="9">
        <f t="shared" si="25"/>
        <v>2E-3</v>
      </c>
      <c r="T43" s="9" t="str">
        <f t="shared" si="26"/>
        <v>1/500</v>
      </c>
      <c r="U43" s="9" t="str">
        <f t="shared" si="27"/>
        <v>U60</v>
      </c>
      <c r="V43" s="9">
        <f t="shared" si="31"/>
        <v>0.16</v>
      </c>
      <c r="W43" s="9">
        <f t="shared" si="32"/>
        <v>0.19</v>
      </c>
      <c r="X43" s="9">
        <f t="shared" si="2"/>
        <v>0.20999999999999996</v>
      </c>
      <c r="Y43" s="9">
        <f t="shared" si="17"/>
        <v>0.6</v>
      </c>
      <c r="Z43" s="9">
        <f t="shared" si="3"/>
        <v>1649.07</v>
      </c>
      <c r="AA43" s="9">
        <f t="shared" si="4"/>
        <v>1648.49</v>
      </c>
      <c r="AB43" s="14">
        <f t="shared" si="5"/>
        <v>1648.82</v>
      </c>
      <c r="AC43" s="9"/>
    </row>
    <row r="44" spans="2:29">
      <c r="B44" t="s">
        <v>95</v>
      </c>
      <c r="C44">
        <v>3900</v>
      </c>
      <c r="D44">
        <v>1648.675</v>
      </c>
      <c r="E44">
        <f t="shared" si="54"/>
        <v>1648.68</v>
      </c>
      <c r="F44">
        <f t="shared" si="56"/>
        <v>1648.29</v>
      </c>
      <c r="G44">
        <f t="shared" si="7"/>
        <v>0.39000000000010004</v>
      </c>
      <c r="H44">
        <v>2E-3</v>
      </c>
      <c r="J44" s="9"/>
      <c r="K44" s="10">
        <f t="shared" si="19"/>
        <v>3900</v>
      </c>
      <c r="L44" s="9">
        <f t="shared" si="1"/>
        <v>0.25</v>
      </c>
      <c r="M44" s="9">
        <f t="shared" ref="M44" si="63">M43</f>
        <v>0.19</v>
      </c>
      <c r="N44" s="9">
        <f t="shared" si="21"/>
        <v>1.32</v>
      </c>
      <c r="O44" s="9">
        <f t="shared" si="22"/>
        <v>1.19</v>
      </c>
      <c r="P44" s="9">
        <f t="shared" si="23"/>
        <v>0.39</v>
      </c>
      <c r="Q44" s="9">
        <f t="shared" si="24"/>
        <v>0.33</v>
      </c>
      <c r="R44" s="9">
        <v>1.4999999999999999E-2</v>
      </c>
      <c r="S44" s="9">
        <f t="shared" si="25"/>
        <v>2E-3</v>
      </c>
      <c r="T44" s="9" t="str">
        <f t="shared" si="26"/>
        <v>1/500</v>
      </c>
      <c r="U44" s="9" t="str">
        <f t="shared" si="27"/>
        <v>U60</v>
      </c>
      <c r="V44" s="9">
        <f t="shared" si="31"/>
        <v>0.16</v>
      </c>
      <c r="W44" s="9">
        <f t="shared" si="32"/>
        <v>0.19</v>
      </c>
      <c r="X44" s="9">
        <f t="shared" si="2"/>
        <v>0.20999999999999996</v>
      </c>
      <c r="Y44" s="9">
        <f t="shared" si="17"/>
        <v>0.6</v>
      </c>
      <c r="Z44" s="9">
        <f t="shared" si="3"/>
        <v>1648.68</v>
      </c>
      <c r="AA44" s="9">
        <f t="shared" si="4"/>
        <v>1648.29</v>
      </c>
      <c r="AB44" s="14">
        <f t="shared" si="5"/>
        <v>1648.62</v>
      </c>
      <c r="AC44" s="9"/>
    </row>
    <row r="45" spans="2:29">
      <c r="B45" t="s">
        <v>97</v>
      </c>
      <c r="C45">
        <v>4000</v>
      </c>
      <c r="D45">
        <v>1648.8879999999999</v>
      </c>
      <c r="E45">
        <f t="shared" si="54"/>
        <v>1648.89</v>
      </c>
      <c r="F45">
        <f t="shared" si="56"/>
        <v>1648.09</v>
      </c>
      <c r="G45">
        <f t="shared" si="7"/>
        <v>0.8000000000001819</v>
      </c>
      <c r="H45">
        <v>2E-3</v>
      </c>
      <c r="J45" s="9"/>
      <c r="K45" s="10">
        <f t="shared" si="19"/>
        <v>4000</v>
      </c>
      <c r="L45" s="9">
        <f t="shared" si="1"/>
        <v>0.25</v>
      </c>
      <c r="M45" s="9">
        <f t="shared" ref="M45" si="64">M44</f>
        <v>0.19</v>
      </c>
      <c r="N45" s="9">
        <f t="shared" si="21"/>
        <v>1.32</v>
      </c>
      <c r="O45" s="9">
        <f t="shared" si="22"/>
        <v>1.19</v>
      </c>
      <c r="P45" s="9">
        <f t="shared" si="23"/>
        <v>0.39</v>
      </c>
      <c r="Q45" s="9">
        <f t="shared" si="24"/>
        <v>0.33</v>
      </c>
      <c r="R45" s="9">
        <v>1.4999999999999999E-2</v>
      </c>
      <c r="S45" s="9">
        <f t="shared" si="25"/>
        <v>2E-3</v>
      </c>
      <c r="T45" s="9" t="str">
        <f t="shared" si="26"/>
        <v>1/500</v>
      </c>
      <c r="U45" s="9" t="str">
        <f t="shared" si="27"/>
        <v>U60</v>
      </c>
      <c r="V45" s="9">
        <f t="shared" si="31"/>
        <v>0.16</v>
      </c>
      <c r="W45" s="9">
        <f t="shared" si="32"/>
        <v>0.19</v>
      </c>
      <c r="X45" s="9">
        <f t="shared" si="2"/>
        <v>0.20999999999999996</v>
      </c>
      <c r="Y45" s="9">
        <f t="shared" si="17"/>
        <v>0.6</v>
      </c>
      <c r="Z45" s="9">
        <f t="shared" si="3"/>
        <v>1648.89</v>
      </c>
      <c r="AA45" s="9">
        <f t="shared" si="4"/>
        <v>1648.09</v>
      </c>
      <c r="AB45" s="14">
        <f t="shared" si="5"/>
        <v>1648.4199999999998</v>
      </c>
      <c r="AC45" s="9"/>
    </row>
    <row r="46" spans="2:29">
      <c r="B46" t="s">
        <v>100</v>
      </c>
      <c r="C46">
        <v>4100</v>
      </c>
      <c r="D46">
        <v>1648.4680000000001</v>
      </c>
      <c r="E46">
        <f t="shared" si="54"/>
        <v>1648.47</v>
      </c>
      <c r="F46">
        <f t="shared" si="56"/>
        <v>1647.89</v>
      </c>
      <c r="G46">
        <f t="shared" si="7"/>
        <v>0.57999999999992724</v>
      </c>
      <c r="H46">
        <v>2E-3</v>
      </c>
      <c r="J46" s="9"/>
      <c r="K46" s="10">
        <f t="shared" si="19"/>
        <v>4100</v>
      </c>
      <c r="L46" s="9">
        <f t="shared" si="1"/>
        <v>0.25</v>
      </c>
      <c r="M46" s="9">
        <f t="shared" ref="M46" si="65">M45</f>
        <v>0.19</v>
      </c>
      <c r="N46" s="9">
        <f t="shared" si="21"/>
        <v>1.32</v>
      </c>
      <c r="O46" s="9">
        <f t="shared" si="22"/>
        <v>1.19</v>
      </c>
      <c r="P46" s="9">
        <f t="shared" si="23"/>
        <v>0.39</v>
      </c>
      <c r="Q46" s="9">
        <f t="shared" si="24"/>
        <v>0.33</v>
      </c>
      <c r="R46" s="9">
        <v>1.4999999999999999E-2</v>
      </c>
      <c r="S46" s="9">
        <f t="shared" si="25"/>
        <v>2E-3</v>
      </c>
      <c r="T46" s="9" t="str">
        <f t="shared" si="26"/>
        <v>1/500</v>
      </c>
      <c r="U46" s="9" t="str">
        <f t="shared" si="27"/>
        <v>U60</v>
      </c>
      <c r="V46" s="9">
        <f t="shared" si="31"/>
        <v>0.16</v>
      </c>
      <c r="W46" s="9">
        <f t="shared" si="32"/>
        <v>0.19</v>
      </c>
      <c r="X46" s="9">
        <f t="shared" si="2"/>
        <v>0.20999999999999996</v>
      </c>
      <c r="Y46" s="9">
        <f t="shared" si="17"/>
        <v>0.6</v>
      </c>
      <c r="Z46" s="9">
        <f t="shared" si="3"/>
        <v>1648.47</v>
      </c>
      <c r="AA46" s="9">
        <f t="shared" si="4"/>
        <v>1647.89</v>
      </c>
      <c r="AB46" s="14">
        <f t="shared" si="5"/>
        <v>1648.22</v>
      </c>
      <c r="AC46" s="9"/>
    </row>
    <row r="47" spans="2:29">
      <c r="B47" t="s">
        <v>102</v>
      </c>
      <c r="C47">
        <v>4200</v>
      </c>
      <c r="D47">
        <v>1648.223</v>
      </c>
      <c r="E47">
        <f t="shared" si="54"/>
        <v>1648.22</v>
      </c>
      <c r="F47">
        <f t="shared" si="56"/>
        <v>1647.69</v>
      </c>
      <c r="G47">
        <f t="shared" si="7"/>
        <v>0.52999999999997272</v>
      </c>
      <c r="H47">
        <v>2E-3</v>
      </c>
      <c r="J47" s="9"/>
      <c r="K47" s="10">
        <f t="shared" si="19"/>
        <v>4200</v>
      </c>
      <c r="L47" s="9">
        <f t="shared" si="1"/>
        <v>0.25</v>
      </c>
      <c r="M47" s="9">
        <f t="shared" ref="M47" si="66">M46</f>
        <v>0.19</v>
      </c>
      <c r="N47" s="9">
        <f t="shared" si="21"/>
        <v>1.32</v>
      </c>
      <c r="O47" s="9">
        <f t="shared" si="22"/>
        <v>1.19</v>
      </c>
      <c r="P47" s="9">
        <f t="shared" si="23"/>
        <v>0.39</v>
      </c>
      <c r="Q47" s="9">
        <f t="shared" si="24"/>
        <v>0.33</v>
      </c>
      <c r="R47" s="9">
        <v>1.4999999999999999E-2</v>
      </c>
      <c r="S47" s="9">
        <f t="shared" si="25"/>
        <v>2E-3</v>
      </c>
      <c r="T47" s="9" t="str">
        <f t="shared" si="26"/>
        <v>1/500</v>
      </c>
      <c r="U47" s="9" t="str">
        <f t="shared" si="27"/>
        <v>U60</v>
      </c>
      <c r="V47" s="9">
        <f t="shared" si="31"/>
        <v>0.16</v>
      </c>
      <c r="W47" s="9">
        <f t="shared" si="32"/>
        <v>0.19</v>
      </c>
      <c r="X47" s="9">
        <f t="shared" si="2"/>
        <v>0.20999999999999996</v>
      </c>
      <c r="Y47" s="9">
        <f t="shared" si="17"/>
        <v>0.6</v>
      </c>
      <c r="Z47" s="9">
        <f t="shared" si="3"/>
        <v>1648.22</v>
      </c>
      <c r="AA47" s="9">
        <f t="shared" si="4"/>
        <v>1647.69</v>
      </c>
      <c r="AB47" s="14">
        <f t="shared" si="5"/>
        <v>1648.02</v>
      </c>
      <c r="AC47" s="9"/>
    </row>
    <row r="48" spans="2:29">
      <c r="B48" t="s">
        <v>104</v>
      </c>
      <c r="C48">
        <v>4300</v>
      </c>
      <c r="D48">
        <v>1647.7329999999999</v>
      </c>
      <c r="E48">
        <f t="shared" si="54"/>
        <v>1647.73</v>
      </c>
      <c r="F48">
        <f t="shared" si="56"/>
        <v>1647.49</v>
      </c>
      <c r="G48">
        <f t="shared" si="7"/>
        <v>0.24000000000000909</v>
      </c>
      <c r="H48">
        <v>2E-3</v>
      </c>
      <c r="J48" s="9"/>
      <c r="K48" s="10">
        <f t="shared" ref="K48:K49" si="67">C48</f>
        <v>4300</v>
      </c>
      <c r="L48" s="9">
        <f t="shared" si="1"/>
        <v>0.25</v>
      </c>
      <c r="M48" s="9">
        <f t="shared" ref="M48" si="68">M47</f>
        <v>0.19</v>
      </c>
      <c r="N48" s="9">
        <f t="shared" ref="N48:N49" si="69">ROUND(L48/W48,2)</f>
        <v>1.32</v>
      </c>
      <c r="O48" s="9">
        <f t="shared" ref="O48:O49" si="70">ROUND(M48/V48,2)</f>
        <v>1.19</v>
      </c>
      <c r="P48" s="9">
        <f t="shared" ref="P48:P54" si="71">P47</f>
        <v>0.39</v>
      </c>
      <c r="Q48" s="9">
        <f t="shared" ref="Q48:Q54" si="72">Q47</f>
        <v>0.33</v>
      </c>
      <c r="R48" s="9">
        <v>1.4999999999999999E-2</v>
      </c>
      <c r="S48" s="9">
        <f t="shared" ref="S48:S49" si="73">H48</f>
        <v>2E-3</v>
      </c>
      <c r="T48" s="9" t="str">
        <f t="shared" ref="T48:T49" si="74">"1/"&amp;ROUND(1/S48,0)</f>
        <v>1/500</v>
      </c>
      <c r="U48" s="9" t="str">
        <f t="shared" ref="U48:U54" si="75">U47</f>
        <v>U60</v>
      </c>
      <c r="V48" s="9">
        <f t="shared" si="31"/>
        <v>0.16</v>
      </c>
      <c r="W48" s="9">
        <f t="shared" si="32"/>
        <v>0.19</v>
      </c>
      <c r="X48" s="9">
        <f t="shared" si="2"/>
        <v>0.20999999999999996</v>
      </c>
      <c r="Y48" s="9">
        <f t="shared" si="17"/>
        <v>0.6</v>
      </c>
      <c r="Z48" s="9">
        <f t="shared" si="3"/>
        <v>1647.73</v>
      </c>
      <c r="AA48" s="9">
        <f t="shared" si="4"/>
        <v>1647.49</v>
      </c>
      <c r="AB48" s="14">
        <f t="shared" si="5"/>
        <v>1647.82</v>
      </c>
      <c r="AC48" s="9"/>
    </row>
    <row r="49" spans="2:29">
      <c r="B49" t="s">
        <v>107</v>
      </c>
      <c r="C49">
        <v>4400</v>
      </c>
      <c r="D49">
        <v>1647.558</v>
      </c>
      <c r="E49">
        <f t="shared" si="54"/>
        <v>1647.56</v>
      </c>
      <c r="F49">
        <f t="shared" si="56"/>
        <v>1647.29</v>
      </c>
      <c r="G49">
        <f t="shared" si="7"/>
        <v>0.26999999999998181</v>
      </c>
      <c r="H49">
        <v>2E-3</v>
      </c>
      <c r="J49" s="12" t="s">
        <v>498</v>
      </c>
      <c r="K49" s="10">
        <f t="shared" si="67"/>
        <v>4400</v>
      </c>
      <c r="L49" s="9">
        <f t="shared" si="1"/>
        <v>0.25</v>
      </c>
      <c r="M49" s="9">
        <f t="shared" ref="M49:M54" si="76">M48</f>
        <v>0.19</v>
      </c>
      <c r="N49" s="9">
        <f t="shared" si="69"/>
        <v>1.32</v>
      </c>
      <c r="O49" s="9">
        <f t="shared" si="70"/>
        <v>1.19</v>
      </c>
      <c r="P49" s="9">
        <f t="shared" si="71"/>
        <v>0.39</v>
      </c>
      <c r="Q49" s="9">
        <f t="shared" si="72"/>
        <v>0.33</v>
      </c>
      <c r="R49" s="9">
        <v>1.4999999999999999E-2</v>
      </c>
      <c r="S49" s="9">
        <f t="shared" si="73"/>
        <v>2E-3</v>
      </c>
      <c r="T49" s="9" t="str">
        <f t="shared" si="74"/>
        <v>1/500</v>
      </c>
      <c r="U49" s="9" t="str">
        <f t="shared" si="75"/>
        <v>U60</v>
      </c>
      <c r="V49" s="9">
        <f t="shared" si="31"/>
        <v>0.16</v>
      </c>
      <c r="W49" s="9">
        <f t="shared" si="32"/>
        <v>0.19</v>
      </c>
      <c r="X49" s="9">
        <f t="shared" si="2"/>
        <v>0.20999999999999996</v>
      </c>
      <c r="Y49" s="9">
        <f t="shared" si="17"/>
        <v>0.6</v>
      </c>
      <c r="Z49" s="9">
        <f t="shared" si="3"/>
        <v>1647.56</v>
      </c>
      <c r="AA49" s="9">
        <f t="shared" si="4"/>
        <v>1647.29</v>
      </c>
      <c r="AB49" s="14">
        <f t="shared" si="5"/>
        <v>1647.62</v>
      </c>
      <c r="AC49" s="9"/>
    </row>
    <row r="50" spans="2:29">
      <c r="B50" s="10">
        <v>4500</v>
      </c>
      <c r="C50" s="10">
        <v>4500</v>
      </c>
      <c r="E50">
        <v>1647.82</v>
      </c>
      <c r="F50">
        <f t="shared" ref="F50:F54" si="77">ROUND(F49-(C50-C49)*H49,2)</f>
        <v>1647.09</v>
      </c>
      <c r="G50" s="4">
        <f t="shared" si="7"/>
        <v>0.73000000000001819</v>
      </c>
      <c r="H50" s="4">
        <v>2E-3</v>
      </c>
      <c r="K50" s="31">
        <f t="shared" ref="K50:K54" si="78">C50</f>
        <v>4500</v>
      </c>
      <c r="L50" s="32">
        <f t="shared" ref="L50:L54" si="79">ROUND(M50*1.3,2)</f>
        <v>0.25</v>
      </c>
      <c r="M50" s="32">
        <f t="shared" si="76"/>
        <v>0.19</v>
      </c>
      <c r="N50" s="32">
        <f t="shared" ref="N50:N54" si="80">ROUND(L50/W50,2)</f>
        <v>1.32</v>
      </c>
      <c r="O50" s="32">
        <f t="shared" ref="O50:O54" si="81">ROUND(M50/V50,2)</f>
        <v>1.19</v>
      </c>
      <c r="P50" s="32">
        <f t="shared" si="71"/>
        <v>0.39</v>
      </c>
      <c r="Q50" s="32">
        <f t="shared" si="72"/>
        <v>0.33</v>
      </c>
      <c r="R50" s="32">
        <v>1.0149999999999999</v>
      </c>
      <c r="S50" s="32">
        <f t="shared" ref="S50:S54" si="82">H50</f>
        <v>2E-3</v>
      </c>
      <c r="T50" s="32" t="str">
        <f t="shared" ref="T50:T54" si="83">"1/"&amp;ROUND(1/S50,0)</f>
        <v>1/500</v>
      </c>
      <c r="U50" s="32" t="str">
        <f t="shared" si="75"/>
        <v>U60</v>
      </c>
      <c r="V50" s="32">
        <f t="shared" si="31"/>
        <v>0.16</v>
      </c>
      <c r="W50" s="32">
        <f t="shared" si="32"/>
        <v>0.19</v>
      </c>
      <c r="X50" s="32">
        <f t="shared" ref="X50:X54" si="84">Y50-P50</f>
        <v>0.20999999999999996</v>
      </c>
      <c r="Y50" s="32">
        <f t="shared" si="17"/>
        <v>0.6</v>
      </c>
      <c r="Z50" s="32">
        <f t="shared" ref="Z50:Z54" si="85">E50</f>
        <v>1647.82</v>
      </c>
      <c r="AA50" s="32">
        <f t="shared" ref="AA50:AA54" si="86">F50</f>
        <v>1647.09</v>
      </c>
      <c r="AB50" s="33">
        <f t="shared" ref="AB50:AB54" si="87">AA50+Q50</f>
        <v>1647.4199999999998</v>
      </c>
      <c r="AC50" s="16"/>
    </row>
    <row r="51" spans="2:29">
      <c r="B51" s="10">
        <v>4600</v>
      </c>
      <c r="C51" s="10">
        <v>4600</v>
      </c>
      <c r="E51">
        <v>1647.06</v>
      </c>
      <c r="F51">
        <f t="shared" si="77"/>
        <v>1646.89</v>
      </c>
      <c r="G51" s="4">
        <f t="shared" si="7"/>
        <v>0.16999999999984539</v>
      </c>
      <c r="H51" s="4">
        <v>2E-3</v>
      </c>
      <c r="J51">
        <f>0.16/0.185*0.217</f>
        <v>0.1876756756756757</v>
      </c>
      <c r="K51" s="31">
        <f t="shared" si="78"/>
        <v>4600</v>
      </c>
      <c r="L51" s="32">
        <f t="shared" si="79"/>
        <v>0.25</v>
      </c>
      <c r="M51" s="32">
        <f t="shared" si="76"/>
        <v>0.19</v>
      </c>
      <c r="N51" s="32">
        <f t="shared" si="80"/>
        <v>1.32</v>
      </c>
      <c r="O51" s="32">
        <f t="shared" si="81"/>
        <v>1.19</v>
      </c>
      <c r="P51" s="32">
        <f t="shared" si="71"/>
        <v>0.39</v>
      </c>
      <c r="Q51" s="32">
        <f t="shared" si="72"/>
        <v>0.33</v>
      </c>
      <c r="R51" s="32">
        <v>2.0150000000000001</v>
      </c>
      <c r="S51" s="32">
        <f t="shared" si="82"/>
        <v>2E-3</v>
      </c>
      <c r="T51" s="32" t="str">
        <f t="shared" si="83"/>
        <v>1/500</v>
      </c>
      <c r="U51" s="32" t="str">
        <f t="shared" si="75"/>
        <v>U60</v>
      </c>
      <c r="V51" s="32">
        <f t="shared" si="31"/>
        <v>0.16</v>
      </c>
      <c r="W51" s="32">
        <f t="shared" si="32"/>
        <v>0.19</v>
      </c>
      <c r="X51" s="32">
        <f t="shared" si="84"/>
        <v>0.20999999999999996</v>
      </c>
      <c r="Y51" s="32">
        <f t="shared" si="17"/>
        <v>0.6</v>
      </c>
      <c r="Z51" s="32">
        <f t="shared" si="85"/>
        <v>1647.06</v>
      </c>
      <c r="AA51" s="32">
        <f t="shared" si="86"/>
        <v>1646.89</v>
      </c>
      <c r="AB51" s="33">
        <f t="shared" si="87"/>
        <v>1647.22</v>
      </c>
      <c r="AC51" s="16"/>
    </row>
    <row r="52" spans="2:29">
      <c r="B52" s="10">
        <v>4700</v>
      </c>
      <c r="C52" s="10">
        <v>4700</v>
      </c>
      <c r="E52">
        <v>1646.8</v>
      </c>
      <c r="F52">
        <f t="shared" si="77"/>
        <v>1646.69</v>
      </c>
      <c r="G52" s="4">
        <f t="shared" si="7"/>
        <v>0.10999999999989996</v>
      </c>
      <c r="H52" s="4">
        <v>2E-3</v>
      </c>
      <c r="K52" s="31">
        <f t="shared" si="78"/>
        <v>4700</v>
      </c>
      <c r="L52" s="32">
        <f t="shared" si="79"/>
        <v>0.25</v>
      </c>
      <c r="M52" s="32">
        <f t="shared" si="76"/>
        <v>0.19</v>
      </c>
      <c r="N52" s="32">
        <f t="shared" si="80"/>
        <v>1.32</v>
      </c>
      <c r="O52" s="32">
        <f t="shared" si="81"/>
        <v>1.19</v>
      </c>
      <c r="P52" s="32">
        <f t="shared" si="71"/>
        <v>0.39</v>
      </c>
      <c r="Q52" s="32">
        <f t="shared" si="72"/>
        <v>0.33</v>
      </c>
      <c r="R52" s="32">
        <v>3.0150000000000001</v>
      </c>
      <c r="S52" s="32">
        <f t="shared" si="82"/>
        <v>2E-3</v>
      </c>
      <c r="T52" s="32" t="str">
        <f t="shared" si="83"/>
        <v>1/500</v>
      </c>
      <c r="U52" s="32" t="str">
        <f t="shared" si="75"/>
        <v>U60</v>
      </c>
      <c r="V52" s="32">
        <f t="shared" si="31"/>
        <v>0.16</v>
      </c>
      <c r="W52" s="32">
        <f t="shared" si="32"/>
        <v>0.19</v>
      </c>
      <c r="X52" s="32">
        <f t="shared" si="84"/>
        <v>0.20999999999999996</v>
      </c>
      <c r="Y52" s="32">
        <f t="shared" si="17"/>
        <v>0.6</v>
      </c>
      <c r="Z52" s="32">
        <f t="shared" si="85"/>
        <v>1646.8</v>
      </c>
      <c r="AA52" s="32">
        <f t="shared" si="86"/>
        <v>1646.69</v>
      </c>
      <c r="AB52" s="33">
        <f t="shared" si="87"/>
        <v>1647.02</v>
      </c>
      <c r="AC52" s="16"/>
    </row>
    <row r="53" spans="2:29">
      <c r="B53" s="10">
        <v>4800</v>
      </c>
      <c r="C53" s="10">
        <v>4800</v>
      </c>
      <c r="E53">
        <v>1646.74</v>
      </c>
      <c r="F53">
        <f t="shared" si="77"/>
        <v>1646.49</v>
      </c>
      <c r="G53" s="4">
        <f t="shared" si="7"/>
        <v>0.25</v>
      </c>
      <c r="H53" s="4">
        <v>2E-3</v>
      </c>
      <c r="K53" s="31">
        <f t="shared" si="78"/>
        <v>4800</v>
      </c>
      <c r="L53" s="32">
        <f t="shared" si="79"/>
        <v>0.25</v>
      </c>
      <c r="M53" s="32">
        <f t="shared" si="76"/>
        <v>0.19</v>
      </c>
      <c r="N53" s="32">
        <f t="shared" si="80"/>
        <v>1.32</v>
      </c>
      <c r="O53" s="32">
        <f t="shared" si="81"/>
        <v>1.19</v>
      </c>
      <c r="P53" s="32">
        <f t="shared" si="71"/>
        <v>0.39</v>
      </c>
      <c r="Q53" s="32">
        <f t="shared" si="72"/>
        <v>0.33</v>
      </c>
      <c r="R53" s="32">
        <v>4.0149999999999997</v>
      </c>
      <c r="S53" s="32">
        <f t="shared" si="82"/>
        <v>2E-3</v>
      </c>
      <c r="T53" s="32" t="str">
        <f t="shared" si="83"/>
        <v>1/500</v>
      </c>
      <c r="U53" s="32" t="str">
        <f t="shared" si="75"/>
        <v>U60</v>
      </c>
      <c r="V53" s="32">
        <f t="shared" si="31"/>
        <v>0.16</v>
      </c>
      <c r="W53" s="32">
        <f t="shared" si="32"/>
        <v>0.19</v>
      </c>
      <c r="X53" s="32">
        <f t="shared" si="84"/>
        <v>0.20999999999999996</v>
      </c>
      <c r="Y53" s="32">
        <f t="shared" si="17"/>
        <v>0.6</v>
      </c>
      <c r="Z53" s="32">
        <f t="shared" si="85"/>
        <v>1646.74</v>
      </c>
      <c r="AA53" s="32">
        <f t="shared" si="86"/>
        <v>1646.49</v>
      </c>
      <c r="AB53" s="33">
        <f t="shared" si="87"/>
        <v>1646.82</v>
      </c>
      <c r="AC53" s="16"/>
    </row>
    <row r="54" spans="2:29">
      <c r="B54" s="10">
        <v>4900</v>
      </c>
      <c r="C54" s="10">
        <v>4900</v>
      </c>
      <c r="E54">
        <v>1646.42</v>
      </c>
      <c r="F54">
        <f t="shared" si="77"/>
        <v>1646.29</v>
      </c>
      <c r="G54" s="4">
        <f t="shared" si="7"/>
        <v>0.13000000000010914</v>
      </c>
      <c r="H54" s="4">
        <v>2E-3</v>
      </c>
      <c r="K54" s="31">
        <f t="shared" si="78"/>
        <v>4900</v>
      </c>
      <c r="L54" s="32">
        <f t="shared" si="79"/>
        <v>0.25</v>
      </c>
      <c r="M54" s="32">
        <f t="shared" si="76"/>
        <v>0.19</v>
      </c>
      <c r="N54" s="32">
        <f t="shared" si="80"/>
        <v>1.32</v>
      </c>
      <c r="O54" s="32">
        <f t="shared" si="81"/>
        <v>1.19</v>
      </c>
      <c r="P54" s="32">
        <f t="shared" si="71"/>
        <v>0.39</v>
      </c>
      <c r="Q54" s="32">
        <f t="shared" si="72"/>
        <v>0.33</v>
      </c>
      <c r="R54" s="32">
        <v>5.0149999999999997</v>
      </c>
      <c r="S54" s="32">
        <f t="shared" si="82"/>
        <v>2E-3</v>
      </c>
      <c r="T54" s="32" t="str">
        <f t="shared" si="83"/>
        <v>1/500</v>
      </c>
      <c r="U54" s="32" t="str">
        <f t="shared" si="75"/>
        <v>U60</v>
      </c>
      <c r="V54" s="32">
        <f t="shared" si="31"/>
        <v>0.16</v>
      </c>
      <c r="W54" s="32">
        <f t="shared" si="32"/>
        <v>0.19</v>
      </c>
      <c r="X54" s="32">
        <f t="shared" si="84"/>
        <v>0.20999999999999996</v>
      </c>
      <c r="Y54" s="32">
        <f t="shared" si="17"/>
        <v>0.6</v>
      </c>
      <c r="Z54" s="32">
        <f t="shared" si="85"/>
        <v>1646.42</v>
      </c>
      <c r="AA54" s="32">
        <f t="shared" si="86"/>
        <v>1646.29</v>
      </c>
      <c r="AB54" s="33">
        <f t="shared" si="87"/>
        <v>1646.62</v>
      </c>
      <c r="AC54" s="16"/>
    </row>
    <row r="55" spans="2:29">
      <c r="K55" s="21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22"/>
      <c r="AC55" s="16"/>
    </row>
    <row r="56" spans="2:29">
      <c r="K56" s="21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22"/>
      <c r="AC56" s="16"/>
    </row>
    <row r="57" spans="2:29">
      <c r="K57" s="43" t="s">
        <v>336</v>
      </c>
      <c r="L57" s="43" t="s">
        <v>337</v>
      </c>
      <c r="M57" s="43"/>
      <c r="N57" s="43" t="s">
        <v>338</v>
      </c>
      <c r="O57" s="43"/>
      <c r="P57" s="43" t="s">
        <v>339</v>
      </c>
      <c r="Q57" s="43"/>
      <c r="R57" s="9" t="s">
        <v>340</v>
      </c>
      <c r="S57" s="9" t="s">
        <v>289</v>
      </c>
      <c r="T57" s="9" t="s">
        <v>863</v>
      </c>
      <c r="U57" s="43" t="s">
        <v>786</v>
      </c>
      <c r="V57" s="43"/>
      <c r="W57" s="43" t="s">
        <v>793</v>
      </c>
      <c r="X57" s="43"/>
      <c r="Y57" s="43" t="s">
        <v>794</v>
      </c>
      <c r="Z57" s="43"/>
      <c r="AA57" s="9" t="s">
        <v>789</v>
      </c>
      <c r="AB57" s="9" t="s">
        <v>790</v>
      </c>
      <c r="AC57" s="16"/>
    </row>
    <row r="58" spans="2:29" ht="15.6">
      <c r="K58" s="43"/>
      <c r="L58" s="9" t="s">
        <v>349</v>
      </c>
      <c r="M58" s="9" t="s">
        <v>348</v>
      </c>
      <c r="N58" s="9" t="s">
        <v>351</v>
      </c>
      <c r="O58" s="9" t="s">
        <v>352</v>
      </c>
      <c r="P58" s="9" t="s">
        <v>353</v>
      </c>
      <c r="Q58" s="9" t="s">
        <v>354</v>
      </c>
      <c r="R58" s="9" t="s">
        <v>309</v>
      </c>
      <c r="S58" s="9" t="s">
        <v>308</v>
      </c>
      <c r="T58" s="9" t="s">
        <v>864</v>
      </c>
      <c r="U58" s="9" t="s">
        <v>787</v>
      </c>
      <c r="V58" s="9" t="s">
        <v>788</v>
      </c>
      <c r="W58" s="9" t="s">
        <v>798</v>
      </c>
      <c r="X58" s="9" t="s">
        <v>799</v>
      </c>
      <c r="Y58" s="9" t="s">
        <v>800</v>
      </c>
      <c r="Z58" s="9" t="s">
        <v>801</v>
      </c>
      <c r="AA58" s="9" t="s">
        <v>792</v>
      </c>
      <c r="AB58" s="9" t="s">
        <v>791</v>
      </c>
      <c r="AC58" s="16"/>
    </row>
    <row r="59" spans="2:29" ht="16.2">
      <c r="K59" s="9" t="s">
        <v>356</v>
      </c>
      <c r="L59" s="9" t="s">
        <v>358</v>
      </c>
      <c r="M59" s="9" t="s">
        <v>358</v>
      </c>
      <c r="N59" s="9" t="s">
        <v>357</v>
      </c>
      <c r="O59" s="9" t="s">
        <v>357</v>
      </c>
      <c r="P59" s="9" t="s">
        <v>307</v>
      </c>
      <c r="Q59" s="9" t="s">
        <v>307</v>
      </c>
      <c r="R59" s="9"/>
      <c r="S59" s="9"/>
      <c r="T59" s="9" t="s">
        <v>795</v>
      </c>
      <c r="U59" s="9" t="s">
        <v>796</v>
      </c>
      <c r="V59" s="9" t="s">
        <v>796</v>
      </c>
      <c r="W59" s="9" t="s">
        <v>797</v>
      </c>
      <c r="X59" s="9"/>
      <c r="Y59" s="9" t="s">
        <v>797</v>
      </c>
      <c r="Z59" s="9"/>
      <c r="AA59" s="9" t="s">
        <v>797</v>
      </c>
      <c r="AB59" s="9" t="s">
        <v>797</v>
      </c>
      <c r="AC59" s="16"/>
    </row>
    <row r="60" spans="2:29">
      <c r="K60" s="10">
        <f>K5</f>
        <v>10</v>
      </c>
      <c r="L60" s="9">
        <f>L5</f>
        <v>0.51</v>
      </c>
      <c r="M60" s="9">
        <f t="shared" ref="M60:R60" si="88">M5</f>
        <v>0.39</v>
      </c>
      <c r="N60" s="9">
        <f t="shared" si="88"/>
        <v>1.82</v>
      </c>
      <c r="O60" s="9">
        <f t="shared" si="88"/>
        <v>1.56</v>
      </c>
      <c r="P60" s="9">
        <f t="shared" si="88"/>
        <v>0.43</v>
      </c>
      <c r="Q60" s="9">
        <f t="shared" si="88"/>
        <v>0.4</v>
      </c>
      <c r="R60" s="9">
        <f t="shared" si="88"/>
        <v>1.4999999999999999E-2</v>
      </c>
      <c r="S60" s="9" t="str">
        <f>T5</f>
        <v>1/167</v>
      </c>
      <c r="T60" s="9" t="str">
        <f t="shared" ref="T60" si="89">U5</f>
        <v>U80</v>
      </c>
      <c r="U60" s="9">
        <f>W5</f>
        <v>0.28000000000000003</v>
      </c>
      <c r="V60" s="9">
        <f>V5</f>
        <v>0.25</v>
      </c>
      <c r="W60" s="9">
        <v>1.28</v>
      </c>
      <c r="X60" s="9">
        <v>1.2589999999999999</v>
      </c>
      <c r="Y60" s="13">
        <f>U60/W60</f>
        <v>0.21875000000000003</v>
      </c>
      <c r="Z60" s="13">
        <f>V60/X60</f>
        <v>0.19857029388403497</v>
      </c>
      <c r="AA60" s="9">
        <f>X5</f>
        <v>0.37000000000000005</v>
      </c>
      <c r="AB60" s="14">
        <f>Y5</f>
        <v>0.8</v>
      </c>
      <c r="AC60" s="16"/>
    </row>
    <row r="61" spans="2:29">
      <c r="K61" s="10">
        <f t="shared" ref="K61:R61" si="90">K7</f>
        <v>200</v>
      </c>
      <c r="L61" s="9">
        <f t="shared" si="90"/>
        <v>0.51</v>
      </c>
      <c r="M61" s="9">
        <f t="shared" si="90"/>
        <v>0.39</v>
      </c>
      <c r="N61" s="9">
        <f t="shared" si="90"/>
        <v>1.82</v>
      </c>
      <c r="O61" s="9">
        <f t="shared" si="90"/>
        <v>1.56</v>
      </c>
      <c r="P61" s="9">
        <f t="shared" si="90"/>
        <v>0.43</v>
      </c>
      <c r="Q61" s="9">
        <f t="shared" si="90"/>
        <v>0.4</v>
      </c>
      <c r="R61" s="9">
        <f t="shared" si="90"/>
        <v>1.4999999999999999E-2</v>
      </c>
      <c r="S61" s="9" t="str">
        <f t="shared" ref="S61:T61" si="91">T7</f>
        <v>1/167</v>
      </c>
      <c r="T61" s="9" t="str">
        <f t="shared" si="91"/>
        <v>U80</v>
      </c>
      <c r="U61" s="9">
        <f>W7</f>
        <v>0.28000000000000003</v>
      </c>
      <c r="V61" s="9">
        <f>V7</f>
        <v>0.25</v>
      </c>
      <c r="W61" s="9">
        <v>1.28</v>
      </c>
      <c r="X61" s="9">
        <v>1.2589999999999999</v>
      </c>
      <c r="Y61" s="13">
        <f t="shared" ref="Y61:Y87" si="92">U61/W61</f>
        <v>0.21875000000000003</v>
      </c>
      <c r="Z61" s="13">
        <f t="shared" ref="Z61:Z87" si="93">V61/X61</f>
        <v>0.19857029388403497</v>
      </c>
      <c r="AA61" s="9">
        <f t="shared" ref="AA61:AB61" si="94">X7</f>
        <v>0.37000000000000005</v>
      </c>
      <c r="AB61" s="14">
        <f t="shared" si="94"/>
        <v>0.8</v>
      </c>
      <c r="AC61" s="16"/>
    </row>
    <row r="62" spans="2:29">
      <c r="K62" s="10">
        <f t="shared" ref="K62:R62" si="95">K9</f>
        <v>400</v>
      </c>
      <c r="L62" s="9">
        <f t="shared" si="95"/>
        <v>0.51</v>
      </c>
      <c r="M62" s="9">
        <f t="shared" si="95"/>
        <v>0.39</v>
      </c>
      <c r="N62" s="9">
        <f t="shared" si="95"/>
        <v>1.82</v>
      </c>
      <c r="O62" s="9">
        <f t="shared" si="95"/>
        <v>1.56</v>
      </c>
      <c r="P62" s="9">
        <f t="shared" si="95"/>
        <v>0.43</v>
      </c>
      <c r="Q62" s="9">
        <f t="shared" si="95"/>
        <v>0.4</v>
      </c>
      <c r="R62" s="9">
        <f t="shared" si="95"/>
        <v>1.4999999999999999E-2</v>
      </c>
      <c r="S62" s="9" t="str">
        <f t="shared" ref="S62:T62" si="96">T9</f>
        <v>1/167</v>
      </c>
      <c r="T62" s="9" t="str">
        <f t="shared" si="96"/>
        <v>U80</v>
      </c>
      <c r="U62" s="9">
        <f>W9</f>
        <v>0.28000000000000003</v>
      </c>
      <c r="V62" s="9">
        <f>V9</f>
        <v>0.25</v>
      </c>
      <c r="W62" s="9">
        <v>1.28</v>
      </c>
      <c r="X62" s="9">
        <v>1.2589999999999999</v>
      </c>
      <c r="Y62" s="13">
        <f t="shared" si="92"/>
        <v>0.21875000000000003</v>
      </c>
      <c r="Z62" s="13">
        <f t="shared" si="93"/>
        <v>0.19857029388403497</v>
      </c>
      <c r="AA62" s="9">
        <f t="shared" ref="AA62:AB62" si="97">X9</f>
        <v>0.37000000000000005</v>
      </c>
      <c r="AB62" s="14">
        <f t="shared" si="97"/>
        <v>0.8</v>
      </c>
      <c r="AC62" s="16"/>
    </row>
    <row r="63" spans="2:29">
      <c r="K63" s="10">
        <f t="shared" ref="K63:R63" si="98">K11</f>
        <v>600</v>
      </c>
      <c r="L63" s="9">
        <f t="shared" si="98"/>
        <v>0.51</v>
      </c>
      <c r="M63" s="9">
        <f t="shared" si="98"/>
        <v>0.39</v>
      </c>
      <c r="N63" s="9">
        <f t="shared" si="98"/>
        <v>1.82</v>
      </c>
      <c r="O63" s="9">
        <f t="shared" si="98"/>
        <v>1.56</v>
      </c>
      <c r="P63" s="9">
        <f t="shared" si="98"/>
        <v>0.43</v>
      </c>
      <c r="Q63" s="9">
        <f t="shared" si="98"/>
        <v>0.4</v>
      </c>
      <c r="R63" s="9">
        <f t="shared" si="98"/>
        <v>1.4999999999999999E-2</v>
      </c>
      <c r="S63" s="9" t="str">
        <f t="shared" ref="S63:T63" si="99">T11</f>
        <v>1/167</v>
      </c>
      <c r="T63" s="9" t="str">
        <f t="shared" si="99"/>
        <v>U80</v>
      </c>
      <c r="U63" s="9">
        <f>W11</f>
        <v>0.28000000000000003</v>
      </c>
      <c r="V63" s="9">
        <f>V11</f>
        <v>0.25</v>
      </c>
      <c r="W63" s="9">
        <v>1.28</v>
      </c>
      <c r="X63" s="9">
        <v>1.2589999999999999</v>
      </c>
      <c r="Y63" s="13">
        <f t="shared" si="92"/>
        <v>0.21875000000000003</v>
      </c>
      <c r="Z63" s="13">
        <f t="shared" si="93"/>
        <v>0.19857029388403497</v>
      </c>
      <c r="AA63" s="9">
        <f t="shared" ref="AA63:AB63" si="100">X11</f>
        <v>0.37000000000000005</v>
      </c>
      <c r="AB63" s="14">
        <f t="shared" si="100"/>
        <v>0.8</v>
      </c>
      <c r="AC63" s="16"/>
    </row>
    <row r="64" spans="2:29">
      <c r="K64" s="10">
        <f t="shared" ref="K64:R64" si="101">K13</f>
        <v>800</v>
      </c>
      <c r="L64" s="9">
        <f t="shared" si="101"/>
        <v>0.51</v>
      </c>
      <c r="M64" s="9">
        <f t="shared" si="101"/>
        <v>0.39</v>
      </c>
      <c r="N64" s="9">
        <f t="shared" si="101"/>
        <v>1.65</v>
      </c>
      <c r="O64" s="9">
        <f t="shared" si="101"/>
        <v>1.44</v>
      </c>
      <c r="P64" s="9">
        <f t="shared" si="101"/>
        <v>0.48</v>
      </c>
      <c r="Q64" s="9">
        <f t="shared" si="101"/>
        <v>0.42</v>
      </c>
      <c r="R64" s="9">
        <f t="shared" si="101"/>
        <v>1.4999999999999999E-2</v>
      </c>
      <c r="S64" s="9" t="str">
        <f t="shared" ref="S64:T64" si="102">T13</f>
        <v>1/250</v>
      </c>
      <c r="T64" s="9" t="str">
        <f t="shared" si="102"/>
        <v>U80</v>
      </c>
      <c r="U64" s="9">
        <f>W13</f>
        <v>0.31</v>
      </c>
      <c r="V64" s="9">
        <f>V13</f>
        <v>0.27</v>
      </c>
      <c r="W64" s="9">
        <v>1.341</v>
      </c>
      <c r="X64" s="9">
        <v>1.28</v>
      </c>
      <c r="Y64" s="13">
        <f t="shared" si="92"/>
        <v>0.23117076808351977</v>
      </c>
      <c r="Z64" s="13">
        <f t="shared" si="93"/>
        <v>0.2109375</v>
      </c>
      <c r="AA64" s="9">
        <f t="shared" ref="AA64:AB64" si="103">X13</f>
        <v>0.32000000000000006</v>
      </c>
      <c r="AB64" s="14">
        <f t="shared" si="103"/>
        <v>0.8</v>
      </c>
      <c r="AC64" s="16"/>
    </row>
    <row r="65" spans="11:29">
      <c r="K65" s="10">
        <f t="shared" ref="K65:R65" si="104">K15</f>
        <v>1000</v>
      </c>
      <c r="L65" s="9">
        <f t="shared" si="104"/>
        <v>0.51</v>
      </c>
      <c r="M65" s="9">
        <f t="shared" si="104"/>
        <v>0.39</v>
      </c>
      <c r="N65" s="9">
        <f t="shared" si="104"/>
        <v>1.65</v>
      </c>
      <c r="O65" s="9">
        <f t="shared" si="104"/>
        <v>1.44</v>
      </c>
      <c r="P65" s="9">
        <f t="shared" si="104"/>
        <v>0.48</v>
      </c>
      <c r="Q65" s="9">
        <f t="shared" si="104"/>
        <v>0.42</v>
      </c>
      <c r="R65" s="9">
        <f t="shared" si="104"/>
        <v>1.4999999999999999E-2</v>
      </c>
      <c r="S65" s="9" t="str">
        <f t="shared" ref="S65:T65" si="105">T15</f>
        <v>1/250</v>
      </c>
      <c r="T65" s="9" t="str">
        <f t="shared" si="105"/>
        <v>U80</v>
      </c>
      <c r="U65" s="9">
        <f>W15</f>
        <v>0.31</v>
      </c>
      <c r="V65" s="9">
        <f>V15</f>
        <v>0.27</v>
      </c>
      <c r="W65" s="9">
        <v>1.341</v>
      </c>
      <c r="X65" s="9">
        <v>1.28</v>
      </c>
      <c r="Y65" s="13">
        <f t="shared" si="92"/>
        <v>0.23117076808351977</v>
      </c>
      <c r="Z65" s="13">
        <f t="shared" si="93"/>
        <v>0.2109375</v>
      </c>
      <c r="AA65" s="9">
        <f t="shared" ref="AA65:AB65" si="106">X15</f>
        <v>0.32000000000000006</v>
      </c>
      <c r="AB65" s="14">
        <f t="shared" si="106"/>
        <v>0.8</v>
      </c>
      <c r="AC65" s="16"/>
    </row>
    <row r="66" spans="11:29">
      <c r="K66" s="10">
        <f t="shared" ref="K66:R66" si="107">K17</f>
        <v>1200</v>
      </c>
      <c r="L66" s="9">
        <f t="shared" si="107"/>
        <v>0.51</v>
      </c>
      <c r="M66" s="9">
        <f t="shared" si="107"/>
        <v>0.39</v>
      </c>
      <c r="N66" s="9">
        <f t="shared" si="107"/>
        <v>1.65</v>
      </c>
      <c r="O66" s="9">
        <f t="shared" si="107"/>
        <v>1.44</v>
      </c>
      <c r="P66" s="9">
        <f t="shared" si="107"/>
        <v>0.48</v>
      </c>
      <c r="Q66" s="9">
        <f t="shared" si="107"/>
        <v>0.42</v>
      </c>
      <c r="R66" s="9">
        <f t="shared" si="107"/>
        <v>1.4999999999999999E-2</v>
      </c>
      <c r="S66" s="9" t="str">
        <f t="shared" ref="S66:T66" si="108">T17</f>
        <v>1/250</v>
      </c>
      <c r="T66" s="9" t="str">
        <f t="shared" si="108"/>
        <v>U80</v>
      </c>
      <c r="U66" s="9">
        <f>W17</f>
        <v>0.31</v>
      </c>
      <c r="V66" s="9">
        <f>V17</f>
        <v>0.27</v>
      </c>
      <c r="W66" s="9">
        <v>1.341</v>
      </c>
      <c r="X66" s="9">
        <v>1.28</v>
      </c>
      <c r="Y66" s="13">
        <f t="shared" si="92"/>
        <v>0.23117076808351977</v>
      </c>
      <c r="Z66" s="13">
        <f t="shared" si="93"/>
        <v>0.2109375</v>
      </c>
      <c r="AA66" s="9">
        <f t="shared" ref="AA66:AB66" si="109">X17</f>
        <v>0.32000000000000006</v>
      </c>
      <c r="AB66" s="14">
        <f t="shared" si="109"/>
        <v>0.8</v>
      </c>
      <c r="AC66" s="16"/>
    </row>
    <row r="67" spans="11:29">
      <c r="K67" s="10">
        <f t="shared" ref="K67:R67" si="110">K19</f>
        <v>1400</v>
      </c>
      <c r="L67" s="9">
        <f t="shared" si="110"/>
        <v>0.51</v>
      </c>
      <c r="M67" s="9">
        <f t="shared" si="110"/>
        <v>0.39</v>
      </c>
      <c r="N67" s="9">
        <f t="shared" si="110"/>
        <v>1.65</v>
      </c>
      <c r="O67" s="9">
        <f t="shared" si="110"/>
        <v>1.44</v>
      </c>
      <c r="P67" s="9">
        <f t="shared" si="110"/>
        <v>0.48</v>
      </c>
      <c r="Q67" s="9">
        <f t="shared" si="110"/>
        <v>0.42</v>
      </c>
      <c r="R67" s="9">
        <f t="shared" si="110"/>
        <v>1.4999999999999999E-2</v>
      </c>
      <c r="S67" s="9" t="str">
        <f t="shared" ref="S67:T67" si="111">T19</f>
        <v>1/250</v>
      </c>
      <c r="T67" s="9" t="str">
        <f t="shared" si="111"/>
        <v>U80</v>
      </c>
      <c r="U67" s="9">
        <f>W19</f>
        <v>0.31</v>
      </c>
      <c r="V67" s="9">
        <f>V19</f>
        <v>0.27</v>
      </c>
      <c r="W67" s="9">
        <v>1.341</v>
      </c>
      <c r="X67" s="9">
        <v>1.28</v>
      </c>
      <c r="Y67" s="13">
        <f t="shared" si="92"/>
        <v>0.23117076808351977</v>
      </c>
      <c r="Z67" s="13">
        <f t="shared" si="93"/>
        <v>0.2109375</v>
      </c>
      <c r="AA67" s="9">
        <f t="shared" ref="AA67:AB67" si="112">X19</f>
        <v>0.32000000000000006</v>
      </c>
      <c r="AB67" s="14">
        <f t="shared" si="112"/>
        <v>0.8</v>
      </c>
      <c r="AC67" s="16"/>
    </row>
    <row r="68" spans="11:29">
      <c r="K68" s="10">
        <f t="shared" ref="K68:R68" si="113">K21</f>
        <v>1600</v>
      </c>
      <c r="L68" s="9">
        <f t="shared" si="113"/>
        <v>0.51</v>
      </c>
      <c r="M68" s="9">
        <f t="shared" si="113"/>
        <v>0.39</v>
      </c>
      <c r="N68" s="9">
        <f t="shared" si="113"/>
        <v>1.65</v>
      </c>
      <c r="O68" s="9">
        <f t="shared" si="113"/>
        <v>1.44</v>
      </c>
      <c r="P68" s="9">
        <f t="shared" si="113"/>
        <v>0.48</v>
      </c>
      <c r="Q68" s="9">
        <f t="shared" si="113"/>
        <v>0.42</v>
      </c>
      <c r="R68" s="9">
        <f t="shared" si="113"/>
        <v>1.4999999999999999E-2</v>
      </c>
      <c r="S68" s="9" t="str">
        <f t="shared" ref="S68:T68" si="114">T21</f>
        <v>1/250</v>
      </c>
      <c r="T68" s="9" t="str">
        <f t="shared" si="114"/>
        <v>U80</v>
      </c>
      <c r="U68" s="9">
        <f>W21</f>
        <v>0.31</v>
      </c>
      <c r="V68" s="9">
        <f>V21</f>
        <v>0.27</v>
      </c>
      <c r="W68" s="9">
        <v>1.341</v>
      </c>
      <c r="X68" s="9">
        <v>1.28</v>
      </c>
      <c r="Y68" s="13">
        <f t="shared" si="92"/>
        <v>0.23117076808351977</v>
      </c>
      <c r="Z68" s="13">
        <f t="shared" si="93"/>
        <v>0.2109375</v>
      </c>
      <c r="AA68" s="9">
        <f t="shared" ref="AA68:AB68" si="115">X21</f>
        <v>0.32000000000000006</v>
      </c>
      <c r="AB68" s="14">
        <f t="shared" si="115"/>
        <v>0.8</v>
      </c>
      <c r="AC68" s="16"/>
    </row>
    <row r="69" spans="11:29">
      <c r="K69" s="10">
        <f t="shared" ref="K69:R69" si="116">K23</f>
        <v>1800</v>
      </c>
      <c r="L69" s="9">
        <f t="shared" si="116"/>
        <v>0.51</v>
      </c>
      <c r="M69" s="9">
        <f t="shared" si="116"/>
        <v>0.39</v>
      </c>
      <c r="N69" s="9">
        <f t="shared" si="116"/>
        <v>1.65</v>
      </c>
      <c r="O69" s="9">
        <f t="shared" si="116"/>
        <v>1.44</v>
      </c>
      <c r="P69" s="9">
        <f t="shared" si="116"/>
        <v>0.48</v>
      </c>
      <c r="Q69" s="9">
        <f t="shared" si="116"/>
        <v>0.42</v>
      </c>
      <c r="R69" s="9">
        <f t="shared" si="116"/>
        <v>1.4999999999999999E-2</v>
      </c>
      <c r="S69" s="9" t="str">
        <f t="shared" ref="S69:T69" si="117">T23</f>
        <v>1/250</v>
      </c>
      <c r="T69" s="9" t="str">
        <f t="shared" si="117"/>
        <v>U80</v>
      </c>
      <c r="U69" s="9">
        <f>W23</f>
        <v>0.31</v>
      </c>
      <c r="V69" s="9">
        <f>V23</f>
        <v>0.27</v>
      </c>
      <c r="W69" s="9">
        <v>1.341</v>
      </c>
      <c r="X69" s="9">
        <v>1.28</v>
      </c>
      <c r="Y69" s="13">
        <f t="shared" si="92"/>
        <v>0.23117076808351977</v>
      </c>
      <c r="Z69" s="13">
        <f t="shared" si="93"/>
        <v>0.2109375</v>
      </c>
      <c r="AA69" s="9">
        <f t="shared" ref="AA69:AB69" si="118">X23</f>
        <v>0.32000000000000006</v>
      </c>
      <c r="AB69" s="14">
        <f t="shared" si="118"/>
        <v>0.8</v>
      </c>
      <c r="AC69" s="16"/>
    </row>
    <row r="70" spans="11:29">
      <c r="K70" s="10">
        <f t="shared" ref="K70:R70" si="119">K25</f>
        <v>2000</v>
      </c>
      <c r="L70" s="9">
        <f t="shared" si="119"/>
        <v>0.51</v>
      </c>
      <c r="M70" s="9">
        <f t="shared" si="119"/>
        <v>0.39</v>
      </c>
      <c r="N70" s="9">
        <f t="shared" si="119"/>
        <v>1.65</v>
      </c>
      <c r="O70" s="9">
        <f t="shared" si="119"/>
        <v>1.44</v>
      </c>
      <c r="P70" s="9">
        <f t="shared" si="119"/>
        <v>0.48</v>
      </c>
      <c r="Q70" s="9">
        <f t="shared" si="119"/>
        <v>0.42</v>
      </c>
      <c r="R70" s="9">
        <f t="shared" si="119"/>
        <v>1.4999999999999999E-2</v>
      </c>
      <c r="S70" s="9" t="str">
        <f t="shared" ref="S70:T70" si="120">T25</f>
        <v>1/250</v>
      </c>
      <c r="T70" s="9" t="str">
        <f t="shared" si="120"/>
        <v>U80</v>
      </c>
      <c r="U70" s="9">
        <f>W25</f>
        <v>0.31</v>
      </c>
      <c r="V70" s="9">
        <f>V25</f>
        <v>0.27</v>
      </c>
      <c r="W70" s="9">
        <v>1.341</v>
      </c>
      <c r="X70" s="9">
        <v>1.28</v>
      </c>
      <c r="Y70" s="13">
        <f t="shared" si="92"/>
        <v>0.23117076808351977</v>
      </c>
      <c r="Z70" s="13">
        <f t="shared" si="93"/>
        <v>0.2109375</v>
      </c>
      <c r="AA70" s="9">
        <f t="shared" ref="AA70:AB70" si="121">X25</f>
        <v>0.32000000000000006</v>
      </c>
      <c r="AB70" s="14">
        <f t="shared" si="121"/>
        <v>0.8</v>
      </c>
      <c r="AC70" s="16"/>
    </row>
    <row r="71" spans="11:29">
      <c r="K71" s="10">
        <f t="shared" ref="K71:R71" si="122">K27</f>
        <v>2200</v>
      </c>
      <c r="L71" s="9">
        <f t="shared" si="122"/>
        <v>0.51</v>
      </c>
      <c r="M71" s="9">
        <f t="shared" si="122"/>
        <v>0.39</v>
      </c>
      <c r="N71" s="9">
        <f t="shared" si="122"/>
        <v>1.65</v>
      </c>
      <c r="O71" s="9">
        <f t="shared" si="122"/>
        <v>1.44</v>
      </c>
      <c r="P71" s="9">
        <f t="shared" si="122"/>
        <v>0.48</v>
      </c>
      <c r="Q71" s="9">
        <f t="shared" si="122"/>
        <v>0.42</v>
      </c>
      <c r="R71" s="9">
        <f t="shared" si="122"/>
        <v>1.4999999999999999E-2</v>
      </c>
      <c r="S71" s="9" t="str">
        <f t="shared" ref="S71:T71" si="123">T27</f>
        <v>1/250</v>
      </c>
      <c r="T71" s="9" t="str">
        <f t="shared" si="123"/>
        <v>U80</v>
      </c>
      <c r="U71" s="9">
        <f>W27</f>
        <v>0.31</v>
      </c>
      <c r="V71" s="9">
        <f>V27</f>
        <v>0.27</v>
      </c>
      <c r="W71" s="9">
        <v>1.341</v>
      </c>
      <c r="X71" s="9">
        <v>1.28</v>
      </c>
      <c r="Y71" s="13">
        <f t="shared" si="92"/>
        <v>0.23117076808351977</v>
      </c>
      <c r="Z71" s="13">
        <f t="shared" si="93"/>
        <v>0.2109375</v>
      </c>
      <c r="AA71" s="9">
        <f t="shared" ref="AA71:AB71" si="124">X27</f>
        <v>0.32000000000000006</v>
      </c>
      <c r="AB71" s="14">
        <f t="shared" si="124"/>
        <v>0.8</v>
      </c>
      <c r="AC71" s="16"/>
    </row>
    <row r="72" spans="11:29">
      <c r="K72" s="10">
        <f t="shared" ref="K72:R72" si="125">K29</f>
        <v>2400</v>
      </c>
      <c r="L72" s="9">
        <f t="shared" si="125"/>
        <v>0.51</v>
      </c>
      <c r="M72" s="9">
        <f t="shared" si="125"/>
        <v>0.39</v>
      </c>
      <c r="N72" s="9">
        <f t="shared" si="125"/>
        <v>1.65</v>
      </c>
      <c r="O72" s="9">
        <f t="shared" si="125"/>
        <v>1.44</v>
      </c>
      <c r="P72" s="9">
        <f t="shared" si="125"/>
        <v>0.48</v>
      </c>
      <c r="Q72" s="9">
        <f t="shared" si="125"/>
        <v>0.42</v>
      </c>
      <c r="R72" s="9">
        <f t="shared" si="125"/>
        <v>1.4999999999999999E-2</v>
      </c>
      <c r="S72" s="9" t="str">
        <f t="shared" ref="S72:T72" si="126">T29</f>
        <v>1/250</v>
      </c>
      <c r="T72" s="9" t="str">
        <f t="shared" si="126"/>
        <v>U80</v>
      </c>
      <c r="U72" s="9">
        <f>W29</f>
        <v>0.31</v>
      </c>
      <c r="V72" s="9">
        <f>V29</f>
        <v>0.27</v>
      </c>
      <c r="W72" s="9">
        <v>1.341</v>
      </c>
      <c r="X72" s="9">
        <v>1.28</v>
      </c>
      <c r="Y72" s="13">
        <f t="shared" si="92"/>
        <v>0.23117076808351977</v>
      </c>
      <c r="Z72" s="13">
        <f t="shared" si="93"/>
        <v>0.2109375</v>
      </c>
      <c r="AA72" s="9">
        <f t="shared" ref="AA72:AB72" si="127">X29</f>
        <v>0.32000000000000006</v>
      </c>
      <c r="AB72" s="14">
        <f t="shared" si="127"/>
        <v>0.8</v>
      </c>
      <c r="AC72" s="16"/>
    </row>
    <row r="73" spans="11:29">
      <c r="K73" s="10">
        <f t="shared" ref="K73:R73" si="128">K31</f>
        <v>2600</v>
      </c>
      <c r="L73" s="9">
        <f t="shared" si="128"/>
        <v>0.51</v>
      </c>
      <c r="M73" s="9">
        <f t="shared" si="128"/>
        <v>0.39</v>
      </c>
      <c r="N73" s="9">
        <f t="shared" si="128"/>
        <v>1.65</v>
      </c>
      <c r="O73" s="9">
        <f t="shared" si="128"/>
        <v>1.44</v>
      </c>
      <c r="P73" s="9">
        <f t="shared" si="128"/>
        <v>0.48</v>
      </c>
      <c r="Q73" s="9">
        <f t="shared" si="128"/>
        <v>0.42</v>
      </c>
      <c r="R73" s="9">
        <f t="shared" si="128"/>
        <v>1.4999999999999999E-2</v>
      </c>
      <c r="S73" s="9" t="str">
        <f t="shared" ref="S73:T73" si="129">T31</f>
        <v>1/250</v>
      </c>
      <c r="T73" s="9" t="str">
        <f t="shared" si="129"/>
        <v>U80</v>
      </c>
      <c r="U73" s="9">
        <f>W31</f>
        <v>0.31</v>
      </c>
      <c r="V73" s="9">
        <f>V31</f>
        <v>0.27</v>
      </c>
      <c r="W73" s="9">
        <v>1.341</v>
      </c>
      <c r="X73" s="9">
        <v>1.28</v>
      </c>
      <c r="Y73" s="13">
        <f t="shared" si="92"/>
        <v>0.23117076808351977</v>
      </c>
      <c r="Z73" s="13">
        <f t="shared" si="93"/>
        <v>0.2109375</v>
      </c>
      <c r="AA73" s="9">
        <f t="shared" ref="AA73:AB73" si="130">X31</f>
        <v>0.32000000000000006</v>
      </c>
      <c r="AB73" s="14">
        <f t="shared" si="130"/>
        <v>0.8</v>
      </c>
      <c r="AC73" s="16"/>
    </row>
    <row r="74" spans="11:29">
      <c r="K74" s="10">
        <f>K33</f>
        <v>2800</v>
      </c>
      <c r="L74" s="9">
        <f>L33</f>
        <v>0.51</v>
      </c>
      <c r="M74" s="9">
        <f>M33</f>
        <v>0.39</v>
      </c>
      <c r="N74" s="9">
        <f t="shared" ref="N74:R74" si="131">N33</f>
        <v>1.65</v>
      </c>
      <c r="O74" s="9">
        <f t="shared" si="131"/>
        <v>1.44</v>
      </c>
      <c r="P74" s="9">
        <f t="shared" si="131"/>
        <v>0.48</v>
      </c>
      <c r="Q74" s="9">
        <f t="shared" si="131"/>
        <v>0.42</v>
      </c>
      <c r="R74" s="9">
        <f t="shared" si="131"/>
        <v>1.4999999999999999E-2</v>
      </c>
      <c r="S74" s="9" t="str">
        <f t="shared" ref="S74:T74" si="132">T33</f>
        <v>1/250</v>
      </c>
      <c r="T74" s="9" t="str">
        <f t="shared" si="132"/>
        <v>U80</v>
      </c>
      <c r="U74" s="9">
        <f>W33</f>
        <v>0.31</v>
      </c>
      <c r="V74" s="9">
        <f>V33</f>
        <v>0.27</v>
      </c>
      <c r="W74" s="9">
        <v>1.341</v>
      </c>
      <c r="X74" s="9">
        <v>1.28</v>
      </c>
      <c r="Y74" s="13">
        <f t="shared" si="92"/>
        <v>0.23117076808351977</v>
      </c>
      <c r="Z74" s="13">
        <f t="shared" si="93"/>
        <v>0.2109375</v>
      </c>
      <c r="AA74" s="9">
        <f t="shared" ref="AA74:AB74" si="133">X33</f>
        <v>0.32000000000000006</v>
      </c>
      <c r="AB74" s="14">
        <f t="shared" si="133"/>
        <v>0.8</v>
      </c>
      <c r="AC74" s="16"/>
    </row>
    <row r="75" spans="11:29">
      <c r="K75" s="10">
        <f>K35</f>
        <v>3000</v>
      </c>
      <c r="L75" s="9">
        <f t="shared" ref="L75:R75" si="134">L35</f>
        <v>0.51</v>
      </c>
      <c r="M75" s="9">
        <f t="shared" si="134"/>
        <v>0.39</v>
      </c>
      <c r="N75" s="9">
        <f t="shared" si="134"/>
        <v>1.65</v>
      </c>
      <c r="O75" s="9">
        <f t="shared" si="134"/>
        <v>1.44</v>
      </c>
      <c r="P75" s="9">
        <f t="shared" si="134"/>
        <v>0.48</v>
      </c>
      <c r="Q75" s="9">
        <f t="shared" si="134"/>
        <v>0.42</v>
      </c>
      <c r="R75" s="9">
        <f t="shared" si="134"/>
        <v>1.4999999999999999E-2</v>
      </c>
      <c r="S75" s="9" t="str">
        <f t="shared" ref="S75:T75" si="135">T35</f>
        <v>1/250</v>
      </c>
      <c r="T75" s="9" t="str">
        <f t="shared" si="135"/>
        <v>U80</v>
      </c>
      <c r="U75" s="9">
        <f>W35</f>
        <v>0.31</v>
      </c>
      <c r="V75" s="9">
        <f>V35</f>
        <v>0.27</v>
      </c>
      <c r="W75" s="9">
        <v>1.341</v>
      </c>
      <c r="X75" s="9">
        <v>1.28</v>
      </c>
      <c r="Y75" s="13">
        <f t="shared" si="92"/>
        <v>0.23117076808351977</v>
      </c>
      <c r="Z75" s="13">
        <f t="shared" si="93"/>
        <v>0.2109375</v>
      </c>
      <c r="AA75" s="9">
        <f t="shared" ref="AA75:AB75" si="136">X35</f>
        <v>0.32000000000000006</v>
      </c>
      <c r="AB75" s="14">
        <f t="shared" si="136"/>
        <v>0.8</v>
      </c>
      <c r="AC75" s="16"/>
    </row>
    <row r="76" spans="11:29">
      <c r="K76" s="10">
        <f>K37</f>
        <v>3200</v>
      </c>
      <c r="L76" s="9">
        <f t="shared" ref="L76:R76" si="137">L37</f>
        <v>0.51</v>
      </c>
      <c r="M76" s="9">
        <f t="shared" si="137"/>
        <v>0.39</v>
      </c>
      <c r="N76" s="9">
        <f t="shared" si="137"/>
        <v>1.65</v>
      </c>
      <c r="O76" s="9">
        <f t="shared" si="137"/>
        <v>1.44</v>
      </c>
      <c r="P76" s="9">
        <f t="shared" si="137"/>
        <v>0.48</v>
      </c>
      <c r="Q76" s="9">
        <f t="shared" si="137"/>
        <v>0.42</v>
      </c>
      <c r="R76" s="9">
        <f t="shared" si="137"/>
        <v>1.4999999999999999E-2</v>
      </c>
      <c r="S76" s="9" t="str">
        <f t="shared" ref="S76:T76" si="138">T37</f>
        <v>1/250</v>
      </c>
      <c r="T76" s="9" t="str">
        <f t="shared" si="138"/>
        <v>U80</v>
      </c>
      <c r="U76" s="9">
        <f>W37</f>
        <v>0.31</v>
      </c>
      <c r="V76" s="9">
        <f>V37</f>
        <v>0.27</v>
      </c>
      <c r="W76" s="9">
        <v>1.341</v>
      </c>
      <c r="X76" s="9">
        <v>1.28</v>
      </c>
      <c r="Y76" s="13">
        <f t="shared" si="92"/>
        <v>0.23117076808351977</v>
      </c>
      <c r="Z76" s="13">
        <f t="shared" si="93"/>
        <v>0.2109375</v>
      </c>
      <c r="AA76" s="9">
        <f t="shared" ref="AA76:AB76" si="139">X37</f>
        <v>0.32000000000000006</v>
      </c>
      <c r="AB76" s="14">
        <f t="shared" si="139"/>
        <v>0.8</v>
      </c>
      <c r="AC76" s="16"/>
    </row>
    <row r="77" spans="11:29">
      <c r="K77" s="10">
        <f>K38</f>
        <v>3300</v>
      </c>
      <c r="L77" s="9">
        <f t="shared" ref="L77:R77" si="140">L38</f>
        <v>0.25</v>
      </c>
      <c r="M77" s="9">
        <f t="shared" si="140"/>
        <v>0.19</v>
      </c>
      <c r="N77" s="9">
        <f t="shared" si="140"/>
        <v>1.67</v>
      </c>
      <c r="O77" s="9">
        <f t="shared" si="140"/>
        <v>1.36</v>
      </c>
      <c r="P77" s="9">
        <f t="shared" si="140"/>
        <v>0.31</v>
      </c>
      <c r="Q77" s="9">
        <f t="shared" si="140"/>
        <v>0.3</v>
      </c>
      <c r="R77" s="9">
        <f t="shared" si="140"/>
        <v>1.4999999999999999E-2</v>
      </c>
      <c r="S77" s="9" t="str">
        <f t="shared" ref="S77:T77" si="141">T38</f>
        <v>1/250</v>
      </c>
      <c r="T77" s="9" t="str">
        <f t="shared" si="141"/>
        <v>U60</v>
      </c>
      <c r="U77" s="9">
        <f>W38</f>
        <v>0.15</v>
      </c>
      <c r="V77" s="9">
        <f>V38</f>
        <v>0.14000000000000001</v>
      </c>
      <c r="W77" s="9">
        <v>0.96399999999999997</v>
      </c>
      <c r="X77" s="9">
        <v>0.94399999999999995</v>
      </c>
      <c r="Y77" s="13">
        <f t="shared" si="92"/>
        <v>0.15560165975103735</v>
      </c>
      <c r="Z77" s="13">
        <f t="shared" si="93"/>
        <v>0.14830508474576273</v>
      </c>
      <c r="AA77" s="9">
        <f t="shared" ref="AA77:AB77" si="142">X38</f>
        <v>0.28999999999999998</v>
      </c>
      <c r="AB77" s="14">
        <f t="shared" si="142"/>
        <v>0.6</v>
      </c>
      <c r="AC77" s="16"/>
    </row>
    <row r="78" spans="11:29">
      <c r="K78" s="10">
        <f>K39</f>
        <v>3400</v>
      </c>
      <c r="L78" s="9">
        <f t="shared" ref="L78:R78" si="143">L39</f>
        <v>0.25</v>
      </c>
      <c r="M78" s="9">
        <f t="shared" si="143"/>
        <v>0.19</v>
      </c>
      <c r="N78" s="9">
        <f t="shared" si="143"/>
        <v>1.67</v>
      </c>
      <c r="O78" s="9">
        <f t="shared" si="143"/>
        <v>1.36</v>
      </c>
      <c r="P78" s="9">
        <f t="shared" si="143"/>
        <v>0.31</v>
      </c>
      <c r="Q78" s="9">
        <f t="shared" si="143"/>
        <v>0.3</v>
      </c>
      <c r="R78" s="9">
        <f t="shared" si="143"/>
        <v>1.4999999999999999E-2</v>
      </c>
      <c r="S78" s="9" t="str">
        <f t="shared" ref="S78:T78" si="144">T39</f>
        <v>1/250</v>
      </c>
      <c r="T78" s="9" t="str">
        <f t="shared" si="144"/>
        <v>U60</v>
      </c>
      <c r="U78" s="9">
        <f>W39</f>
        <v>0.15</v>
      </c>
      <c r="V78" s="9">
        <f>V39</f>
        <v>0.14000000000000001</v>
      </c>
      <c r="W78" s="9">
        <v>0.96399999999999997</v>
      </c>
      <c r="X78" s="9">
        <v>0.94399999999999995</v>
      </c>
      <c r="Y78" s="13">
        <f t="shared" si="92"/>
        <v>0.15560165975103735</v>
      </c>
      <c r="Z78" s="13">
        <f t="shared" si="93"/>
        <v>0.14830508474576273</v>
      </c>
      <c r="AA78" s="9">
        <f t="shared" ref="AA78:AB78" si="145">X39</f>
        <v>0.28999999999999998</v>
      </c>
      <c r="AB78" s="14">
        <f t="shared" si="145"/>
        <v>0.6</v>
      </c>
      <c r="AC78" s="16"/>
    </row>
    <row r="79" spans="11:29">
      <c r="K79" s="10">
        <f>K40</f>
        <v>3500</v>
      </c>
      <c r="L79" s="9">
        <f t="shared" ref="L79:R79" si="146">L40</f>
        <v>0.25</v>
      </c>
      <c r="M79" s="9">
        <f t="shared" si="146"/>
        <v>0.19</v>
      </c>
      <c r="N79" s="9">
        <f t="shared" si="146"/>
        <v>1.67</v>
      </c>
      <c r="O79" s="9">
        <f t="shared" si="146"/>
        <v>1.36</v>
      </c>
      <c r="P79" s="9">
        <f t="shared" si="146"/>
        <v>0.31</v>
      </c>
      <c r="Q79" s="9">
        <f t="shared" si="146"/>
        <v>0.3</v>
      </c>
      <c r="R79" s="9">
        <f t="shared" si="146"/>
        <v>1.4999999999999999E-2</v>
      </c>
      <c r="S79" s="9" t="str">
        <f t="shared" ref="S79:T79" si="147">T40</f>
        <v>1/250</v>
      </c>
      <c r="T79" s="9" t="str">
        <f t="shared" si="147"/>
        <v>U60</v>
      </c>
      <c r="U79" s="9">
        <f>W40</f>
        <v>0.15</v>
      </c>
      <c r="V79" s="9">
        <f>V40</f>
        <v>0.14000000000000001</v>
      </c>
      <c r="W79" s="9">
        <v>0.96399999999999997</v>
      </c>
      <c r="X79" s="9">
        <v>0.94399999999999995</v>
      </c>
      <c r="Y79" s="13">
        <f t="shared" si="92"/>
        <v>0.15560165975103735</v>
      </c>
      <c r="Z79" s="13">
        <f t="shared" si="93"/>
        <v>0.14830508474576273</v>
      </c>
      <c r="AA79" s="9">
        <f t="shared" ref="AA79:AB79" si="148">X40</f>
        <v>0.28999999999999998</v>
      </c>
      <c r="AB79" s="14">
        <f t="shared" si="148"/>
        <v>0.6</v>
      </c>
      <c r="AC79" s="16"/>
    </row>
    <row r="80" spans="11:29">
      <c r="K80" s="10">
        <f>K41</f>
        <v>3600</v>
      </c>
      <c r="L80" s="9">
        <f t="shared" ref="L80:R80" si="149">L41</f>
        <v>0.25</v>
      </c>
      <c r="M80" s="9">
        <f t="shared" si="149"/>
        <v>0.19</v>
      </c>
      <c r="N80" s="9">
        <f t="shared" si="149"/>
        <v>1.32</v>
      </c>
      <c r="O80" s="9">
        <f t="shared" si="149"/>
        <v>1.19</v>
      </c>
      <c r="P80" s="9">
        <f t="shared" si="149"/>
        <v>0.31</v>
      </c>
      <c r="Q80" s="9">
        <f t="shared" si="149"/>
        <v>0.3</v>
      </c>
      <c r="R80" s="9">
        <f t="shared" si="149"/>
        <v>1.4999999999999999E-2</v>
      </c>
      <c r="S80" s="9" t="str">
        <f t="shared" ref="S80:T80" si="150">T41</f>
        <v>1/250</v>
      </c>
      <c r="T80" s="9" t="str">
        <f t="shared" si="150"/>
        <v>U60</v>
      </c>
      <c r="U80" s="9">
        <f>W41</f>
        <v>0.19</v>
      </c>
      <c r="V80" s="9">
        <f>V41</f>
        <v>0.16</v>
      </c>
      <c r="W80" s="9">
        <v>1.1259999999999999</v>
      </c>
      <c r="X80" s="9">
        <v>1.004</v>
      </c>
      <c r="Y80" s="13">
        <f t="shared" si="92"/>
        <v>0.16873889875666076</v>
      </c>
      <c r="Z80" s="13">
        <f t="shared" si="93"/>
        <v>0.15936254980079681</v>
      </c>
      <c r="AA80" s="9">
        <f t="shared" ref="AA80:AB80" si="151">X41</f>
        <v>0.28999999999999998</v>
      </c>
      <c r="AB80" s="14">
        <f t="shared" si="151"/>
        <v>0.6</v>
      </c>
      <c r="AC80" s="16"/>
    </row>
    <row r="81" spans="7:29">
      <c r="K81" s="10">
        <f>K43</f>
        <v>3800</v>
      </c>
      <c r="L81" s="9">
        <f t="shared" ref="L81:R81" si="152">L43</f>
        <v>0.25</v>
      </c>
      <c r="M81" s="9">
        <f t="shared" si="152"/>
        <v>0.19</v>
      </c>
      <c r="N81" s="9">
        <f t="shared" si="152"/>
        <v>1.32</v>
      </c>
      <c r="O81" s="9">
        <f t="shared" si="152"/>
        <v>1.19</v>
      </c>
      <c r="P81" s="9">
        <f t="shared" si="152"/>
        <v>0.39</v>
      </c>
      <c r="Q81" s="9">
        <f t="shared" si="152"/>
        <v>0.33</v>
      </c>
      <c r="R81" s="9">
        <f t="shared" si="152"/>
        <v>1.4999999999999999E-2</v>
      </c>
      <c r="S81" s="9" t="str">
        <f t="shared" ref="S81:T81" si="153">T43</f>
        <v>1/500</v>
      </c>
      <c r="T81" s="9" t="str">
        <f t="shared" si="153"/>
        <v>U60</v>
      </c>
      <c r="U81" s="9">
        <f>W43</f>
        <v>0.19</v>
      </c>
      <c r="V81" s="9">
        <f>V43</f>
        <v>0.16</v>
      </c>
      <c r="W81" s="9">
        <v>1.1259999999999999</v>
      </c>
      <c r="X81" s="9">
        <v>1.004</v>
      </c>
      <c r="Y81" s="13">
        <f t="shared" si="92"/>
        <v>0.16873889875666076</v>
      </c>
      <c r="Z81" s="13">
        <f t="shared" si="93"/>
        <v>0.15936254980079681</v>
      </c>
      <c r="AA81" s="9">
        <f t="shared" ref="AA81:AB81" si="154">X43</f>
        <v>0.20999999999999996</v>
      </c>
      <c r="AB81" s="14">
        <f t="shared" si="154"/>
        <v>0.6</v>
      </c>
      <c r="AC81" s="16"/>
    </row>
    <row r="82" spans="7:29">
      <c r="K82" s="10">
        <f>K45</f>
        <v>4000</v>
      </c>
      <c r="L82" s="9">
        <f t="shared" ref="L82:R82" si="155">L45</f>
        <v>0.25</v>
      </c>
      <c r="M82" s="9">
        <f t="shared" si="155"/>
        <v>0.19</v>
      </c>
      <c r="N82" s="9">
        <f t="shared" si="155"/>
        <v>1.32</v>
      </c>
      <c r="O82" s="9">
        <f t="shared" si="155"/>
        <v>1.19</v>
      </c>
      <c r="P82" s="9">
        <f t="shared" si="155"/>
        <v>0.39</v>
      </c>
      <c r="Q82" s="9">
        <f t="shared" si="155"/>
        <v>0.33</v>
      </c>
      <c r="R82" s="9">
        <f t="shared" si="155"/>
        <v>1.4999999999999999E-2</v>
      </c>
      <c r="S82" s="9" t="str">
        <f t="shared" ref="S82:T82" si="156">T45</f>
        <v>1/500</v>
      </c>
      <c r="T82" s="9" t="str">
        <f t="shared" si="156"/>
        <v>U60</v>
      </c>
      <c r="U82" s="9">
        <f>W45</f>
        <v>0.19</v>
      </c>
      <c r="V82" s="9">
        <f>V45</f>
        <v>0.16</v>
      </c>
      <c r="W82" s="9">
        <v>1.1259999999999999</v>
      </c>
      <c r="X82" s="9">
        <v>1.004</v>
      </c>
      <c r="Y82" s="13">
        <f t="shared" si="92"/>
        <v>0.16873889875666076</v>
      </c>
      <c r="Z82" s="13">
        <f t="shared" si="93"/>
        <v>0.15936254980079681</v>
      </c>
      <c r="AA82" s="9">
        <f t="shared" ref="AA82:AB82" si="157">X45</f>
        <v>0.20999999999999996</v>
      </c>
      <c r="AB82" s="14">
        <f t="shared" si="157"/>
        <v>0.6</v>
      </c>
      <c r="AC82" s="16"/>
    </row>
    <row r="83" spans="7:29">
      <c r="K83" s="10">
        <f>K47</f>
        <v>4200</v>
      </c>
      <c r="L83" s="9">
        <f t="shared" ref="L83:R83" si="158">L47</f>
        <v>0.25</v>
      </c>
      <c r="M83" s="9">
        <f t="shared" si="158"/>
        <v>0.19</v>
      </c>
      <c r="N83" s="9">
        <f t="shared" si="158"/>
        <v>1.32</v>
      </c>
      <c r="O83" s="9">
        <f t="shared" si="158"/>
        <v>1.19</v>
      </c>
      <c r="P83" s="9">
        <f t="shared" si="158"/>
        <v>0.39</v>
      </c>
      <c r="Q83" s="9">
        <f t="shared" si="158"/>
        <v>0.33</v>
      </c>
      <c r="R83" s="9">
        <f t="shared" si="158"/>
        <v>1.4999999999999999E-2</v>
      </c>
      <c r="S83" s="9" t="str">
        <f t="shared" ref="S83:T83" si="159">T47</f>
        <v>1/500</v>
      </c>
      <c r="T83" s="9" t="str">
        <f t="shared" si="159"/>
        <v>U60</v>
      </c>
      <c r="U83" s="9">
        <f>W47</f>
        <v>0.19</v>
      </c>
      <c r="V83" s="9">
        <f>V47</f>
        <v>0.16</v>
      </c>
      <c r="W83" s="9">
        <v>1.1259999999999999</v>
      </c>
      <c r="X83" s="9">
        <v>1.004</v>
      </c>
      <c r="Y83" s="13">
        <f t="shared" si="92"/>
        <v>0.16873889875666076</v>
      </c>
      <c r="Z83" s="13">
        <f t="shared" si="93"/>
        <v>0.15936254980079681</v>
      </c>
      <c r="AA83" s="9">
        <f t="shared" ref="AA83:AB83" si="160">X47</f>
        <v>0.20999999999999996</v>
      </c>
      <c r="AB83" s="14">
        <f t="shared" si="160"/>
        <v>0.6</v>
      </c>
      <c r="AC83" s="16"/>
    </row>
    <row r="84" spans="7:29">
      <c r="K84" s="10">
        <f>K49</f>
        <v>4400</v>
      </c>
      <c r="L84" s="9">
        <f t="shared" ref="L84:R84" si="161">L49</f>
        <v>0.25</v>
      </c>
      <c r="M84" s="9">
        <f t="shared" si="161"/>
        <v>0.19</v>
      </c>
      <c r="N84" s="9">
        <f t="shared" si="161"/>
        <v>1.32</v>
      </c>
      <c r="O84" s="9">
        <f t="shared" si="161"/>
        <v>1.19</v>
      </c>
      <c r="P84" s="9">
        <f t="shared" si="161"/>
        <v>0.39</v>
      </c>
      <c r="Q84" s="9">
        <f t="shared" si="161"/>
        <v>0.33</v>
      </c>
      <c r="R84" s="9">
        <f t="shared" si="161"/>
        <v>1.4999999999999999E-2</v>
      </c>
      <c r="S84" s="9" t="str">
        <f t="shared" ref="S84:T84" si="162">T49</f>
        <v>1/500</v>
      </c>
      <c r="T84" s="9" t="str">
        <f t="shared" si="162"/>
        <v>U60</v>
      </c>
      <c r="U84" s="9">
        <f>W49</f>
        <v>0.19</v>
      </c>
      <c r="V84" s="9">
        <f>V49</f>
        <v>0.16</v>
      </c>
      <c r="W84" s="9">
        <v>1.1259999999999999</v>
      </c>
      <c r="X84" s="9">
        <v>1.004</v>
      </c>
      <c r="Y84" s="13">
        <f t="shared" si="92"/>
        <v>0.16873889875666076</v>
      </c>
      <c r="Z84" s="13">
        <f t="shared" si="93"/>
        <v>0.15936254980079681</v>
      </c>
      <c r="AA84" s="9">
        <f t="shared" ref="AA84:AB84" si="163">X49</f>
        <v>0.20999999999999996</v>
      </c>
      <c r="AB84" s="14">
        <f t="shared" si="163"/>
        <v>0.6</v>
      </c>
      <c r="AC84" s="16"/>
    </row>
    <row r="85" spans="7:29">
      <c r="K85" s="10">
        <f>K51</f>
        <v>4600</v>
      </c>
      <c r="L85" s="9">
        <f t="shared" ref="L85:R85" si="164">L51</f>
        <v>0.25</v>
      </c>
      <c r="M85" s="9">
        <f t="shared" si="164"/>
        <v>0.19</v>
      </c>
      <c r="N85" s="9">
        <f t="shared" si="164"/>
        <v>1.32</v>
      </c>
      <c r="O85" s="9">
        <f t="shared" si="164"/>
        <v>1.19</v>
      </c>
      <c r="P85" s="9">
        <f t="shared" si="164"/>
        <v>0.39</v>
      </c>
      <c r="Q85" s="9">
        <f t="shared" si="164"/>
        <v>0.33</v>
      </c>
      <c r="R85" s="9">
        <f t="shared" si="164"/>
        <v>2.0150000000000001</v>
      </c>
      <c r="S85" s="9" t="str">
        <f t="shared" ref="S85:T85" si="165">T51</f>
        <v>1/500</v>
      </c>
      <c r="T85" s="9" t="str">
        <f t="shared" si="165"/>
        <v>U60</v>
      </c>
      <c r="U85" s="9">
        <f>W51</f>
        <v>0.19</v>
      </c>
      <c r="V85" s="9">
        <f>V51</f>
        <v>0.16</v>
      </c>
      <c r="W85" s="9">
        <v>1.1259999999999999</v>
      </c>
      <c r="X85" s="9">
        <v>1.004</v>
      </c>
      <c r="Y85" s="13">
        <f t="shared" si="92"/>
        <v>0.16873889875666076</v>
      </c>
      <c r="Z85" s="13">
        <f t="shared" si="93"/>
        <v>0.15936254980079681</v>
      </c>
      <c r="AA85" s="9">
        <f t="shared" ref="AA85:AB85" si="166">X51</f>
        <v>0.20999999999999996</v>
      </c>
      <c r="AB85" s="14">
        <f t="shared" si="166"/>
        <v>0.6</v>
      </c>
      <c r="AC85" s="16"/>
    </row>
    <row r="86" spans="7:29">
      <c r="K86" s="10">
        <f>K53</f>
        <v>4800</v>
      </c>
      <c r="L86" s="9">
        <f t="shared" ref="L86:R86" si="167">L53</f>
        <v>0.25</v>
      </c>
      <c r="M86" s="9">
        <f t="shared" si="167"/>
        <v>0.19</v>
      </c>
      <c r="N86" s="9">
        <f t="shared" si="167"/>
        <v>1.32</v>
      </c>
      <c r="O86" s="9">
        <f t="shared" si="167"/>
        <v>1.19</v>
      </c>
      <c r="P86" s="9">
        <f t="shared" si="167"/>
        <v>0.39</v>
      </c>
      <c r="Q86" s="9">
        <f t="shared" si="167"/>
        <v>0.33</v>
      </c>
      <c r="R86" s="9">
        <f t="shared" si="167"/>
        <v>4.0149999999999997</v>
      </c>
      <c r="S86" s="9" t="str">
        <f t="shared" ref="S86:T86" si="168">T53</f>
        <v>1/500</v>
      </c>
      <c r="T86" s="9" t="str">
        <f t="shared" si="168"/>
        <v>U60</v>
      </c>
      <c r="U86" s="9">
        <f>W53</f>
        <v>0.19</v>
      </c>
      <c r="V86" s="9">
        <f>V53</f>
        <v>0.16</v>
      </c>
      <c r="W86" s="9">
        <v>1.1259999999999999</v>
      </c>
      <c r="X86" s="9">
        <v>1.004</v>
      </c>
      <c r="Y86" s="13">
        <f t="shared" si="92"/>
        <v>0.16873889875666076</v>
      </c>
      <c r="Z86" s="13">
        <f t="shared" si="93"/>
        <v>0.15936254980079681</v>
      </c>
      <c r="AA86" s="9">
        <f t="shared" ref="AA86:AB86" si="169">X53</f>
        <v>0.20999999999999996</v>
      </c>
      <c r="AB86" s="14">
        <f t="shared" si="169"/>
        <v>0.6</v>
      </c>
      <c r="AC86" s="16"/>
    </row>
    <row r="87" spans="7:29">
      <c r="K87" s="10">
        <f>K54</f>
        <v>4900</v>
      </c>
      <c r="L87" s="9">
        <f t="shared" ref="L87:R87" si="170">L54</f>
        <v>0.25</v>
      </c>
      <c r="M87" s="9">
        <f t="shared" si="170"/>
        <v>0.19</v>
      </c>
      <c r="N87" s="9">
        <f t="shared" si="170"/>
        <v>1.32</v>
      </c>
      <c r="O87" s="9">
        <f t="shared" si="170"/>
        <v>1.19</v>
      </c>
      <c r="P87" s="9">
        <f t="shared" si="170"/>
        <v>0.39</v>
      </c>
      <c r="Q87" s="9">
        <f t="shared" si="170"/>
        <v>0.33</v>
      </c>
      <c r="R87" s="9">
        <f t="shared" si="170"/>
        <v>5.0149999999999997</v>
      </c>
      <c r="S87" s="9" t="str">
        <f t="shared" ref="S87:T87" si="171">T54</f>
        <v>1/500</v>
      </c>
      <c r="T87" s="9" t="str">
        <f t="shared" si="171"/>
        <v>U60</v>
      </c>
      <c r="U87" s="9">
        <f>W54</f>
        <v>0.19</v>
      </c>
      <c r="V87" s="9">
        <f>V54</f>
        <v>0.16</v>
      </c>
      <c r="W87" s="9">
        <v>1.1259999999999999</v>
      </c>
      <c r="X87" s="9">
        <v>1.004</v>
      </c>
      <c r="Y87" s="13">
        <f t="shared" si="92"/>
        <v>0.16873889875666076</v>
      </c>
      <c r="Z87" s="13">
        <f t="shared" si="93"/>
        <v>0.15936254980079681</v>
      </c>
      <c r="AA87" s="9">
        <f t="shared" ref="AA87:AB87" si="172">X54</f>
        <v>0.20999999999999996</v>
      </c>
      <c r="AB87" s="14">
        <f t="shared" si="172"/>
        <v>0.6</v>
      </c>
      <c r="AC87" s="16"/>
    </row>
    <row r="88" spans="7:29">
      <c r="K88" s="21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22"/>
      <c r="AC88" s="16"/>
    </row>
    <row r="90" spans="7:29">
      <c r="K90" t="s">
        <v>336</v>
      </c>
      <c r="L90" t="s">
        <v>773</v>
      </c>
      <c r="M90" t="s">
        <v>774</v>
      </c>
      <c r="N90" t="s">
        <v>776</v>
      </c>
      <c r="O90" t="s">
        <v>775</v>
      </c>
    </row>
    <row r="91" spans="7:29">
      <c r="K91" s="23">
        <f t="shared" ref="K91:K97" si="173">K5</f>
        <v>10</v>
      </c>
      <c r="L91">
        <f t="shared" ref="L91:L97" si="174">N91+Y5</f>
        <v>1664.79</v>
      </c>
      <c r="M91">
        <f t="shared" ref="M91:M97" si="175">AB5</f>
        <v>1664.39</v>
      </c>
      <c r="N91">
        <f t="shared" ref="N91:N97" si="176">AA5</f>
        <v>1663.99</v>
      </c>
      <c r="O91">
        <f t="shared" ref="O91:O97" si="177">E5</f>
        <v>1665.91</v>
      </c>
      <c r="P91">
        <f>干渠!W277</f>
        <v>1663.99</v>
      </c>
    </row>
    <row r="92" spans="7:29">
      <c r="K92" s="23">
        <f t="shared" si="173"/>
        <v>100</v>
      </c>
      <c r="L92">
        <f t="shared" si="174"/>
        <v>1664.79</v>
      </c>
      <c r="M92">
        <f t="shared" si="175"/>
        <v>1664.39</v>
      </c>
      <c r="N92">
        <f t="shared" si="176"/>
        <v>1663.99</v>
      </c>
      <c r="O92">
        <f t="shared" si="177"/>
        <v>1665.29</v>
      </c>
    </row>
    <row r="93" spans="7:29">
      <c r="G93" s="12" t="s">
        <v>492</v>
      </c>
      <c r="H93" s="12">
        <v>50</v>
      </c>
      <c r="K93" s="23">
        <f t="shared" si="173"/>
        <v>200</v>
      </c>
      <c r="L93">
        <f t="shared" si="174"/>
        <v>1664.19</v>
      </c>
      <c r="M93">
        <f t="shared" si="175"/>
        <v>1663.7900000000002</v>
      </c>
      <c r="N93">
        <f t="shared" si="176"/>
        <v>1663.39</v>
      </c>
      <c r="O93">
        <f t="shared" si="177"/>
        <v>1664.42</v>
      </c>
    </row>
    <row r="94" spans="7:29">
      <c r="G94" s="12" t="s">
        <v>493</v>
      </c>
      <c r="H94" s="12">
        <v>800</v>
      </c>
      <c r="K94" s="23">
        <f t="shared" si="173"/>
        <v>300</v>
      </c>
      <c r="L94">
        <f t="shared" si="174"/>
        <v>1663.59</v>
      </c>
      <c r="M94">
        <f t="shared" si="175"/>
        <v>1663.19</v>
      </c>
      <c r="N94">
        <f t="shared" si="176"/>
        <v>1662.79</v>
      </c>
      <c r="O94">
        <f t="shared" si="177"/>
        <v>1663.52</v>
      </c>
    </row>
    <row r="95" spans="7:29">
      <c r="G95" s="12" t="s">
        <v>494</v>
      </c>
      <c r="H95" s="12">
        <v>1600</v>
      </c>
      <c r="K95" s="23">
        <f t="shared" si="173"/>
        <v>400</v>
      </c>
      <c r="L95">
        <f t="shared" si="174"/>
        <v>1662.99</v>
      </c>
      <c r="M95">
        <f t="shared" si="175"/>
        <v>1662.5900000000001</v>
      </c>
      <c r="N95">
        <f t="shared" si="176"/>
        <v>1662.19</v>
      </c>
      <c r="O95">
        <f t="shared" si="177"/>
        <v>1662.83</v>
      </c>
    </row>
    <row r="96" spans="7:29">
      <c r="G96" s="12" t="s">
        <v>495</v>
      </c>
      <c r="H96" s="12">
        <v>2400</v>
      </c>
      <c r="K96" s="23">
        <f t="shared" si="173"/>
        <v>500</v>
      </c>
      <c r="L96">
        <f t="shared" si="174"/>
        <v>1662.3899999999999</v>
      </c>
      <c r="M96">
        <f t="shared" si="175"/>
        <v>1661.99</v>
      </c>
      <c r="N96">
        <f t="shared" si="176"/>
        <v>1661.59</v>
      </c>
      <c r="O96">
        <f t="shared" si="177"/>
        <v>1662.34</v>
      </c>
    </row>
    <row r="97" spans="7:15">
      <c r="G97" s="12" t="s">
        <v>496</v>
      </c>
      <c r="H97" s="12">
        <v>3200</v>
      </c>
      <c r="K97" s="23">
        <f t="shared" si="173"/>
        <v>600</v>
      </c>
      <c r="L97">
        <f t="shared" si="174"/>
        <v>1661.79</v>
      </c>
      <c r="M97">
        <f t="shared" si="175"/>
        <v>1661.39</v>
      </c>
      <c r="N97">
        <f t="shared" si="176"/>
        <v>1660.99</v>
      </c>
      <c r="O97">
        <f t="shared" si="177"/>
        <v>1661.69</v>
      </c>
    </row>
    <row r="98" spans="7:15">
      <c r="G98" s="12"/>
      <c r="H98" s="12"/>
      <c r="K98" s="23"/>
    </row>
    <row r="99" spans="7:15">
      <c r="G99" s="12" t="s">
        <v>497</v>
      </c>
      <c r="H99" s="12">
        <v>3800</v>
      </c>
      <c r="K99" s="23">
        <f t="shared" ref="K99:K104" si="178">K12</f>
        <v>700</v>
      </c>
      <c r="L99">
        <f t="shared" ref="L99:L104" si="179">N99+Y12</f>
        <v>1661.19</v>
      </c>
      <c r="M99">
        <f t="shared" ref="M99:M104" si="180">AB12</f>
        <v>1660.8100000000002</v>
      </c>
      <c r="N99">
        <f t="shared" ref="N99:N104" si="181">AA12</f>
        <v>1660.39</v>
      </c>
      <c r="O99">
        <f t="shared" ref="O99:O104" si="182">E12</f>
        <v>1660.95</v>
      </c>
    </row>
    <row r="100" spans="7:15">
      <c r="G100" s="12" t="s">
        <v>498</v>
      </c>
      <c r="H100" s="12">
        <v>4400</v>
      </c>
      <c r="K100" s="23">
        <f t="shared" si="178"/>
        <v>800</v>
      </c>
      <c r="L100">
        <f t="shared" si="179"/>
        <v>1660.79</v>
      </c>
      <c r="M100">
        <f t="shared" si="180"/>
        <v>1660.41</v>
      </c>
      <c r="N100">
        <f t="shared" si="181"/>
        <v>1659.99</v>
      </c>
      <c r="O100">
        <f t="shared" si="182"/>
        <v>1660.63</v>
      </c>
    </row>
    <row r="101" spans="7:15">
      <c r="K101" s="23">
        <f t="shared" si="178"/>
        <v>900</v>
      </c>
      <c r="L101">
        <f t="shared" si="179"/>
        <v>1660.3899999999999</v>
      </c>
      <c r="M101">
        <f t="shared" si="180"/>
        <v>1660.01</v>
      </c>
      <c r="N101">
        <f t="shared" si="181"/>
        <v>1659.59</v>
      </c>
      <c r="O101">
        <f t="shared" si="182"/>
        <v>1660.27</v>
      </c>
    </row>
    <row r="102" spans="7:15">
      <c r="K102" s="23">
        <f t="shared" si="178"/>
        <v>1000</v>
      </c>
      <c r="L102">
        <f t="shared" si="179"/>
        <v>1659.99</v>
      </c>
      <c r="M102">
        <f t="shared" si="180"/>
        <v>1659.6100000000001</v>
      </c>
      <c r="N102">
        <f t="shared" si="181"/>
        <v>1659.19</v>
      </c>
      <c r="O102">
        <f t="shared" si="182"/>
        <v>1659.64</v>
      </c>
    </row>
    <row r="103" spans="7:15">
      <c r="K103" s="23">
        <f t="shared" si="178"/>
        <v>1100</v>
      </c>
      <c r="L103">
        <f t="shared" si="179"/>
        <v>1659.59</v>
      </c>
      <c r="M103">
        <f t="shared" si="180"/>
        <v>1659.21</v>
      </c>
      <c r="N103">
        <f t="shared" si="181"/>
        <v>1658.79</v>
      </c>
      <c r="O103">
        <f t="shared" si="182"/>
        <v>1659.31</v>
      </c>
    </row>
    <row r="104" spans="7:15">
      <c r="K104" s="23">
        <f t="shared" si="178"/>
        <v>1200</v>
      </c>
      <c r="L104">
        <f t="shared" si="179"/>
        <v>1659.19</v>
      </c>
      <c r="M104">
        <f t="shared" si="180"/>
        <v>1658.8100000000002</v>
      </c>
      <c r="N104">
        <f t="shared" si="181"/>
        <v>1658.39</v>
      </c>
      <c r="O104">
        <f t="shared" si="182"/>
        <v>1659.01</v>
      </c>
    </row>
    <row r="105" spans="7:15">
      <c r="K105" s="23"/>
    </row>
    <row r="106" spans="7:15">
      <c r="K106" s="23">
        <f t="shared" ref="K106:K111" si="183">K18</f>
        <v>1300</v>
      </c>
      <c r="L106">
        <f t="shared" ref="L106:L111" si="184">N106+Y18</f>
        <v>1658.79</v>
      </c>
      <c r="M106">
        <f t="shared" ref="M106:M111" si="185">AB18</f>
        <v>1658.41</v>
      </c>
      <c r="N106">
        <f t="shared" ref="N106:N111" si="186">AA18</f>
        <v>1657.99</v>
      </c>
      <c r="O106">
        <f t="shared" ref="O106:O111" si="187">E18</f>
        <v>1658.6</v>
      </c>
    </row>
    <row r="107" spans="7:15">
      <c r="K107" s="23">
        <f t="shared" si="183"/>
        <v>1400</v>
      </c>
      <c r="L107">
        <f t="shared" si="184"/>
        <v>1658.3899999999999</v>
      </c>
      <c r="M107">
        <f t="shared" si="185"/>
        <v>1658.01</v>
      </c>
      <c r="N107">
        <f t="shared" si="186"/>
        <v>1657.59</v>
      </c>
      <c r="O107">
        <f t="shared" si="187"/>
        <v>1657.98</v>
      </c>
    </row>
    <row r="108" spans="7:15">
      <c r="K108" s="23">
        <f t="shared" si="183"/>
        <v>1500</v>
      </c>
      <c r="L108">
        <f t="shared" si="184"/>
        <v>1657.99</v>
      </c>
      <c r="M108">
        <f t="shared" si="185"/>
        <v>1657.6100000000001</v>
      </c>
      <c r="N108">
        <f t="shared" si="186"/>
        <v>1657.19</v>
      </c>
      <c r="O108">
        <f t="shared" si="187"/>
        <v>1657.62</v>
      </c>
    </row>
    <row r="109" spans="7:15">
      <c r="K109" s="23">
        <f t="shared" si="183"/>
        <v>1600</v>
      </c>
      <c r="L109">
        <f t="shared" si="184"/>
        <v>1657.59</v>
      </c>
      <c r="M109">
        <f t="shared" si="185"/>
        <v>1657.21</v>
      </c>
      <c r="N109">
        <f t="shared" si="186"/>
        <v>1656.79</v>
      </c>
      <c r="O109">
        <f t="shared" si="187"/>
        <v>1657.32</v>
      </c>
    </row>
    <row r="110" spans="7:15">
      <c r="K110" s="23">
        <f t="shared" si="183"/>
        <v>1700</v>
      </c>
      <c r="L110">
        <f t="shared" si="184"/>
        <v>1657.19</v>
      </c>
      <c r="M110">
        <f t="shared" si="185"/>
        <v>1656.8100000000002</v>
      </c>
      <c r="N110">
        <f t="shared" si="186"/>
        <v>1656.39</v>
      </c>
      <c r="O110">
        <f t="shared" si="187"/>
        <v>1657.06</v>
      </c>
    </row>
    <row r="111" spans="7:15">
      <c r="K111" s="23">
        <f t="shared" si="183"/>
        <v>1800</v>
      </c>
      <c r="L111">
        <f t="shared" si="184"/>
        <v>1656.79</v>
      </c>
      <c r="M111">
        <f t="shared" si="185"/>
        <v>1656.41</v>
      </c>
      <c r="N111">
        <f t="shared" si="186"/>
        <v>1655.99</v>
      </c>
      <c r="O111">
        <f t="shared" si="187"/>
        <v>1656.68</v>
      </c>
    </row>
    <row r="112" spans="7:15">
      <c r="K112" s="23"/>
    </row>
    <row r="113" spans="11:15">
      <c r="K113" s="23">
        <f t="shared" ref="K113:K118" si="188">K24</f>
        <v>1900</v>
      </c>
      <c r="L113">
        <f t="shared" ref="L113:L118" si="189">N113+Y24</f>
        <v>1656.3899999999999</v>
      </c>
      <c r="M113">
        <f t="shared" ref="M113:M118" si="190">AB24</f>
        <v>1656.01</v>
      </c>
      <c r="N113">
        <f t="shared" ref="N113:N118" si="191">AA24</f>
        <v>1655.59</v>
      </c>
      <c r="O113">
        <f t="shared" ref="O113:O118" si="192">E24</f>
        <v>1656.38</v>
      </c>
    </row>
    <row r="114" spans="11:15">
      <c r="K114" s="23">
        <f t="shared" si="188"/>
        <v>2000</v>
      </c>
      <c r="L114">
        <f t="shared" si="189"/>
        <v>1655.99</v>
      </c>
      <c r="M114">
        <f t="shared" si="190"/>
        <v>1655.6100000000001</v>
      </c>
      <c r="N114">
        <f t="shared" si="191"/>
        <v>1655.19</v>
      </c>
      <c r="O114">
        <f t="shared" si="192"/>
        <v>1656.08</v>
      </c>
    </row>
    <row r="115" spans="11:15">
      <c r="K115" s="23">
        <f t="shared" si="188"/>
        <v>2100</v>
      </c>
      <c r="L115">
        <f t="shared" si="189"/>
        <v>1655.59</v>
      </c>
      <c r="M115">
        <f t="shared" si="190"/>
        <v>1655.21</v>
      </c>
      <c r="N115">
        <f t="shared" si="191"/>
        <v>1654.79</v>
      </c>
      <c r="O115">
        <f t="shared" si="192"/>
        <v>1655.69</v>
      </c>
    </row>
    <row r="116" spans="11:15">
      <c r="K116" s="23">
        <f t="shared" si="188"/>
        <v>2200</v>
      </c>
      <c r="L116">
        <f t="shared" si="189"/>
        <v>1655.19</v>
      </c>
      <c r="M116">
        <f t="shared" si="190"/>
        <v>1654.8100000000002</v>
      </c>
      <c r="N116">
        <f t="shared" si="191"/>
        <v>1654.39</v>
      </c>
      <c r="O116">
        <f t="shared" si="192"/>
        <v>1655.16</v>
      </c>
    </row>
    <row r="117" spans="11:15">
      <c r="K117" s="23">
        <f t="shared" si="188"/>
        <v>2300</v>
      </c>
      <c r="L117">
        <f t="shared" si="189"/>
        <v>1654.79</v>
      </c>
      <c r="M117">
        <f t="shared" si="190"/>
        <v>1654.41</v>
      </c>
      <c r="N117">
        <f t="shared" si="191"/>
        <v>1653.99</v>
      </c>
      <c r="O117">
        <f t="shared" si="192"/>
        <v>1654.85</v>
      </c>
    </row>
    <row r="118" spans="11:15">
      <c r="K118" s="23">
        <f t="shared" si="188"/>
        <v>2400</v>
      </c>
      <c r="L118">
        <f t="shared" si="189"/>
        <v>1654.3899999999999</v>
      </c>
      <c r="M118">
        <f t="shared" si="190"/>
        <v>1654.01</v>
      </c>
      <c r="N118">
        <f t="shared" si="191"/>
        <v>1653.59</v>
      </c>
      <c r="O118">
        <f t="shared" si="192"/>
        <v>1654.62</v>
      </c>
    </row>
    <row r="119" spans="11:15">
      <c r="K119" s="23"/>
    </row>
    <row r="120" spans="11:15">
      <c r="K120" s="23">
        <f t="shared" ref="K120:K125" si="193">K30</f>
        <v>2500</v>
      </c>
      <c r="L120">
        <f t="shared" ref="L120:L125" si="194">N120+Y30</f>
        <v>1653.99</v>
      </c>
      <c r="M120">
        <f t="shared" ref="M120:M125" si="195">AB30</f>
        <v>1653.6100000000001</v>
      </c>
      <c r="N120">
        <f t="shared" ref="N120:N125" si="196">AA30</f>
        <v>1653.19</v>
      </c>
      <c r="O120">
        <f t="shared" ref="O120:O125" si="197">E30</f>
        <v>1654.27</v>
      </c>
    </row>
    <row r="121" spans="11:15">
      <c r="K121" s="23">
        <f t="shared" si="193"/>
        <v>2600</v>
      </c>
      <c r="L121">
        <f t="shared" si="194"/>
        <v>1653.59</v>
      </c>
      <c r="M121">
        <f t="shared" si="195"/>
        <v>1653.21</v>
      </c>
      <c r="N121">
        <f t="shared" si="196"/>
        <v>1652.79</v>
      </c>
      <c r="O121">
        <f t="shared" si="197"/>
        <v>1653.91</v>
      </c>
    </row>
    <row r="122" spans="11:15">
      <c r="K122" s="23">
        <f t="shared" si="193"/>
        <v>2700</v>
      </c>
      <c r="L122">
        <f t="shared" si="194"/>
        <v>1653.19</v>
      </c>
      <c r="M122">
        <f t="shared" si="195"/>
        <v>1652.8100000000002</v>
      </c>
      <c r="N122">
        <f t="shared" si="196"/>
        <v>1652.39</v>
      </c>
      <c r="O122">
        <f t="shared" si="197"/>
        <v>1653.54</v>
      </c>
    </row>
    <row r="123" spans="11:15">
      <c r="K123" s="23">
        <f t="shared" si="193"/>
        <v>2800</v>
      </c>
      <c r="L123">
        <f t="shared" si="194"/>
        <v>1652.79</v>
      </c>
      <c r="M123">
        <f t="shared" si="195"/>
        <v>1652.41</v>
      </c>
      <c r="N123">
        <f t="shared" si="196"/>
        <v>1651.99</v>
      </c>
      <c r="O123">
        <f t="shared" si="197"/>
        <v>1653.09</v>
      </c>
    </row>
    <row r="124" spans="11:15">
      <c r="K124" s="23">
        <f t="shared" si="193"/>
        <v>2900</v>
      </c>
      <c r="L124">
        <f t="shared" si="194"/>
        <v>1652.3899999999999</v>
      </c>
      <c r="M124">
        <f t="shared" si="195"/>
        <v>1652.01</v>
      </c>
      <c r="N124">
        <f t="shared" si="196"/>
        <v>1651.59</v>
      </c>
      <c r="O124">
        <f t="shared" si="197"/>
        <v>1652.59</v>
      </c>
    </row>
    <row r="125" spans="11:15">
      <c r="K125" s="23">
        <f t="shared" si="193"/>
        <v>3000</v>
      </c>
      <c r="L125">
        <f t="shared" si="194"/>
        <v>1651.99</v>
      </c>
      <c r="M125">
        <f t="shared" si="195"/>
        <v>1651.6100000000001</v>
      </c>
      <c r="N125">
        <f t="shared" si="196"/>
        <v>1651.19</v>
      </c>
      <c r="O125">
        <f t="shared" si="197"/>
        <v>1651.71</v>
      </c>
    </row>
    <row r="126" spans="11:15">
      <c r="K126" s="23"/>
    </row>
    <row r="127" spans="11:15">
      <c r="K127" s="23">
        <f t="shared" ref="K127:K132" si="198">K36</f>
        <v>3100</v>
      </c>
      <c r="L127">
        <f t="shared" ref="L127:L132" si="199">N127+Y36</f>
        <v>1651.8899999999999</v>
      </c>
      <c r="M127">
        <f t="shared" ref="M127:M132" si="200">AB36</f>
        <v>1651.51</v>
      </c>
      <c r="N127">
        <f t="shared" ref="N127:N132" si="201">AA36</f>
        <v>1651.09</v>
      </c>
      <c r="O127">
        <f t="shared" ref="O127:O132" si="202">E36</f>
        <v>1651.35</v>
      </c>
    </row>
    <row r="128" spans="11:15">
      <c r="K128" s="23">
        <f t="shared" si="198"/>
        <v>3200</v>
      </c>
      <c r="L128">
        <f t="shared" si="199"/>
        <v>1651.49</v>
      </c>
      <c r="M128">
        <f t="shared" si="200"/>
        <v>1651.1100000000001</v>
      </c>
      <c r="N128">
        <f t="shared" si="201"/>
        <v>1650.69</v>
      </c>
      <c r="O128">
        <f t="shared" si="202"/>
        <v>1650.96</v>
      </c>
    </row>
    <row r="129" spans="11:15">
      <c r="K129" s="23">
        <f t="shared" si="198"/>
        <v>3300</v>
      </c>
      <c r="L129">
        <f t="shared" si="199"/>
        <v>1650.8899999999999</v>
      </c>
      <c r="M129">
        <f t="shared" si="200"/>
        <v>1650.59</v>
      </c>
      <c r="N129">
        <f t="shared" si="201"/>
        <v>1650.29</v>
      </c>
      <c r="O129">
        <f t="shared" si="202"/>
        <v>1650.32</v>
      </c>
    </row>
    <row r="130" spans="11:15">
      <c r="K130" s="23">
        <f t="shared" si="198"/>
        <v>3400</v>
      </c>
      <c r="L130">
        <f t="shared" si="199"/>
        <v>1650.49</v>
      </c>
      <c r="M130">
        <f t="shared" si="200"/>
        <v>1650.19</v>
      </c>
      <c r="N130">
        <f t="shared" si="201"/>
        <v>1649.89</v>
      </c>
      <c r="O130">
        <f t="shared" si="202"/>
        <v>1649.87</v>
      </c>
    </row>
    <row r="131" spans="11:15">
      <c r="K131" s="23">
        <f t="shared" si="198"/>
        <v>3500</v>
      </c>
      <c r="L131">
        <f t="shared" si="199"/>
        <v>1650.09</v>
      </c>
      <c r="M131">
        <f t="shared" si="200"/>
        <v>1649.79</v>
      </c>
      <c r="N131">
        <f t="shared" si="201"/>
        <v>1649.49</v>
      </c>
      <c r="O131">
        <f t="shared" si="202"/>
        <v>1649.66</v>
      </c>
    </row>
    <row r="132" spans="11:15">
      <c r="K132" s="23">
        <f t="shared" si="198"/>
        <v>3600</v>
      </c>
      <c r="L132">
        <f t="shared" si="199"/>
        <v>1649.6899999999998</v>
      </c>
      <c r="M132">
        <f t="shared" si="200"/>
        <v>1649.3899999999999</v>
      </c>
      <c r="N132">
        <f t="shared" si="201"/>
        <v>1649.09</v>
      </c>
      <c r="O132">
        <f t="shared" si="202"/>
        <v>1649.3</v>
      </c>
    </row>
    <row r="133" spans="11:15">
      <c r="K133" s="23"/>
    </row>
    <row r="134" spans="11:15">
      <c r="K134" s="23">
        <f t="shared" ref="K134:K139" si="203">K42</f>
        <v>3700</v>
      </c>
      <c r="L134">
        <f t="shared" ref="L134:L139" si="204">N134+Y42</f>
        <v>1649.29</v>
      </c>
      <c r="M134">
        <f t="shared" ref="M134:M139" si="205">AB42</f>
        <v>1649.02</v>
      </c>
      <c r="N134">
        <f t="shared" ref="N134:N139" si="206">AA42</f>
        <v>1648.69</v>
      </c>
      <c r="O134">
        <f t="shared" ref="O134:O139" si="207">E42</f>
        <v>1649.2</v>
      </c>
    </row>
    <row r="135" spans="11:15">
      <c r="K135" s="23">
        <f t="shared" si="203"/>
        <v>3800</v>
      </c>
      <c r="L135">
        <f t="shared" si="204"/>
        <v>1649.09</v>
      </c>
      <c r="M135">
        <f t="shared" si="205"/>
        <v>1648.82</v>
      </c>
      <c r="N135">
        <f t="shared" si="206"/>
        <v>1648.49</v>
      </c>
      <c r="O135">
        <f t="shared" si="207"/>
        <v>1649.07</v>
      </c>
    </row>
    <row r="136" spans="11:15">
      <c r="K136" s="23">
        <f t="shared" si="203"/>
        <v>3900</v>
      </c>
      <c r="L136">
        <f t="shared" si="204"/>
        <v>1648.8899999999999</v>
      </c>
      <c r="M136">
        <f t="shared" si="205"/>
        <v>1648.62</v>
      </c>
      <c r="N136">
        <f t="shared" si="206"/>
        <v>1648.29</v>
      </c>
      <c r="O136">
        <f t="shared" si="207"/>
        <v>1648.68</v>
      </c>
    </row>
    <row r="137" spans="11:15">
      <c r="K137" s="23">
        <f t="shared" si="203"/>
        <v>4000</v>
      </c>
      <c r="L137">
        <f t="shared" si="204"/>
        <v>1648.6899999999998</v>
      </c>
      <c r="M137">
        <f t="shared" si="205"/>
        <v>1648.4199999999998</v>
      </c>
      <c r="N137">
        <f t="shared" si="206"/>
        <v>1648.09</v>
      </c>
      <c r="O137">
        <f t="shared" si="207"/>
        <v>1648.89</v>
      </c>
    </row>
    <row r="138" spans="11:15">
      <c r="K138" s="23">
        <f t="shared" si="203"/>
        <v>4100</v>
      </c>
      <c r="L138">
        <f t="shared" si="204"/>
        <v>1648.49</v>
      </c>
      <c r="M138">
        <f t="shared" si="205"/>
        <v>1648.22</v>
      </c>
      <c r="N138">
        <f t="shared" si="206"/>
        <v>1647.89</v>
      </c>
      <c r="O138">
        <f t="shared" si="207"/>
        <v>1648.47</v>
      </c>
    </row>
    <row r="139" spans="11:15">
      <c r="K139" s="23">
        <f t="shared" si="203"/>
        <v>4200</v>
      </c>
      <c r="L139">
        <f t="shared" si="204"/>
        <v>1648.29</v>
      </c>
      <c r="M139">
        <f t="shared" si="205"/>
        <v>1648.02</v>
      </c>
      <c r="N139">
        <f t="shared" si="206"/>
        <v>1647.69</v>
      </c>
      <c r="O139">
        <f t="shared" si="207"/>
        <v>1648.22</v>
      </c>
    </row>
    <row r="140" spans="11:15">
      <c r="K140" s="23"/>
    </row>
    <row r="141" spans="11:15">
      <c r="K141" s="23">
        <f t="shared" ref="K141:K147" si="208">K48</f>
        <v>4300</v>
      </c>
      <c r="L141">
        <f t="shared" ref="L141:L147" si="209">N141+Y48</f>
        <v>1648.09</v>
      </c>
      <c r="M141">
        <f t="shared" ref="M141:M147" si="210">AB48</f>
        <v>1647.82</v>
      </c>
      <c r="N141">
        <f t="shared" ref="N141:N147" si="211">AA48</f>
        <v>1647.49</v>
      </c>
      <c r="O141">
        <f t="shared" ref="O141:O147" si="212">E48</f>
        <v>1647.73</v>
      </c>
    </row>
    <row r="142" spans="11:15">
      <c r="K142" s="23">
        <f t="shared" si="208"/>
        <v>4400</v>
      </c>
      <c r="L142">
        <f t="shared" si="209"/>
        <v>1647.8899999999999</v>
      </c>
      <c r="M142">
        <f t="shared" si="210"/>
        <v>1647.62</v>
      </c>
      <c r="N142">
        <f t="shared" si="211"/>
        <v>1647.29</v>
      </c>
      <c r="O142">
        <f t="shared" si="212"/>
        <v>1647.56</v>
      </c>
    </row>
    <row r="143" spans="11:15">
      <c r="K143" s="23">
        <f t="shared" si="208"/>
        <v>4500</v>
      </c>
      <c r="L143">
        <f t="shared" si="209"/>
        <v>1647.6899999999998</v>
      </c>
      <c r="M143">
        <f t="shared" si="210"/>
        <v>1647.4199999999998</v>
      </c>
      <c r="N143">
        <f t="shared" si="211"/>
        <v>1647.09</v>
      </c>
      <c r="O143">
        <f t="shared" si="212"/>
        <v>1647.82</v>
      </c>
    </row>
    <row r="144" spans="11:15">
      <c r="K144" s="23">
        <f t="shared" si="208"/>
        <v>4600</v>
      </c>
      <c r="L144">
        <f t="shared" si="209"/>
        <v>1647.49</v>
      </c>
      <c r="M144">
        <f t="shared" si="210"/>
        <v>1647.22</v>
      </c>
      <c r="N144">
        <f t="shared" si="211"/>
        <v>1646.89</v>
      </c>
      <c r="O144">
        <f t="shared" si="212"/>
        <v>1647.06</v>
      </c>
    </row>
    <row r="145" spans="11:15">
      <c r="K145" s="23">
        <f t="shared" si="208"/>
        <v>4700</v>
      </c>
      <c r="L145">
        <f t="shared" si="209"/>
        <v>1647.29</v>
      </c>
      <c r="M145">
        <f t="shared" si="210"/>
        <v>1647.02</v>
      </c>
      <c r="N145">
        <f t="shared" si="211"/>
        <v>1646.69</v>
      </c>
      <c r="O145">
        <f t="shared" si="212"/>
        <v>1646.8</v>
      </c>
    </row>
    <row r="146" spans="11:15">
      <c r="K146" s="23">
        <f t="shared" si="208"/>
        <v>4800</v>
      </c>
      <c r="L146">
        <f t="shared" si="209"/>
        <v>1647.09</v>
      </c>
      <c r="M146">
        <f t="shared" si="210"/>
        <v>1646.82</v>
      </c>
      <c r="N146">
        <f t="shared" si="211"/>
        <v>1646.49</v>
      </c>
      <c r="O146">
        <f t="shared" si="212"/>
        <v>1646.74</v>
      </c>
    </row>
    <row r="147" spans="11:15">
      <c r="K147" s="23">
        <f t="shared" si="208"/>
        <v>4900</v>
      </c>
      <c r="L147">
        <f t="shared" si="209"/>
        <v>1646.8899999999999</v>
      </c>
      <c r="M147">
        <f t="shared" si="210"/>
        <v>1646.62</v>
      </c>
      <c r="N147">
        <f t="shared" si="211"/>
        <v>1646.29</v>
      </c>
      <c r="O147">
        <f t="shared" si="212"/>
        <v>1646.42</v>
      </c>
    </row>
    <row r="148" spans="11:15">
      <c r="K148" s="23"/>
    </row>
    <row r="149" spans="11:15">
      <c r="K149" s="23"/>
    </row>
    <row r="150" spans="11:15">
      <c r="K150" s="23"/>
    </row>
    <row r="151" spans="11:15">
      <c r="K151" s="23"/>
    </row>
    <row r="152" spans="11:15">
      <c r="K152" s="23"/>
    </row>
    <row r="153" spans="11:15">
      <c r="K153" s="23"/>
    </row>
    <row r="154" spans="11:15">
      <c r="K154" s="23"/>
    </row>
    <row r="155" spans="11:15">
      <c r="K155" s="23"/>
    </row>
    <row r="156" spans="11:15">
      <c r="K156" s="23"/>
    </row>
    <row r="157" spans="11:15">
      <c r="K157" s="23"/>
    </row>
    <row r="158" spans="11:15">
      <c r="K158" s="23"/>
    </row>
    <row r="159" spans="11:15">
      <c r="K159" s="23"/>
    </row>
    <row r="160" spans="11:15">
      <c r="K160" s="23"/>
    </row>
    <row r="161" spans="11:11">
      <c r="K161" s="23"/>
    </row>
    <row r="162" spans="11:11">
      <c r="K162" s="23"/>
    </row>
    <row r="163" spans="11:11">
      <c r="K163" s="23"/>
    </row>
    <row r="164" spans="11:11">
      <c r="K164" s="23"/>
    </row>
    <row r="165" spans="11:11">
      <c r="K165" s="23"/>
    </row>
    <row r="166" spans="11:11">
      <c r="K166" s="23"/>
    </row>
    <row r="167" spans="11:11">
      <c r="K167" s="23"/>
    </row>
    <row r="168" spans="11:11">
      <c r="K168" s="23"/>
    </row>
    <row r="169" spans="11:11">
      <c r="K169" s="23"/>
    </row>
    <row r="170" spans="11:11">
      <c r="K170" s="23"/>
    </row>
    <row r="171" spans="11:11">
      <c r="K171" s="23"/>
    </row>
    <row r="172" spans="11:11">
      <c r="K172" s="23"/>
    </row>
    <row r="173" spans="11:11">
      <c r="K173" s="23"/>
    </row>
    <row r="174" spans="11:11">
      <c r="K174" s="23"/>
    </row>
    <row r="175" spans="11:11">
      <c r="K175" s="23"/>
    </row>
    <row r="176" spans="11:11">
      <c r="K176" s="23"/>
    </row>
    <row r="177" spans="11:11">
      <c r="K177" s="23"/>
    </row>
    <row r="178" spans="11:11">
      <c r="K178" s="23"/>
    </row>
    <row r="179" spans="11:11">
      <c r="K179" s="23"/>
    </row>
    <row r="180" spans="11:11">
      <c r="K180" s="23"/>
    </row>
    <row r="181" spans="11:11">
      <c r="K181" s="23"/>
    </row>
    <row r="182" spans="11:11">
      <c r="K182" s="23"/>
    </row>
    <row r="183" spans="11:11">
      <c r="K183" s="23"/>
    </row>
    <row r="184" spans="11:11">
      <c r="K184" s="23"/>
    </row>
    <row r="185" spans="11:11">
      <c r="K185" s="23"/>
    </row>
    <row r="186" spans="11:11">
      <c r="K186" s="23"/>
    </row>
    <row r="187" spans="11:11">
      <c r="K187" s="23"/>
    </row>
    <row r="188" spans="11:11">
      <c r="K188" s="23"/>
    </row>
    <row r="189" spans="11:11">
      <c r="K189" s="23"/>
    </row>
    <row r="190" spans="11:11">
      <c r="K190" s="23"/>
    </row>
    <row r="191" spans="11:11">
      <c r="K191" s="23"/>
    </row>
    <row r="192" spans="11:11">
      <c r="K192" s="23"/>
    </row>
    <row r="193" spans="11:11">
      <c r="K193" s="23"/>
    </row>
    <row r="194" spans="11:11">
      <c r="K194" s="23"/>
    </row>
    <row r="195" spans="11:11">
      <c r="K195" s="23"/>
    </row>
    <row r="196" spans="11:11">
      <c r="K196" s="23"/>
    </row>
    <row r="197" spans="11:11">
      <c r="K197" s="23"/>
    </row>
    <row r="198" spans="11:11">
      <c r="K198" s="23"/>
    </row>
    <row r="199" spans="11:11">
      <c r="K199" s="23"/>
    </row>
    <row r="200" spans="11:11">
      <c r="K200" s="23"/>
    </row>
    <row r="201" spans="11:11">
      <c r="K201" s="23"/>
    </row>
    <row r="202" spans="11:11">
      <c r="K202" s="23"/>
    </row>
    <row r="203" spans="11:11">
      <c r="K203" s="23"/>
    </row>
    <row r="204" spans="11:11">
      <c r="K204" s="23"/>
    </row>
    <row r="205" spans="11:11">
      <c r="K205" s="23"/>
    </row>
    <row r="206" spans="11:11">
      <c r="K206" s="23"/>
    </row>
    <row r="207" spans="11:11">
      <c r="K207" s="23"/>
    </row>
    <row r="208" spans="11:11">
      <c r="K208" s="23"/>
    </row>
    <row r="209" spans="11:11">
      <c r="K209" s="23"/>
    </row>
    <row r="210" spans="11:11">
      <c r="K210" s="23"/>
    </row>
    <row r="211" spans="11:11">
      <c r="K211" s="23"/>
    </row>
    <row r="212" spans="11:11">
      <c r="K212" s="23"/>
    </row>
    <row r="213" spans="11:11">
      <c r="K213" s="23"/>
    </row>
    <row r="214" spans="11:11">
      <c r="K214" s="23"/>
    </row>
    <row r="215" spans="11:11">
      <c r="K215" s="23"/>
    </row>
    <row r="216" spans="11:11">
      <c r="K216" s="23"/>
    </row>
    <row r="217" spans="11:11">
      <c r="K217" s="23"/>
    </row>
    <row r="218" spans="11:11">
      <c r="K218" s="23"/>
    </row>
    <row r="219" spans="11:11">
      <c r="K219" s="23"/>
    </row>
    <row r="220" spans="11:11">
      <c r="K220" s="23"/>
    </row>
    <row r="221" spans="11:11">
      <c r="K221" s="23"/>
    </row>
    <row r="222" spans="11:11">
      <c r="K222" s="23"/>
    </row>
    <row r="223" spans="11:11">
      <c r="K223" s="23"/>
    </row>
    <row r="224" spans="11:11">
      <c r="K224" s="23"/>
    </row>
  </sheetData>
  <mergeCells count="16">
    <mergeCell ref="J1:J2"/>
    <mergeCell ref="AC1:AC2"/>
    <mergeCell ref="Z1:Z2"/>
    <mergeCell ref="AA1:AA2"/>
    <mergeCell ref="AB1:AB2"/>
    <mergeCell ref="K1:K2"/>
    <mergeCell ref="L1:M1"/>
    <mergeCell ref="N1:O1"/>
    <mergeCell ref="P1:Q1"/>
    <mergeCell ref="W57:X57"/>
    <mergeCell ref="Y57:Z57"/>
    <mergeCell ref="K57:K58"/>
    <mergeCell ref="L57:M57"/>
    <mergeCell ref="N57:O57"/>
    <mergeCell ref="P57:Q57"/>
    <mergeCell ref="U57:V5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C171"/>
  <sheetViews>
    <sheetView topLeftCell="F130" workbookViewId="0">
      <selection activeCell="N137" sqref="N137"/>
    </sheetView>
  </sheetViews>
  <sheetFormatPr defaultRowHeight="14.4"/>
  <cols>
    <col min="10" max="10" width="10.21875" bestFit="1" customWidth="1"/>
    <col min="13" max="13" width="9.44140625" bestFit="1" customWidth="1"/>
  </cols>
  <sheetData>
    <row r="1" spans="2:29">
      <c r="J1" s="43" t="s">
        <v>359</v>
      </c>
      <c r="K1" s="43" t="s">
        <v>336</v>
      </c>
      <c r="L1" s="43" t="s">
        <v>337</v>
      </c>
      <c r="M1" s="43"/>
      <c r="N1" s="43" t="s">
        <v>338</v>
      </c>
      <c r="O1" s="43"/>
      <c r="P1" s="43" t="s">
        <v>339</v>
      </c>
      <c r="Q1" s="43"/>
      <c r="R1" s="9" t="s">
        <v>340</v>
      </c>
      <c r="S1" s="9" t="s">
        <v>289</v>
      </c>
      <c r="T1" s="9"/>
      <c r="U1" s="9" t="s">
        <v>438</v>
      </c>
      <c r="V1" s="11"/>
      <c r="W1" s="11"/>
      <c r="X1" s="9" t="s">
        <v>343</v>
      </c>
      <c r="Y1" s="9" t="s">
        <v>344</v>
      </c>
      <c r="Z1" s="40" t="s">
        <v>395</v>
      </c>
      <c r="AA1" s="40" t="s">
        <v>346</v>
      </c>
      <c r="AB1" s="43" t="s">
        <v>347</v>
      </c>
      <c r="AC1" s="43" t="s">
        <v>359</v>
      </c>
    </row>
    <row r="2" spans="2:29" ht="15.6">
      <c r="J2" s="43"/>
      <c r="K2" s="43"/>
      <c r="L2" s="9" t="s">
        <v>349</v>
      </c>
      <c r="M2" s="9" t="s">
        <v>348</v>
      </c>
      <c r="N2" s="9" t="s">
        <v>351</v>
      </c>
      <c r="O2" s="9" t="s">
        <v>352</v>
      </c>
      <c r="P2" s="9" t="s">
        <v>353</v>
      </c>
      <c r="Q2" s="9" t="s">
        <v>354</v>
      </c>
      <c r="R2" s="9" t="s">
        <v>309</v>
      </c>
      <c r="S2" s="9" t="s">
        <v>308</v>
      </c>
      <c r="T2" s="9"/>
      <c r="U2" s="9" t="s">
        <v>306</v>
      </c>
      <c r="V2" s="11" t="s">
        <v>368</v>
      </c>
      <c r="W2" s="11" t="s">
        <v>366</v>
      </c>
      <c r="X2" s="9" t="s">
        <v>355</v>
      </c>
      <c r="Y2" s="9" t="s">
        <v>310</v>
      </c>
      <c r="Z2" s="41"/>
      <c r="AA2" s="41"/>
      <c r="AB2" s="43"/>
      <c r="AC2" s="43"/>
    </row>
    <row r="3" spans="2:29" ht="16.2">
      <c r="B3" t="s">
        <v>0</v>
      </c>
      <c r="D3" t="s">
        <v>1</v>
      </c>
      <c r="F3" t="s">
        <v>290</v>
      </c>
      <c r="J3" s="9"/>
      <c r="K3" s="9" t="s">
        <v>356</v>
      </c>
      <c r="L3" s="9" t="s">
        <v>358</v>
      </c>
      <c r="M3" s="9" t="s">
        <v>358</v>
      </c>
      <c r="N3" s="9" t="s">
        <v>357</v>
      </c>
      <c r="O3" s="9" t="s">
        <v>357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1663.827</v>
      </c>
      <c r="E4">
        <f>ROUND(D4,2)</f>
        <v>1663.83</v>
      </c>
      <c r="F4">
        <v>1669.61</v>
      </c>
      <c r="J4" s="9"/>
      <c r="K4" s="10">
        <f t="shared" ref="K4:K35" si="0">C4</f>
        <v>0</v>
      </c>
      <c r="L4" s="9">
        <f>ROUND(M4*1.3,2)</f>
        <v>0.43</v>
      </c>
      <c r="M4" s="9">
        <f>支渠!M6</f>
        <v>0.33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1663.77</v>
      </c>
      <c r="F5">
        <f>E5-0.8</f>
        <v>1662.97</v>
      </c>
      <c r="G5">
        <f t="shared" ref="G5:G36" si="1">E5-F5</f>
        <v>0.79999999999995453</v>
      </c>
      <c r="H5">
        <v>7.0000000000000001E-3</v>
      </c>
      <c r="J5" s="9"/>
      <c r="K5" s="10">
        <f t="shared" si="0"/>
        <v>10</v>
      </c>
      <c r="L5" s="9">
        <f t="shared" ref="L5:L60" si="2">ROUND(M5*1.3,2)</f>
        <v>0.43</v>
      </c>
      <c r="M5" s="9">
        <f>M4</f>
        <v>0.33</v>
      </c>
      <c r="N5" s="9">
        <f>ROUND(L5/W5,2)</f>
        <v>1.1299999999999999</v>
      </c>
      <c r="O5" s="9">
        <f>ROUND(M5/V5,2)</f>
        <v>1.06</v>
      </c>
      <c r="P5" s="9">
        <f>0.49+0.05</f>
        <v>0.54</v>
      </c>
      <c r="Q5" s="9">
        <f>0.42+0.05</f>
        <v>0.47</v>
      </c>
      <c r="R5" s="9">
        <v>1.4999999999999999E-2</v>
      </c>
      <c r="S5" s="9">
        <f>H5</f>
        <v>7.0000000000000001E-3</v>
      </c>
      <c r="T5" s="9" t="str">
        <f>"1/"&amp;ROUND(1/S5,0)</f>
        <v>1/143</v>
      </c>
      <c r="U5" s="9" t="s">
        <v>502</v>
      </c>
      <c r="V5" s="9">
        <v>0.31</v>
      </c>
      <c r="W5" s="9">
        <v>0.38</v>
      </c>
      <c r="X5" s="9">
        <f t="shared" ref="X5:X33" si="3">Y5-P5</f>
        <v>0.26</v>
      </c>
      <c r="Y5" s="9">
        <v>0.8</v>
      </c>
      <c r="Z5" s="9">
        <f t="shared" ref="Z5:Z36" si="4">E5</f>
        <v>1663.77</v>
      </c>
      <c r="AA5" s="9">
        <f t="shared" ref="AA5:AA36" si="5">F5</f>
        <v>1662.97</v>
      </c>
      <c r="AB5" s="14">
        <f t="shared" ref="AB5:AB36" si="6">AA5+Q5</f>
        <v>1663.44</v>
      </c>
      <c r="AC5" s="9"/>
    </row>
    <row r="6" spans="2:29">
      <c r="B6" t="s">
        <v>9</v>
      </c>
      <c r="C6">
        <v>100</v>
      </c>
      <c r="D6">
        <v>1663.2239999999999</v>
      </c>
      <c r="E6">
        <f t="shared" ref="E6:E53" si="7">ROUND(D6,2)</f>
        <v>1663.22</v>
      </c>
      <c r="F6">
        <f t="shared" ref="F6:F12" si="8">ROUND(F5-(C6-C5)*H5,2)</f>
        <v>1662.34</v>
      </c>
      <c r="G6">
        <f t="shared" si="1"/>
        <v>0.88000000000010914</v>
      </c>
      <c r="H6">
        <v>7.0000000000000001E-3</v>
      </c>
      <c r="I6">
        <v>50</v>
      </c>
      <c r="J6" s="12" t="s">
        <v>507</v>
      </c>
      <c r="K6" s="10">
        <f t="shared" si="0"/>
        <v>100</v>
      </c>
      <c r="L6" s="9">
        <f t="shared" si="2"/>
        <v>0.43</v>
      </c>
      <c r="M6" s="9">
        <f t="shared" ref="M6:M8" si="9">M5</f>
        <v>0.33</v>
      </c>
      <c r="N6" s="9">
        <f t="shared" ref="N6:N8" si="10">ROUND(L6/W6,2)</f>
        <v>1.1299999999999999</v>
      </c>
      <c r="O6" s="9">
        <f t="shared" ref="O6:O8" si="11">ROUND(M6/V6,2)</f>
        <v>1.06</v>
      </c>
      <c r="P6" s="9">
        <f>P5</f>
        <v>0.54</v>
      </c>
      <c r="Q6" s="9">
        <f>Q5</f>
        <v>0.47</v>
      </c>
      <c r="R6" s="9">
        <v>1.4999999999999999E-2</v>
      </c>
      <c r="S6" s="9">
        <f t="shared" ref="S6:S8" si="12">H6</f>
        <v>7.0000000000000001E-3</v>
      </c>
      <c r="T6" s="9" t="str">
        <f t="shared" ref="T6:T8" si="13">"1/"&amp;ROUND(1/S6,0)</f>
        <v>1/143</v>
      </c>
      <c r="U6" s="9" t="str">
        <f>U5</f>
        <v>U80</v>
      </c>
      <c r="V6" s="9">
        <v>0.31</v>
      </c>
      <c r="W6" s="9">
        <v>0.38</v>
      </c>
      <c r="X6" s="9">
        <f t="shared" si="3"/>
        <v>0.26</v>
      </c>
      <c r="Y6" s="9">
        <v>0.8</v>
      </c>
      <c r="Z6" s="9">
        <f t="shared" si="4"/>
        <v>1663.22</v>
      </c>
      <c r="AA6" s="9">
        <f t="shared" si="5"/>
        <v>1662.34</v>
      </c>
      <c r="AB6" s="14">
        <f t="shared" si="6"/>
        <v>1662.81</v>
      </c>
      <c r="AC6" s="9"/>
    </row>
    <row r="7" spans="2:29">
      <c r="B7" t="s">
        <v>11</v>
      </c>
      <c r="C7">
        <v>200</v>
      </c>
      <c r="D7">
        <v>1662.345</v>
      </c>
      <c r="E7">
        <f t="shared" si="7"/>
        <v>1662.35</v>
      </c>
      <c r="F7">
        <f t="shared" si="8"/>
        <v>1661.64</v>
      </c>
      <c r="G7">
        <f t="shared" si="1"/>
        <v>0.70999999999980901</v>
      </c>
      <c r="H7">
        <v>7.0000000000000001E-3</v>
      </c>
      <c r="J7" s="9"/>
      <c r="K7" s="10">
        <f t="shared" si="0"/>
        <v>200</v>
      </c>
      <c r="L7" s="9">
        <f t="shared" si="2"/>
        <v>0.43</v>
      </c>
      <c r="M7" s="9">
        <f t="shared" si="9"/>
        <v>0.33</v>
      </c>
      <c r="N7" s="9">
        <f t="shared" si="10"/>
        <v>1.1299999999999999</v>
      </c>
      <c r="O7" s="9">
        <f t="shared" si="11"/>
        <v>1.06</v>
      </c>
      <c r="P7" s="9">
        <f t="shared" ref="P7:P16" si="14">P6</f>
        <v>0.54</v>
      </c>
      <c r="Q7" s="9">
        <f t="shared" ref="Q7:Q16" si="15">Q6</f>
        <v>0.47</v>
      </c>
      <c r="R7" s="9">
        <v>1.4999999999999999E-2</v>
      </c>
      <c r="S7" s="9">
        <f t="shared" si="12"/>
        <v>7.0000000000000001E-3</v>
      </c>
      <c r="T7" s="9" t="str">
        <f t="shared" si="13"/>
        <v>1/143</v>
      </c>
      <c r="U7" s="9" t="str">
        <f t="shared" ref="U7:U8" si="16">U6</f>
        <v>U80</v>
      </c>
      <c r="V7" s="9">
        <v>0.31</v>
      </c>
      <c r="W7" s="9">
        <v>0.38</v>
      </c>
      <c r="X7" s="9">
        <f t="shared" si="3"/>
        <v>0.26</v>
      </c>
      <c r="Y7" s="9">
        <v>0.8</v>
      </c>
      <c r="Z7" s="9">
        <f t="shared" si="4"/>
        <v>1662.35</v>
      </c>
      <c r="AA7" s="9">
        <f t="shared" si="5"/>
        <v>1661.64</v>
      </c>
      <c r="AB7" s="14">
        <f t="shared" si="6"/>
        <v>1662.1100000000001</v>
      </c>
      <c r="AC7" s="9"/>
    </row>
    <row r="8" spans="2:29">
      <c r="B8" t="s">
        <v>414</v>
      </c>
      <c r="C8">
        <v>300</v>
      </c>
      <c r="D8">
        <v>1661.338</v>
      </c>
      <c r="E8">
        <f t="shared" si="7"/>
        <v>1661.34</v>
      </c>
      <c r="F8">
        <f t="shared" si="8"/>
        <v>1660.94</v>
      </c>
      <c r="G8">
        <f t="shared" si="1"/>
        <v>0.39999999999986358</v>
      </c>
      <c r="H8">
        <v>7.0000000000000001E-3</v>
      </c>
      <c r="J8" s="9"/>
      <c r="K8" s="10">
        <f t="shared" si="0"/>
        <v>300</v>
      </c>
      <c r="L8" s="9">
        <f t="shared" si="2"/>
        <v>0.43</v>
      </c>
      <c r="M8" s="9">
        <f t="shared" si="9"/>
        <v>0.33</v>
      </c>
      <c r="N8" s="9">
        <f t="shared" si="10"/>
        <v>1.1299999999999999</v>
      </c>
      <c r="O8" s="9">
        <f t="shared" si="11"/>
        <v>1.06</v>
      </c>
      <c r="P8" s="9">
        <f t="shared" si="14"/>
        <v>0.54</v>
      </c>
      <c r="Q8" s="9">
        <f t="shared" si="15"/>
        <v>0.47</v>
      </c>
      <c r="R8" s="9">
        <v>1.4999999999999999E-2</v>
      </c>
      <c r="S8" s="9">
        <f t="shared" si="12"/>
        <v>7.0000000000000001E-3</v>
      </c>
      <c r="T8" s="9" t="str">
        <f t="shared" si="13"/>
        <v>1/143</v>
      </c>
      <c r="U8" s="9" t="str">
        <f t="shared" si="16"/>
        <v>U80</v>
      </c>
      <c r="V8" s="9">
        <v>0.31</v>
      </c>
      <c r="W8" s="9">
        <v>0.38</v>
      </c>
      <c r="X8" s="9">
        <f t="shared" si="3"/>
        <v>0.26</v>
      </c>
      <c r="Y8" s="9">
        <v>0.8</v>
      </c>
      <c r="Z8" s="9">
        <f t="shared" si="4"/>
        <v>1661.34</v>
      </c>
      <c r="AA8" s="9">
        <f t="shared" si="5"/>
        <v>1660.94</v>
      </c>
      <c r="AB8" s="14">
        <f t="shared" si="6"/>
        <v>1661.41</v>
      </c>
      <c r="AC8" s="9"/>
    </row>
    <row r="9" spans="2:29">
      <c r="B9" t="s">
        <v>415</v>
      </c>
      <c r="C9">
        <v>400</v>
      </c>
      <c r="D9">
        <v>1660.5119999999999</v>
      </c>
      <c r="E9">
        <f t="shared" si="7"/>
        <v>1660.51</v>
      </c>
      <c r="F9">
        <f t="shared" si="8"/>
        <v>1660.24</v>
      </c>
      <c r="G9">
        <f t="shared" si="1"/>
        <v>0.26999999999998181</v>
      </c>
      <c r="H9">
        <v>7.0000000000000001E-3</v>
      </c>
      <c r="J9" s="9"/>
      <c r="K9" s="10">
        <f t="shared" si="0"/>
        <v>400</v>
      </c>
      <c r="L9" s="9">
        <f t="shared" si="2"/>
        <v>0.43</v>
      </c>
      <c r="M9" s="9">
        <f t="shared" ref="M9" si="17">M8</f>
        <v>0.33</v>
      </c>
      <c r="N9" s="9">
        <f t="shared" ref="N9:N60" si="18">ROUND(L9/W9,2)</f>
        <v>1.1299999999999999</v>
      </c>
      <c r="O9" s="9">
        <f t="shared" ref="O9:O60" si="19">ROUND(M9/V9,2)</f>
        <v>1.06</v>
      </c>
      <c r="P9" s="9">
        <f t="shared" si="14"/>
        <v>0.54</v>
      </c>
      <c r="Q9" s="9">
        <f t="shared" si="15"/>
        <v>0.47</v>
      </c>
      <c r="R9" s="9">
        <v>1.4999999999999999E-2</v>
      </c>
      <c r="S9" s="9">
        <f t="shared" ref="S9:S60" si="20">H9</f>
        <v>7.0000000000000001E-3</v>
      </c>
      <c r="T9" s="9" t="str">
        <f t="shared" ref="T9:T60" si="21">"1/"&amp;ROUND(1/S9,0)</f>
        <v>1/143</v>
      </c>
      <c r="U9" s="9" t="str">
        <f t="shared" ref="U9:U60" si="22">U8</f>
        <v>U80</v>
      </c>
      <c r="V9" s="9">
        <v>0.31</v>
      </c>
      <c r="W9" s="9">
        <v>0.38</v>
      </c>
      <c r="X9" s="9">
        <f t="shared" si="3"/>
        <v>0.26</v>
      </c>
      <c r="Y9" s="9">
        <v>0.8</v>
      </c>
      <c r="Z9" s="9">
        <f t="shared" si="4"/>
        <v>1660.51</v>
      </c>
      <c r="AA9" s="9">
        <f t="shared" si="5"/>
        <v>1660.24</v>
      </c>
      <c r="AB9" s="14">
        <f t="shared" si="6"/>
        <v>1660.71</v>
      </c>
      <c r="AC9" s="9"/>
    </row>
    <row r="10" spans="2:29">
      <c r="B10" t="s">
        <v>15</v>
      </c>
      <c r="C10">
        <v>500</v>
      </c>
      <c r="D10">
        <v>1659.9639999999999</v>
      </c>
      <c r="E10">
        <f t="shared" si="7"/>
        <v>1659.96</v>
      </c>
      <c r="F10">
        <f t="shared" si="8"/>
        <v>1659.54</v>
      </c>
      <c r="G10">
        <f t="shared" si="1"/>
        <v>0.42000000000007276</v>
      </c>
      <c r="H10">
        <v>7.0000000000000001E-3</v>
      </c>
      <c r="J10" s="9"/>
      <c r="K10" s="10">
        <f t="shared" si="0"/>
        <v>500</v>
      </c>
      <c r="L10" s="9">
        <f t="shared" si="2"/>
        <v>0.43</v>
      </c>
      <c r="M10" s="9">
        <f t="shared" ref="M10" si="23">M9</f>
        <v>0.33</v>
      </c>
      <c r="N10" s="9">
        <f t="shared" si="18"/>
        <v>1.1299999999999999</v>
      </c>
      <c r="O10" s="9">
        <f t="shared" si="19"/>
        <v>1.06</v>
      </c>
      <c r="P10" s="9">
        <f t="shared" si="14"/>
        <v>0.54</v>
      </c>
      <c r="Q10" s="9">
        <f t="shared" si="15"/>
        <v>0.47</v>
      </c>
      <c r="R10" s="9">
        <v>1.4999999999999999E-2</v>
      </c>
      <c r="S10" s="9">
        <f t="shared" si="20"/>
        <v>7.0000000000000001E-3</v>
      </c>
      <c r="T10" s="9" t="str">
        <f t="shared" si="21"/>
        <v>1/143</v>
      </c>
      <c r="U10" s="9" t="str">
        <f t="shared" si="22"/>
        <v>U80</v>
      </c>
      <c r="V10" s="9">
        <v>0.31</v>
      </c>
      <c r="W10" s="9">
        <v>0.38</v>
      </c>
      <c r="X10" s="9">
        <f t="shared" si="3"/>
        <v>0.26</v>
      </c>
      <c r="Y10" s="9">
        <v>0.8</v>
      </c>
      <c r="Z10" s="9">
        <f t="shared" si="4"/>
        <v>1659.96</v>
      </c>
      <c r="AA10" s="9">
        <f t="shared" si="5"/>
        <v>1659.54</v>
      </c>
      <c r="AB10" s="14">
        <f t="shared" si="6"/>
        <v>1660.01</v>
      </c>
      <c r="AC10" s="9"/>
    </row>
    <row r="11" spans="2:29">
      <c r="B11" t="s">
        <v>17</v>
      </c>
      <c r="C11">
        <v>600</v>
      </c>
      <c r="D11">
        <v>1659.4059999999999</v>
      </c>
      <c r="E11">
        <f t="shared" si="7"/>
        <v>1659.41</v>
      </c>
      <c r="F11">
        <f t="shared" si="8"/>
        <v>1658.84</v>
      </c>
      <c r="G11">
        <f t="shared" si="1"/>
        <v>0.57000000000016371</v>
      </c>
      <c r="H11">
        <v>7.0000000000000001E-3</v>
      </c>
      <c r="J11" s="9"/>
      <c r="K11" s="10">
        <f t="shared" si="0"/>
        <v>600</v>
      </c>
      <c r="L11" s="9">
        <f t="shared" si="2"/>
        <v>0.43</v>
      </c>
      <c r="M11" s="9">
        <f t="shared" ref="M11" si="24">M10</f>
        <v>0.33</v>
      </c>
      <c r="N11" s="9">
        <f t="shared" si="18"/>
        <v>1.1299999999999999</v>
      </c>
      <c r="O11" s="9">
        <f t="shared" si="19"/>
        <v>1.06</v>
      </c>
      <c r="P11" s="9">
        <f t="shared" si="14"/>
        <v>0.54</v>
      </c>
      <c r="Q11" s="9">
        <f t="shared" si="15"/>
        <v>0.47</v>
      </c>
      <c r="R11" s="9">
        <v>1.4999999999999999E-2</v>
      </c>
      <c r="S11" s="9">
        <f t="shared" si="20"/>
        <v>7.0000000000000001E-3</v>
      </c>
      <c r="T11" s="9" t="str">
        <f t="shared" si="21"/>
        <v>1/143</v>
      </c>
      <c r="U11" s="9" t="str">
        <f t="shared" si="22"/>
        <v>U80</v>
      </c>
      <c r="V11" s="9">
        <v>0.31</v>
      </c>
      <c r="W11" s="9">
        <v>0.38</v>
      </c>
      <c r="X11" s="9">
        <f t="shared" si="3"/>
        <v>0.26</v>
      </c>
      <c r="Y11" s="9">
        <v>0.8</v>
      </c>
      <c r="Z11" s="9">
        <f t="shared" si="4"/>
        <v>1659.41</v>
      </c>
      <c r="AA11" s="9">
        <f t="shared" si="5"/>
        <v>1658.84</v>
      </c>
      <c r="AB11" s="14">
        <f t="shared" si="6"/>
        <v>1659.31</v>
      </c>
      <c r="AC11" s="9"/>
    </row>
    <row r="12" spans="2:29">
      <c r="B12" t="s">
        <v>416</v>
      </c>
      <c r="C12">
        <v>700</v>
      </c>
      <c r="D12">
        <v>1658.1769999999999</v>
      </c>
      <c r="E12">
        <f t="shared" si="7"/>
        <v>1658.18</v>
      </c>
      <c r="F12">
        <f t="shared" si="8"/>
        <v>1658.14</v>
      </c>
      <c r="G12">
        <f t="shared" si="1"/>
        <v>3.999999999996362E-2</v>
      </c>
      <c r="H12">
        <v>7.0000000000000001E-3</v>
      </c>
      <c r="J12" s="9"/>
      <c r="K12" s="10">
        <f t="shared" si="0"/>
        <v>700</v>
      </c>
      <c r="L12" s="9">
        <f t="shared" si="2"/>
        <v>0.43</v>
      </c>
      <c r="M12" s="9">
        <f t="shared" ref="M12" si="25">M11</f>
        <v>0.33</v>
      </c>
      <c r="N12" s="9">
        <f t="shared" si="18"/>
        <v>1.1299999999999999</v>
      </c>
      <c r="O12" s="9">
        <f t="shared" si="19"/>
        <v>1.06</v>
      </c>
      <c r="P12" s="9">
        <f t="shared" si="14"/>
        <v>0.54</v>
      </c>
      <c r="Q12" s="9">
        <f t="shared" si="15"/>
        <v>0.47</v>
      </c>
      <c r="R12" s="9">
        <v>1.4999999999999999E-2</v>
      </c>
      <c r="S12" s="9">
        <f t="shared" si="20"/>
        <v>7.0000000000000001E-3</v>
      </c>
      <c r="T12" s="9" t="str">
        <f t="shared" si="21"/>
        <v>1/143</v>
      </c>
      <c r="U12" s="9" t="str">
        <f t="shared" si="22"/>
        <v>U80</v>
      </c>
      <c r="V12" s="9">
        <v>0.31</v>
      </c>
      <c r="W12" s="9">
        <v>0.38</v>
      </c>
      <c r="X12" s="9">
        <f t="shared" si="3"/>
        <v>0.26</v>
      </c>
      <c r="Y12" s="9">
        <v>0.8</v>
      </c>
      <c r="Z12" s="9">
        <f t="shared" si="4"/>
        <v>1658.18</v>
      </c>
      <c r="AA12" s="9">
        <f t="shared" si="5"/>
        <v>1658.14</v>
      </c>
      <c r="AB12" s="14">
        <f t="shared" si="6"/>
        <v>1658.6100000000001</v>
      </c>
      <c r="AC12" s="9"/>
    </row>
    <row r="13" spans="2:29">
      <c r="C13">
        <v>703</v>
      </c>
      <c r="E13">
        <f>E12</f>
        <v>1658.18</v>
      </c>
      <c r="F13">
        <f>F12-0.9</f>
        <v>1657.24</v>
      </c>
      <c r="G13">
        <f t="shared" si="1"/>
        <v>0.94000000000005457</v>
      </c>
      <c r="H13">
        <v>7.0000000000000001E-3</v>
      </c>
      <c r="J13" s="9"/>
      <c r="K13" s="10">
        <f t="shared" si="0"/>
        <v>703</v>
      </c>
      <c r="L13" s="9">
        <f t="shared" si="2"/>
        <v>0.43</v>
      </c>
      <c r="M13" s="9">
        <f t="shared" ref="M13" si="26">M12</f>
        <v>0.33</v>
      </c>
      <c r="N13" s="9">
        <f t="shared" si="18"/>
        <v>1.1299999999999999</v>
      </c>
      <c r="O13" s="9">
        <f t="shared" si="19"/>
        <v>1.06</v>
      </c>
      <c r="P13" s="9">
        <f t="shared" si="14"/>
        <v>0.54</v>
      </c>
      <c r="Q13" s="9">
        <f t="shared" si="15"/>
        <v>0.47</v>
      </c>
      <c r="R13" s="9">
        <v>1.4999999999999999E-2</v>
      </c>
      <c r="S13" s="9">
        <f t="shared" si="20"/>
        <v>7.0000000000000001E-3</v>
      </c>
      <c r="T13" s="9" t="str">
        <f t="shared" si="21"/>
        <v>1/143</v>
      </c>
      <c r="U13" s="9" t="str">
        <f t="shared" si="22"/>
        <v>U80</v>
      </c>
      <c r="V13" s="9">
        <v>0.31</v>
      </c>
      <c r="W13" s="9">
        <v>0.38</v>
      </c>
      <c r="X13" s="9">
        <f t="shared" si="3"/>
        <v>0.26</v>
      </c>
      <c r="Y13" s="9">
        <v>0.8</v>
      </c>
      <c r="Z13" s="9">
        <f t="shared" si="4"/>
        <v>1658.18</v>
      </c>
      <c r="AA13" s="9">
        <f t="shared" si="5"/>
        <v>1657.24</v>
      </c>
      <c r="AB13" s="14">
        <f t="shared" si="6"/>
        <v>1657.71</v>
      </c>
      <c r="AC13" s="9"/>
    </row>
    <row r="14" spans="2:29">
      <c r="B14" t="s">
        <v>21</v>
      </c>
      <c r="C14">
        <v>800</v>
      </c>
      <c r="D14">
        <v>1657.0429999999999</v>
      </c>
      <c r="E14">
        <f t="shared" si="7"/>
        <v>1657.04</v>
      </c>
      <c r="F14">
        <f t="shared" ref="F14:F60" si="27">ROUND(F13-(C14-C13)*H13,2)</f>
        <v>1656.56</v>
      </c>
      <c r="G14">
        <f t="shared" si="1"/>
        <v>0.48000000000001819</v>
      </c>
      <c r="H14">
        <v>7.0000000000000001E-3</v>
      </c>
      <c r="J14" s="9"/>
      <c r="K14" s="10">
        <f t="shared" si="0"/>
        <v>800</v>
      </c>
      <c r="L14" s="9">
        <f t="shared" si="2"/>
        <v>0.43</v>
      </c>
      <c r="M14" s="9">
        <f t="shared" ref="M14" si="28">M13</f>
        <v>0.33</v>
      </c>
      <c r="N14" s="9">
        <f t="shared" si="18"/>
        <v>1.1299999999999999</v>
      </c>
      <c r="O14" s="9">
        <f t="shared" si="19"/>
        <v>1.06</v>
      </c>
      <c r="P14" s="9">
        <f t="shared" si="14"/>
        <v>0.54</v>
      </c>
      <c r="Q14" s="9">
        <f t="shared" si="15"/>
        <v>0.47</v>
      </c>
      <c r="R14" s="9">
        <v>1.4999999999999999E-2</v>
      </c>
      <c r="S14" s="9">
        <f t="shared" si="20"/>
        <v>7.0000000000000001E-3</v>
      </c>
      <c r="T14" s="9" t="str">
        <f t="shared" si="21"/>
        <v>1/143</v>
      </c>
      <c r="U14" s="9" t="str">
        <f t="shared" si="22"/>
        <v>U80</v>
      </c>
      <c r="V14" s="9">
        <v>0.31</v>
      </c>
      <c r="W14" s="9">
        <v>0.38</v>
      </c>
      <c r="X14" s="9">
        <f t="shared" si="3"/>
        <v>0.26</v>
      </c>
      <c r="Y14" s="9">
        <v>0.8</v>
      </c>
      <c r="Z14" s="9">
        <f t="shared" si="4"/>
        <v>1657.04</v>
      </c>
      <c r="AA14" s="9">
        <f t="shared" si="5"/>
        <v>1656.56</v>
      </c>
      <c r="AB14" s="14">
        <f t="shared" si="6"/>
        <v>1657.03</v>
      </c>
      <c r="AC14" s="9"/>
    </row>
    <row r="15" spans="2:29">
      <c r="B15" t="s">
        <v>417</v>
      </c>
      <c r="C15">
        <v>900</v>
      </c>
      <c r="D15">
        <v>1655.768</v>
      </c>
      <c r="E15">
        <f t="shared" si="7"/>
        <v>1655.77</v>
      </c>
      <c r="F15">
        <f t="shared" si="27"/>
        <v>1655.86</v>
      </c>
      <c r="G15">
        <f t="shared" si="1"/>
        <v>-8.9999999999918145E-2</v>
      </c>
      <c r="H15">
        <v>7.0000000000000001E-3</v>
      </c>
      <c r="J15" s="12" t="s">
        <v>508</v>
      </c>
      <c r="K15" s="10">
        <f t="shared" si="0"/>
        <v>900</v>
      </c>
      <c r="L15" s="9">
        <f t="shared" si="2"/>
        <v>0.43</v>
      </c>
      <c r="M15" s="9">
        <f t="shared" ref="M15" si="29">M14</f>
        <v>0.33</v>
      </c>
      <c r="N15" s="9">
        <f t="shared" si="18"/>
        <v>1.1299999999999999</v>
      </c>
      <c r="O15" s="9">
        <f t="shared" si="19"/>
        <v>1.06</v>
      </c>
      <c r="P15" s="9">
        <f t="shared" si="14"/>
        <v>0.54</v>
      </c>
      <c r="Q15" s="9">
        <f t="shared" si="15"/>
        <v>0.47</v>
      </c>
      <c r="R15" s="9">
        <v>1.4999999999999999E-2</v>
      </c>
      <c r="S15" s="9">
        <f t="shared" si="20"/>
        <v>7.0000000000000001E-3</v>
      </c>
      <c r="T15" s="9" t="str">
        <f t="shared" si="21"/>
        <v>1/143</v>
      </c>
      <c r="U15" s="9" t="str">
        <f t="shared" si="22"/>
        <v>U80</v>
      </c>
      <c r="V15" s="9">
        <v>0.31</v>
      </c>
      <c r="W15" s="9">
        <v>0.38</v>
      </c>
      <c r="X15" s="9">
        <f t="shared" si="3"/>
        <v>0.26</v>
      </c>
      <c r="Y15" s="9">
        <v>0.8</v>
      </c>
      <c r="Z15" s="9">
        <f t="shared" si="4"/>
        <v>1655.77</v>
      </c>
      <c r="AA15" s="9">
        <f t="shared" si="5"/>
        <v>1655.86</v>
      </c>
      <c r="AB15" s="14">
        <f t="shared" si="6"/>
        <v>1656.33</v>
      </c>
      <c r="AC15" s="9"/>
    </row>
    <row r="16" spans="2:29">
      <c r="B16" t="s">
        <v>26</v>
      </c>
      <c r="C16">
        <v>1000</v>
      </c>
      <c r="D16">
        <v>1655.182</v>
      </c>
      <c r="E16">
        <f t="shared" si="7"/>
        <v>1655.18</v>
      </c>
      <c r="F16">
        <f t="shared" si="27"/>
        <v>1655.16</v>
      </c>
      <c r="G16">
        <f t="shared" si="1"/>
        <v>1.999999999998181E-2</v>
      </c>
      <c r="H16">
        <v>7.0000000000000001E-3</v>
      </c>
      <c r="J16" s="9"/>
      <c r="K16" s="10">
        <f t="shared" si="0"/>
        <v>1000</v>
      </c>
      <c r="L16" s="9">
        <f t="shared" si="2"/>
        <v>0.43</v>
      </c>
      <c r="M16" s="9">
        <f t="shared" ref="M16" si="30">M15</f>
        <v>0.33</v>
      </c>
      <c r="N16" s="9">
        <f t="shared" si="18"/>
        <v>1.1299999999999999</v>
      </c>
      <c r="O16" s="9">
        <f t="shared" si="19"/>
        <v>1.06</v>
      </c>
      <c r="P16" s="9">
        <f t="shared" si="14"/>
        <v>0.54</v>
      </c>
      <c r="Q16" s="9">
        <f t="shared" si="15"/>
        <v>0.47</v>
      </c>
      <c r="R16" s="9">
        <v>1.4999999999999999E-2</v>
      </c>
      <c r="S16" s="9">
        <f t="shared" si="20"/>
        <v>7.0000000000000001E-3</v>
      </c>
      <c r="T16" s="9" t="str">
        <f t="shared" si="21"/>
        <v>1/143</v>
      </c>
      <c r="U16" s="9" t="str">
        <f t="shared" si="22"/>
        <v>U80</v>
      </c>
      <c r="V16" s="9">
        <v>0.31</v>
      </c>
      <c r="W16" s="9">
        <v>0.38</v>
      </c>
      <c r="X16" s="9">
        <f t="shared" si="3"/>
        <v>0.26</v>
      </c>
      <c r="Y16" s="9">
        <v>0.8</v>
      </c>
      <c r="Z16" s="9">
        <f t="shared" si="4"/>
        <v>1655.18</v>
      </c>
      <c r="AA16" s="9">
        <f t="shared" si="5"/>
        <v>1655.16</v>
      </c>
      <c r="AB16" s="14">
        <f t="shared" si="6"/>
        <v>1655.63</v>
      </c>
      <c r="AC16" s="9"/>
    </row>
    <row r="17" spans="2:29">
      <c r="B17" t="s">
        <v>28</v>
      </c>
      <c r="C17">
        <v>1100</v>
      </c>
      <c r="D17">
        <v>1654.837</v>
      </c>
      <c r="E17">
        <f t="shared" si="7"/>
        <v>1654.84</v>
      </c>
      <c r="F17">
        <f t="shared" si="27"/>
        <v>1654.46</v>
      </c>
      <c r="G17">
        <f t="shared" si="1"/>
        <v>0.37999999999988177</v>
      </c>
      <c r="H17">
        <v>1E-3</v>
      </c>
      <c r="J17" s="9"/>
      <c r="K17" s="10">
        <f t="shared" si="0"/>
        <v>1100</v>
      </c>
      <c r="L17" s="9">
        <f t="shared" si="2"/>
        <v>0.43</v>
      </c>
      <c r="M17" s="9">
        <f t="shared" ref="M17" si="31">M16</f>
        <v>0.33</v>
      </c>
      <c r="N17" s="9">
        <f t="shared" si="18"/>
        <v>1.05</v>
      </c>
      <c r="O17" s="9">
        <f t="shared" si="19"/>
        <v>0.87</v>
      </c>
      <c r="P17" s="9">
        <v>0.59</v>
      </c>
      <c r="Q17" s="9">
        <v>0.55000000000000004</v>
      </c>
      <c r="R17" s="9">
        <v>1.4999999999999999E-2</v>
      </c>
      <c r="S17" s="9">
        <f t="shared" si="20"/>
        <v>1E-3</v>
      </c>
      <c r="T17" s="9" t="str">
        <f t="shared" si="21"/>
        <v>1/1000</v>
      </c>
      <c r="U17" s="9" t="str">
        <f t="shared" si="22"/>
        <v>U80</v>
      </c>
      <c r="V17" s="9">
        <v>0.38</v>
      </c>
      <c r="W17" s="9">
        <v>0.41</v>
      </c>
      <c r="X17" s="9">
        <f t="shared" si="3"/>
        <v>0.21000000000000008</v>
      </c>
      <c r="Y17" s="9">
        <v>0.8</v>
      </c>
      <c r="Z17" s="9">
        <f t="shared" si="4"/>
        <v>1654.84</v>
      </c>
      <c r="AA17" s="9">
        <f t="shared" si="5"/>
        <v>1654.46</v>
      </c>
      <c r="AB17" s="14">
        <f t="shared" si="6"/>
        <v>1655.01</v>
      </c>
      <c r="AC17" s="9"/>
    </row>
    <row r="18" spans="2:29">
      <c r="B18" t="s">
        <v>418</v>
      </c>
      <c r="C18">
        <v>1200</v>
      </c>
      <c r="D18">
        <v>1654.972</v>
      </c>
      <c r="E18">
        <f t="shared" si="7"/>
        <v>1654.97</v>
      </c>
      <c r="F18">
        <f t="shared" si="27"/>
        <v>1654.36</v>
      </c>
      <c r="G18">
        <f t="shared" si="1"/>
        <v>0.61000000000012733</v>
      </c>
      <c r="H18">
        <v>1E-3</v>
      </c>
      <c r="J18" s="9"/>
      <c r="K18" s="10">
        <f t="shared" si="0"/>
        <v>1200</v>
      </c>
      <c r="L18" s="9">
        <f t="shared" si="2"/>
        <v>0.43</v>
      </c>
      <c r="M18" s="9">
        <f t="shared" ref="M18" si="32">M17</f>
        <v>0.33</v>
      </c>
      <c r="N18" s="9">
        <f t="shared" si="18"/>
        <v>1.05</v>
      </c>
      <c r="O18" s="9">
        <f t="shared" si="19"/>
        <v>0.87</v>
      </c>
      <c r="P18" s="9">
        <f t="shared" ref="P18:P60" si="33">P17</f>
        <v>0.59</v>
      </c>
      <c r="Q18" s="9">
        <f t="shared" ref="Q18:Q60" si="34">Q17</f>
        <v>0.55000000000000004</v>
      </c>
      <c r="R18" s="9">
        <v>1.4999999999999999E-2</v>
      </c>
      <c r="S18" s="9">
        <f t="shared" si="20"/>
        <v>1E-3</v>
      </c>
      <c r="T18" s="9" t="str">
        <f t="shared" si="21"/>
        <v>1/1000</v>
      </c>
      <c r="U18" s="9" t="str">
        <f t="shared" si="22"/>
        <v>U80</v>
      </c>
      <c r="V18" s="9">
        <f>V17</f>
        <v>0.38</v>
      </c>
      <c r="W18" s="9">
        <f>W17</f>
        <v>0.41</v>
      </c>
      <c r="X18" s="9">
        <f t="shared" si="3"/>
        <v>0.21000000000000008</v>
      </c>
      <c r="Y18" s="9">
        <v>0.8</v>
      </c>
      <c r="Z18" s="9">
        <f t="shared" si="4"/>
        <v>1654.97</v>
      </c>
      <c r="AA18" s="9">
        <f t="shared" si="5"/>
        <v>1654.36</v>
      </c>
      <c r="AB18" s="14">
        <f t="shared" si="6"/>
        <v>1654.9099999999999</v>
      </c>
      <c r="AC18" s="9"/>
    </row>
    <row r="19" spans="2:29">
      <c r="B19" t="s">
        <v>419</v>
      </c>
      <c r="C19">
        <v>1300</v>
      </c>
      <c r="D19">
        <v>1654.8440000000001</v>
      </c>
      <c r="E19">
        <f t="shared" si="7"/>
        <v>1654.84</v>
      </c>
      <c r="F19">
        <f t="shared" si="27"/>
        <v>1654.26</v>
      </c>
      <c r="G19">
        <f t="shared" si="1"/>
        <v>0.57999999999992724</v>
      </c>
      <c r="H19">
        <v>1E-3</v>
      </c>
      <c r="J19" s="9"/>
      <c r="K19" s="10">
        <f t="shared" si="0"/>
        <v>1300</v>
      </c>
      <c r="L19" s="9">
        <f t="shared" si="2"/>
        <v>0.43</v>
      </c>
      <c r="M19" s="9">
        <f t="shared" ref="M19" si="35">M18</f>
        <v>0.33</v>
      </c>
      <c r="N19" s="9">
        <f t="shared" si="18"/>
        <v>1.05</v>
      </c>
      <c r="O19" s="9">
        <f t="shared" si="19"/>
        <v>0.87</v>
      </c>
      <c r="P19" s="9">
        <f t="shared" si="33"/>
        <v>0.59</v>
      </c>
      <c r="Q19" s="9">
        <f t="shared" si="34"/>
        <v>0.55000000000000004</v>
      </c>
      <c r="R19" s="9">
        <v>1.4999999999999999E-2</v>
      </c>
      <c r="S19" s="9">
        <f t="shared" si="20"/>
        <v>1E-3</v>
      </c>
      <c r="T19" s="9" t="str">
        <f t="shared" si="21"/>
        <v>1/1000</v>
      </c>
      <c r="U19" s="9" t="str">
        <f t="shared" si="22"/>
        <v>U80</v>
      </c>
      <c r="V19" s="9">
        <f t="shared" ref="V19:V60" si="36">V18</f>
        <v>0.38</v>
      </c>
      <c r="W19" s="9">
        <f t="shared" ref="W19:W60" si="37">W18</f>
        <v>0.41</v>
      </c>
      <c r="X19" s="9">
        <f t="shared" si="3"/>
        <v>0.21000000000000008</v>
      </c>
      <c r="Y19" s="9">
        <v>0.8</v>
      </c>
      <c r="Z19" s="9">
        <f t="shared" si="4"/>
        <v>1654.84</v>
      </c>
      <c r="AA19" s="9">
        <f t="shared" si="5"/>
        <v>1654.26</v>
      </c>
      <c r="AB19" s="14">
        <f t="shared" si="6"/>
        <v>1654.81</v>
      </c>
      <c r="AC19" s="9"/>
    </row>
    <row r="20" spans="2:29">
      <c r="B20" t="s">
        <v>420</v>
      </c>
      <c r="C20">
        <v>1400</v>
      </c>
      <c r="D20">
        <v>1655.5509999999999</v>
      </c>
      <c r="E20">
        <f t="shared" si="7"/>
        <v>1655.55</v>
      </c>
      <c r="F20">
        <f t="shared" si="27"/>
        <v>1654.16</v>
      </c>
      <c r="G20">
        <f t="shared" si="1"/>
        <v>1.3899999999998727</v>
      </c>
      <c r="H20">
        <v>1E-3</v>
      </c>
      <c r="J20" s="9"/>
      <c r="K20" s="10">
        <f t="shared" si="0"/>
        <v>1400</v>
      </c>
      <c r="L20" s="9">
        <f t="shared" si="2"/>
        <v>0.43</v>
      </c>
      <c r="M20" s="9">
        <f t="shared" ref="M20" si="38">M19</f>
        <v>0.33</v>
      </c>
      <c r="N20" s="9">
        <f t="shared" si="18"/>
        <v>1.05</v>
      </c>
      <c r="O20" s="9">
        <f t="shared" si="19"/>
        <v>0.87</v>
      </c>
      <c r="P20" s="9">
        <f t="shared" si="33"/>
        <v>0.59</v>
      </c>
      <c r="Q20" s="9">
        <f t="shared" si="34"/>
        <v>0.55000000000000004</v>
      </c>
      <c r="R20" s="9">
        <v>1.4999999999999999E-2</v>
      </c>
      <c r="S20" s="9">
        <f t="shared" si="20"/>
        <v>1E-3</v>
      </c>
      <c r="T20" s="9" t="str">
        <f t="shared" si="21"/>
        <v>1/1000</v>
      </c>
      <c r="U20" s="9" t="str">
        <f t="shared" si="22"/>
        <v>U80</v>
      </c>
      <c r="V20" s="9">
        <f t="shared" si="36"/>
        <v>0.38</v>
      </c>
      <c r="W20" s="9">
        <f t="shared" si="37"/>
        <v>0.41</v>
      </c>
      <c r="X20" s="9">
        <f t="shared" si="3"/>
        <v>0.21000000000000008</v>
      </c>
      <c r="Y20" s="9">
        <v>0.8</v>
      </c>
      <c r="Z20" s="9">
        <f t="shared" si="4"/>
        <v>1655.55</v>
      </c>
      <c r="AA20" s="9">
        <f t="shared" si="5"/>
        <v>1654.16</v>
      </c>
      <c r="AB20" s="14">
        <f t="shared" si="6"/>
        <v>1654.71</v>
      </c>
      <c r="AC20" s="9"/>
    </row>
    <row r="21" spans="2:29">
      <c r="B21" t="s">
        <v>33</v>
      </c>
      <c r="C21">
        <v>1500</v>
      </c>
      <c r="D21">
        <v>1654.579</v>
      </c>
      <c r="E21">
        <f t="shared" si="7"/>
        <v>1654.58</v>
      </c>
      <c r="F21">
        <f t="shared" si="27"/>
        <v>1654.06</v>
      </c>
      <c r="G21">
        <f t="shared" si="1"/>
        <v>0.51999999999998181</v>
      </c>
      <c r="H21">
        <v>1E-3</v>
      </c>
      <c r="J21" s="9"/>
      <c r="K21" s="10">
        <f t="shared" si="0"/>
        <v>1500</v>
      </c>
      <c r="L21" s="9">
        <f t="shared" si="2"/>
        <v>0.43</v>
      </c>
      <c r="M21" s="9">
        <f t="shared" ref="M21" si="39">M20</f>
        <v>0.33</v>
      </c>
      <c r="N21" s="9">
        <f t="shared" si="18"/>
        <v>1.05</v>
      </c>
      <c r="O21" s="9">
        <f t="shared" si="19"/>
        <v>0.87</v>
      </c>
      <c r="P21" s="9">
        <f t="shared" si="33"/>
        <v>0.59</v>
      </c>
      <c r="Q21" s="9">
        <f t="shared" si="34"/>
        <v>0.55000000000000004</v>
      </c>
      <c r="R21" s="9">
        <v>1.4999999999999999E-2</v>
      </c>
      <c r="S21" s="9">
        <f t="shared" si="20"/>
        <v>1E-3</v>
      </c>
      <c r="T21" s="9" t="str">
        <f t="shared" si="21"/>
        <v>1/1000</v>
      </c>
      <c r="U21" s="9" t="str">
        <f t="shared" si="22"/>
        <v>U80</v>
      </c>
      <c r="V21" s="9">
        <f t="shared" si="36"/>
        <v>0.38</v>
      </c>
      <c r="W21" s="9">
        <f t="shared" si="37"/>
        <v>0.41</v>
      </c>
      <c r="X21" s="9">
        <f t="shared" si="3"/>
        <v>0.21000000000000008</v>
      </c>
      <c r="Y21" s="9">
        <v>0.8</v>
      </c>
      <c r="Z21" s="9">
        <f t="shared" si="4"/>
        <v>1654.58</v>
      </c>
      <c r="AA21" s="9">
        <f t="shared" si="5"/>
        <v>1654.06</v>
      </c>
      <c r="AB21" s="14">
        <f t="shared" si="6"/>
        <v>1654.61</v>
      </c>
      <c r="AC21" s="9"/>
    </row>
    <row r="22" spans="2:29">
      <c r="B22" t="s">
        <v>35</v>
      </c>
      <c r="C22">
        <v>1600</v>
      </c>
      <c r="D22">
        <v>1655.279</v>
      </c>
      <c r="E22">
        <f t="shared" si="7"/>
        <v>1655.28</v>
      </c>
      <c r="F22">
        <f t="shared" si="27"/>
        <v>1653.96</v>
      </c>
      <c r="G22">
        <f t="shared" si="1"/>
        <v>1.3199999999999363</v>
      </c>
      <c r="H22">
        <v>1E-3</v>
      </c>
      <c r="J22" s="9"/>
      <c r="K22" s="10">
        <f t="shared" si="0"/>
        <v>1600</v>
      </c>
      <c r="L22" s="9">
        <f t="shared" si="2"/>
        <v>0.43</v>
      </c>
      <c r="M22" s="9">
        <f t="shared" ref="M22" si="40">M21</f>
        <v>0.33</v>
      </c>
      <c r="N22" s="9">
        <f t="shared" si="18"/>
        <v>1.05</v>
      </c>
      <c r="O22" s="9">
        <f t="shared" si="19"/>
        <v>0.87</v>
      </c>
      <c r="P22" s="9">
        <f t="shared" si="33"/>
        <v>0.59</v>
      </c>
      <c r="Q22" s="9">
        <f t="shared" si="34"/>
        <v>0.55000000000000004</v>
      </c>
      <c r="R22" s="9">
        <v>1.4999999999999999E-2</v>
      </c>
      <c r="S22" s="9">
        <f t="shared" si="20"/>
        <v>1E-3</v>
      </c>
      <c r="T22" s="9" t="str">
        <f t="shared" si="21"/>
        <v>1/1000</v>
      </c>
      <c r="U22" s="9" t="str">
        <f t="shared" si="22"/>
        <v>U80</v>
      </c>
      <c r="V22" s="9">
        <f t="shared" si="36"/>
        <v>0.38</v>
      </c>
      <c r="W22" s="9">
        <f t="shared" si="37"/>
        <v>0.41</v>
      </c>
      <c r="X22" s="9">
        <f t="shared" si="3"/>
        <v>0.21000000000000008</v>
      </c>
      <c r="Y22" s="9">
        <v>0.8</v>
      </c>
      <c r="Z22" s="9">
        <f t="shared" si="4"/>
        <v>1655.28</v>
      </c>
      <c r="AA22" s="9">
        <f t="shared" si="5"/>
        <v>1653.96</v>
      </c>
      <c r="AB22" s="14">
        <f t="shared" si="6"/>
        <v>1654.51</v>
      </c>
      <c r="AC22" s="9"/>
    </row>
    <row r="23" spans="2:29">
      <c r="B23" t="s">
        <v>39</v>
      </c>
      <c r="C23">
        <v>1700</v>
      </c>
      <c r="D23">
        <v>1655.915</v>
      </c>
      <c r="E23">
        <f t="shared" si="7"/>
        <v>1655.92</v>
      </c>
      <c r="F23">
        <f t="shared" si="27"/>
        <v>1653.86</v>
      </c>
      <c r="G23">
        <f t="shared" si="1"/>
        <v>2.0600000000001728</v>
      </c>
      <c r="H23">
        <v>1E-3</v>
      </c>
      <c r="J23" s="9"/>
      <c r="K23" s="10">
        <f t="shared" si="0"/>
        <v>1700</v>
      </c>
      <c r="L23" s="9">
        <f t="shared" si="2"/>
        <v>0.43</v>
      </c>
      <c r="M23" s="9">
        <f t="shared" ref="M23" si="41">M22</f>
        <v>0.33</v>
      </c>
      <c r="N23" s="9">
        <f t="shared" si="18"/>
        <v>1.05</v>
      </c>
      <c r="O23" s="9">
        <f t="shared" si="19"/>
        <v>0.87</v>
      </c>
      <c r="P23" s="9">
        <f t="shared" si="33"/>
        <v>0.59</v>
      </c>
      <c r="Q23" s="9">
        <f t="shared" si="34"/>
        <v>0.55000000000000004</v>
      </c>
      <c r="R23" s="9">
        <v>1.4999999999999999E-2</v>
      </c>
      <c r="S23" s="9">
        <f t="shared" si="20"/>
        <v>1E-3</v>
      </c>
      <c r="T23" s="9" t="str">
        <f t="shared" si="21"/>
        <v>1/1000</v>
      </c>
      <c r="U23" s="9" t="str">
        <f t="shared" si="22"/>
        <v>U80</v>
      </c>
      <c r="V23" s="9">
        <f t="shared" si="36"/>
        <v>0.38</v>
      </c>
      <c r="W23" s="9">
        <f t="shared" si="37"/>
        <v>0.41</v>
      </c>
      <c r="X23" s="9">
        <f t="shared" si="3"/>
        <v>0.21000000000000008</v>
      </c>
      <c r="Y23" s="9">
        <v>0.8</v>
      </c>
      <c r="Z23" s="9">
        <f t="shared" si="4"/>
        <v>1655.92</v>
      </c>
      <c r="AA23" s="9">
        <f t="shared" si="5"/>
        <v>1653.86</v>
      </c>
      <c r="AB23" s="14">
        <f t="shared" si="6"/>
        <v>1654.4099999999999</v>
      </c>
      <c r="AC23" s="9"/>
    </row>
    <row r="24" spans="2:29">
      <c r="B24" t="s">
        <v>40</v>
      </c>
      <c r="C24">
        <v>1800</v>
      </c>
      <c r="D24">
        <v>1655.14</v>
      </c>
      <c r="E24">
        <f t="shared" si="7"/>
        <v>1655.14</v>
      </c>
      <c r="F24">
        <f t="shared" si="27"/>
        <v>1653.76</v>
      </c>
      <c r="G24">
        <f t="shared" si="1"/>
        <v>1.3800000000001091</v>
      </c>
      <c r="H24">
        <v>1E-3</v>
      </c>
      <c r="J24" s="12" t="s">
        <v>509</v>
      </c>
      <c r="K24" s="10">
        <f t="shared" si="0"/>
        <v>1800</v>
      </c>
      <c r="L24" s="9">
        <f t="shared" si="2"/>
        <v>0.43</v>
      </c>
      <c r="M24" s="9">
        <f t="shared" ref="M24" si="42">M23</f>
        <v>0.33</v>
      </c>
      <c r="N24" s="9">
        <f t="shared" si="18"/>
        <v>1.05</v>
      </c>
      <c r="O24" s="9">
        <f t="shared" si="19"/>
        <v>0.87</v>
      </c>
      <c r="P24" s="9">
        <f t="shared" si="33"/>
        <v>0.59</v>
      </c>
      <c r="Q24" s="9">
        <f t="shared" si="34"/>
        <v>0.55000000000000004</v>
      </c>
      <c r="R24" s="9">
        <v>1.4999999999999999E-2</v>
      </c>
      <c r="S24" s="9">
        <f t="shared" si="20"/>
        <v>1E-3</v>
      </c>
      <c r="T24" s="9" t="str">
        <f t="shared" si="21"/>
        <v>1/1000</v>
      </c>
      <c r="U24" s="9" t="str">
        <f t="shared" si="22"/>
        <v>U80</v>
      </c>
      <c r="V24" s="9">
        <f t="shared" si="36"/>
        <v>0.38</v>
      </c>
      <c r="W24" s="9">
        <f t="shared" si="37"/>
        <v>0.41</v>
      </c>
      <c r="X24" s="9">
        <f t="shared" si="3"/>
        <v>0.21000000000000008</v>
      </c>
      <c r="Y24" s="9">
        <v>0.8</v>
      </c>
      <c r="Z24" s="9">
        <f t="shared" si="4"/>
        <v>1655.14</v>
      </c>
      <c r="AA24" s="9">
        <f t="shared" si="5"/>
        <v>1653.76</v>
      </c>
      <c r="AB24" s="14">
        <f t="shared" si="6"/>
        <v>1654.31</v>
      </c>
      <c r="AC24" s="9"/>
    </row>
    <row r="25" spans="2:29">
      <c r="B25" t="s">
        <v>42</v>
      </c>
      <c r="C25">
        <v>1900</v>
      </c>
      <c r="D25">
        <v>1654.5719999999999</v>
      </c>
      <c r="E25">
        <f t="shared" si="7"/>
        <v>1654.57</v>
      </c>
      <c r="F25">
        <f t="shared" si="27"/>
        <v>1653.66</v>
      </c>
      <c r="G25">
        <f t="shared" si="1"/>
        <v>0.90999999999985448</v>
      </c>
      <c r="H25">
        <v>1E-3</v>
      </c>
      <c r="J25" s="9"/>
      <c r="K25" s="10">
        <f t="shared" si="0"/>
        <v>1900</v>
      </c>
      <c r="L25" s="9">
        <f t="shared" si="2"/>
        <v>0.43</v>
      </c>
      <c r="M25" s="9">
        <f t="shared" ref="M25" si="43">M24</f>
        <v>0.33</v>
      </c>
      <c r="N25" s="9">
        <f t="shared" si="18"/>
        <v>1.05</v>
      </c>
      <c r="O25" s="9">
        <f t="shared" si="19"/>
        <v>0.87</v>
      </c>
      <c r="P25" s="9">
        <f t="shared" si="33"/>
        <v>0.59</v>
      </c>
      <c r="Q25" s="9">
        <f t="shared" si="34"/>
        <v>0.55000000000000004</v>
      </c>
      <c r="R25" s="9">
        <v>1.4999999999999999E-2</v>
      </c>
      <c r="S25" s="9">
        <f t="shared" si="20"/>
        <v>1E-3</v>
      </c>
      <c r="T25" s="9" t="str">
        <f t="shared" si="21"/>
        <v>1/1000</v>
      </c>
      <c r="U25" s="9" t="str">
        <f t="shared" si="22"/>
        <v>U80</v>
      </c>
      <c r="V25" s="9">
        <f t="shared" si="36"/>
        <v>0.38</v>
      </c>
      <c r="W25" s="9">
        <f t="shared" si="37"/>
        <v>0.41</v>
      </c>
      <c r="X25" s="9">
        <f t="shared" si="3"/>
        <v>0.21000000000000008</v>
      </c>
      <c r="Y25" s="9">
        <v>0.8</v>
      </c>
      <c r="Z25" s="9">
        <f t="shared" si="4"/>
        <v>1654.57</v>
      </c>
      <c r="AA25" s="9">
        <f t="shared" si="5"/>
        <v>1653.66</v>
      </c>
      <c r="AB25" s="14">
        <f t="shared" si="6"/>
        <v>1654.21</v>
      </c>
      <c r="AC25" s="9"/>
    </row>
    <row r="26" spans="2:29">
      <c r="B26" t="s">
        <v>44</v>
      </c>
      <c r="C26">
        <v>2000</v>
      </c>
      <c r="D26">
        <v>1654.4549999999999</v>
      </c>
      <c r="E26">
        <f t="shared" si="7"/>
        <v>1654.46</v>
      </c>
      <c r="F26">
        <f t="shared" si="27"/>
        <v>1653.56</v>
      </c>
      <c r="G26">
        <f t="shared" si="1"/>
        <v>0.90000000000009095</v>
      </c>
      <c r="H26">
        <v>1E-3</v>
      </c>
      <c r="J26" s="9"/>
      <c r="K26" s="10">
        <f t="shared" si="0"/>
        <v>2000</v>
      </c>
      <c r="L26" s="9">
        <f t="shared" si="2"/>
        <v>0.43</v>
      </c>
      <c r="M26" s="9">
        <f t="shared" ref="M26" si="44">M25</f>
        <v>0.33</v>
      </c>
      <c r="N26" s="9">
        <f t="shared" si="18"/>
        <v>1.05</v>
      </c>
      <c r="O26" s="9">
        <f t="shared" si="19"/>
        <v>0.87</v>
      </c>
      <c r="P26" s="9">
        <f t="shared" si="33"/>
        <v>0.59</v>
      </c>
      <c r="Q26" s="9">
        <f t="shared" si="34"/>
        <v>0.55000000000000004</v>
      </c>
      <c r="R26" s="9">
        <v>1.4999999999999999E-2</v>
      </c>
      <c r="S26" s="9">
        <f t="shared" si="20"/>
        <v>1E-3</v>
      </c>
      <c r="T26" s="9" t="str">
        <f t="shared" si="21"/>
        <v>1/1000</v>
      </c>
      <c r="U26" s="9" t="str">
        <f t="shared" si="22"/>
        <v>U80</v>
      </c>
      <c r="V26" s="9">
        <f t="shared" si="36"/>
        <v>0.38</v>
      </c>
      <c r="W26" s="9">
        <f t="shared" si="37"/>
        <v>0.41</v>
      </c>
      <c r="X26" s="9">
        <f t="shared" si="3"/>
        <v>0.21000000000000008</v>
      </c>
      <c r="Y26" s="9">
        <v>0.8</v>
      </c>
      <c r="Z26" s="9">
        <f t="shared" si="4"/>
        <v>1654.46</v>
      </c>
      <c r="AA26" s="9">
        <f t="shared" si="5"/>
        <v>1653.56</v>
      </c>
      <c r="AB26" s="14">
        <f t="shared" si="6"/>
        <v>1654.11</v>
      </c>
      <c r="AC26" s="9"/>
    </row>
    <row r="27" spans="2:29">
      <c r="B27" t="s">
        <v>46</v>
      </c>
      <c r="C27">
        <v>2100</v>
      </c>
      <c r="D27">
        <v>1654.2629999999999</v>
      </c>
      <c r="E27">
        <f t="shared" si="7"/>
        <v>1654.26</v>
      </c>
      <c r="F27">
        <f t="shared" si="27"/>
        <v>1653.46</v>
      </c>
      <c r="G27">
        <f t="shared" si="1"/>
        <v>0.79999999999995453</v>
      </c>
      <c r="H27">
        <v>1E-3</v>
      </c>
      <c r="J27" s="9"/>
      <c r="K27" s="10">
        <f t="shared" si="0"/>
        <v>2100</v>
      </c>
      <c r="L27" s="9">
        <f t="shared" si="2"/>
        <v>0.43</v>
      </c>
      <c r="M27" s="9">
        <f t="shared" ref="M27" si="45">M26</f>
        <v>0.33</v>
      </c>
      <c r="N27" s="9">
        <f t="shared" si="18"/>
        <v>1.05</v>
      </c>
      <c r="O27" s="9">
        <f t="shared" si="19"/>
        <v>0.87</v>
      </c>
      <c r="P27" s="9">
        <f t="shared" si="33"/>
        <v>0.59</v>
      </c>
      <c r="Q27" s="9">
        <f t="shared" si="34"/>
        <v>0.55000000000000004</v>
      </c>
      <c r="R27" s="9">
        <v>1.4999999999999999E-2</v>
      </c>
      <c r="S27" s="9">
        <f t="shared" si="20"/>
        <v>1E-3</v>
      </c>
      <c r="T27" s="9" t="str">
        <f t="shared" si="21"/>
        <v>1/1000</v>
      </c>
      <c r="U27" s="9" t="str">
        <f t="shared" si="22"/>
        <v>U80</v>
      </c>
      <c r="V27" s="9">
        <f t="shared" si="36"/>
        <v>0.38</v>
      </c>
      <c r="W27" s="9">
        <f t="shared" si="37"/>
        <v>0.41</v>
      </c>
      <c r="X27" s="9">
        <f t="shared" si="3"/>
        <v>0.21000000000000008</v>
      </c>
      <c r="Y27" s="9">
        <v>0.8</v>
      </c>
      <c r="Z27" s="9">
        <f t="shared" si="4"/>
        <v>1654.26</v>
      </c>
      <c r="AA27" s="9">
        <f t="shared" si="5"/>
        <v>1653.46</v>
      </c>
      <c r="AB27" s="14">
        <f t="shared" si="6"/>
        <v>1654.01</v>
      </c>
      <c r="AC27" s="9"/>
    </row>
    <row r="28" spans="2:29">
      <c r="B28" t="s">
        <v>49</v>
      </c>
      <c r="C28">
        <v>2200</v>
      </c>
      <c r="D28">
        <v>1654.1220000000001</v>
      </c>
      <c r="E28">
        <f t="shared" si="7"/>
        <v>1654.12</v>
      </c>
      <c r="F28">
        <f t="shared" si="27"/>
        <v>1653.36</v>
      </c>
      <c r="G28">
        <f t="shared" si="1"/>
        <v>0.75999999999999091</v>
      </c>
      <c r="H28">
        <v>1E-3</v>
      </c>
      <c r="J28" s="9"/>
      <c r="K28" s="10">
        <f t="shared" si="0"/>
        <v>2200</v>
      </c>
      <c r="L28" s="9">
        <f t="shared" si="2"/>
        <v>0.43</v>
      </c>
      <c r="M28" s="9">
        <f t="shared" ref="M28" si="46">M27</f>
        <v>0.33</v>
      </c>
      <c r="N28" s="9">
        <f t="shared" si="18"/>
        <v>1.05</v>
      </c>
      <c r="O28" s="9">
        <f t="shared" si="19"/>
        <v>0.87</v>
      </c>
      <c r="P28" s="9">
        <f t="shared" si="33"/>
        <v>0.59</v>
      </c>
      <c r="Q28" s="9">
        <f t="shared" si="34"/>
        <v>0.55000000000000004</v>
      </c>
      <c r="R28" s="9">
        <v>1.4999999999999999E-2</v>
      </c>
      <c r="S28" s="9">
        <f t="shared" si="20"/>
        <v>1E-3</v>
      </c>
      <c r="T28" s="9" t="str">
        <f t="shared" si="21"/>
        <v>1/1000</v>
      </c>
      <c r="U28" s="9" t="str">
        <f t="shared" si="22"/>
        <v>U80</v>
      </c>
      <c r="V28" s="9">
        <f t="shared" si="36"/>
        <v>0.38</v>
      </c>
      <c r="W28" s="9">
        <f t="shared" si="37"/>
        <v>0.41</v>
      </c>
      <c r="X28" s="9">
        <f t="shared" si="3"/>
        <v>0.21000000000000008</v>
      </c>
      <c r="Y28" s="9">
        <v>0.8</v>
      </c>
      <c r="Z28" s="9">
        <f t="shared" si="4"/>
        <v>1654.12</v>
      </c>
      <c r="AA28" s="9">
        <f t="shared" si="5"/>
        <v>1653.36</v>
      </c>
      <c r="AB28" s="14">
        <f t="shared" si="6"/>
        <v>1653.9099999999999</v>
      </c>
      <c r="AC28" s="9"/>
    </row>
    <row r="29" spans="2:29">
      <c r="B29" t="s">
        <v>51</v>
      </c>
      <c r="C29">
        <v>2300</v>
      </c>
      <c r="D29">
        <v>1653.942</v>
      </c>
      <c r="E29">
        <f t="shared" si="7"/>
        <v>1653.94</v>
      </c>
      <c r="F29">
        <f t="shared" si="27"/>
        <v>1653.26</v>
      </c>
      <c r="G29">
        <f t="shared" si="1"/>
        <v>0.68000000000006366</v>
      </c>
      <c r="H29">
        <v>1E-3</v>
      </c>
      <c r="J29" s="9"/>
      <c r="K29" s="10">
        <f t="shared" si="0"/>
        <v>2300</v>
      </c>
      <c r="L29" s="9">
        <f t="shared" si="2"/>
        <v>0.43</v>
      </c>
      <c r="M29" s="9">
        <f t="shared" ref="M29" si="47">M28</f>
        <v>0.33</v>
      </c>
      <c r="N29" s="9">
        <f t="shared" si="18"/>
        <v>1.05</v>
      </c>
      <c r="O29" s="9">
        <f t="shared" si="19"/>
        <v>0.87</v>
      </c>
      <c r="P29" s="9">
        <f t="shared" si="33"/>
        <v>0.59</v>
      </c>
      <c r="Q29" s="9">
        <f t="shared" si="34"/>
        <v>0.55000000000000004</v>
      </c>
      <c r="R29" s="9">
        <v>1.4999999999999999E-2</v>
      </c>
      <c r="S29" s="9">
        <f t="shared" si="20"/>
        <v>1E-3</v>
      </c>
      <c r="T29" s="9" t="str">
        <f t="shared" si="21"/>
        <v>1/1000</v>
      </c>
      <c r="U29" s="9" t="str">
        <f t="shared" si="22"/>
        <v>U80</v>
      </c>
      <c r="V29" s="9">
        <f t="shared" si="36"/>
        <v>0.38</v>
      </c>
      <c r="W29" s="9">
        <f t="shared" si="37"/>
        <v>0.41</v>
      </c>
      <c r="X29" s="9">
        <f t="shared" si="3"/>
        <v>0.21000000000000008</v>
      </c>
      <c r="Y29" s="9">
        <v>0.8</v>
      </c>
      <c r="Z29" s="9">
        <f t="shared" si="4"/>
        <v>1653.94</v>
      </c>
      <c r="AA29" s="9">
        <f t="shared" si="5"/>
        <v>1653.26</v>
      </c>
      <c r="AB29" s="14">
        <f t="shared" si="6"/>
        <v>1653.81</v>
      </c>
      <c r="AC29" s="9"/>
    </row>
    <row r="30" spans="2:29">
      <c r="B30" t="s">
        <v>57</v>
      </c>
      <c r="C30">
        <v>2400</v>
      </c>
      <c r="D30">
        <v>1654.059</v>
      </c>
      <c r="E30">
        <f t="shared" si="7"/>
        <v>1654.06</v>
      </c>
      <c r="F30">
        <f t="shared" si="27"/>
        <v>1653.16</v>
      </c>
      <c r="G30">
        <f t="shared" si="1"/>
        <v>0.89999999999986358</v>
      </c>
      <c r="H30">
        <v>1E-3</v>
      </c>
      <c r="J30" s="9"/>
      <c r="K30" s="10">
        <f t="shared" si="0"/>
        <v>2400</v>
      </c>
      <c r="L30" s="9">
        <f t="shared" si="2"/>
        <v>0.43</v>
      </c>
      <c r="M30" s="9">
        <f t="shared" ref="M30" si="48">M29</f>
        <v>0.33</v>
      </c>
      <c r="N30" s="9">
        <f t="shared" si="18"/>
        <v>1.05</v>
      </c>
      <c r="O30" s="9">
        <f t="shared" si="19"/>
        <v>0.87</v>
      </c>
      <c r="P30" s="9">
        <f t="shared" si="33"/>
        <v>0.59</v>
      </c>
      <c r="Q30" s="9">
        <f t="shared" si="34"/>
        <v>0.55000000000000004</v>
      </c>
      <c r="R30" s="9">
        <v>1.4999999999999999E-2</v>
      </c>
      <c r="S30" s="9">
        <f t="shared" si="20"/>
        <v>1E-3</v>
      </c>
      <c r="T30" s="9" t="str">
        <f t="shared" si="21"/>
        <v>1/1000</v>
      </c>
      <c r="U30" s="9" t="str">
        <f t="shared" si="22"/>
        <v>U80</v>
      </c>
      <c r="V30" s="9">
        <f t="shared" si="36"/>
        <v>0.38</v>
      </c>
      <c r="W30" s="9">
        <f t="shared" si="37"/>
        <v>0.41</v>
      </c>
      <c r="X30" s="9">
        <f t="shared" si="3"/>
        <v>0.21000000000000008</v>
      </c>
      <c r="Y30" s="9">
        <v>0.8</v>
      </c>
      <c r="Z30" s="9">
        <f t="shared" si="4"/>
        <v>1654.06</v>
      </c>
      <c r="AA30" s="9">
        <f t="shared" si="5"/>
        <v>1653.16</v>
      </c>
      <c r="AB30" s="14">
        <f t="shared" si="6"/>
        <v>1653.71</v>
      </c>
      <c r="AC30" s="9"/>
    </row>
    <row r="31" spans="2:29">
      <c r="B31" t="s">
        <v>59</v>
      </c>
      <c r="C31">
        <v>2500</v>
      </c>
      <c r="D31">
        <v>1653.4459999999999</v>
      </c>
      <c r="E31">
        <f t="shared" si="7"/>
        <v>1653.45</v>
      </c>
      <c r="F31">
        <f t="shared" si="27"/>
        <v>1653.06</v>
      </c>
      <c r="G31">
        <f t="shared" si="1"/>
        <v>0.39000000000010004</v>
      </c>
      <c r="H31">
        <v>5.0000000000000001E-3</v>
      </c>
      <c r="J31" s="9"/>
      <c r="K31" s="10">
        <f t="shared" si="0"/>
        <v>2500</v>
      </c>
      <c r="L31" s="9">
        <f t="shared" si="2"/>
        <v>0.43</v>
      </c>
      <c r="M31" s="9">
        <f t="shared" ref="M31" si="49">M30</f>
        <v>0.33</v>
      </c>
      <c r="N31" s="9">
        <f t="shared" si="18"/>
        <v>1.05</v>
      </c>
      <c r="O31" s="9">
        <f t="shared" si="19"/>
        <v>0.87</v>
      </c>
      <c r="P31" s="9">
        <v>0.38</v>
      </c>
      <c r="Q31" s="9">
        <v>0.33</v>
      </c>
      <c r="R31" s="9">
        <v>1.4999999999999999E-2</v>
      </c>
      <c r="S31" s="9">
        <f t="shared" si="20"/>
        <v>5.0000000000000001E-3</v>
      </c>
      <c r="T31" s="9" t="str">
        <f t="shared" si="21"/>
        <v>1/200</v>
      </c>
      <c r="U31" s="9" t="str">
        <f t="shared" si="22"/>
        <v>U80</v>
      </c>
      <c r="V31" s="9">
        <f t="shared" si="36"/>
        <v>0.38</v>
      </c>
      <c r="W31" s="9">
        <f t="shared" si="37"/>
        <v>0.41</v>
      </c>
      <c r="X31" s="9">
        <f t="shared" si="3"/>
        <v>0.42000000000000004</v>
      </c>
      <c r="Y31" s="9">
        <v>0.8</v>
      </c>
      <c r="Z31" s="9">
        <f t="shared" si="4"/>
        <v>1653.45</v>
      </c>
      <c r="AA31" s="9">
        <f t="shared" si="5"/>
        <v>1653.06</v>
      </c>
      <c r="AB31" s="14">
        <f t="shared" si="6"/>
        <v>1653.3899999999999</v>
      </c>
      <c r="AC31" s="9"/>
    </row>
    <row r="32" spans="2:29">
      <c r="B32" t="s">
        <v>62</v>
      </c>
      <c r="C32">
        <v>2600</v>
      </c>
      <c r="D32">
        <v>1652.9069999999999</v>
      </c>
      <c r="E32">
        <f t="shared" si="7"/>
        <v>1652.91</v>
      </c>
      <c r="F32">
        <f t="shared" si="27"/>
        <v>1652.56</v>
      </c>
      <c r="G32">
        <f t="shared" si="1"/>
        <v>0.35000000000013642</v>
      </c>
      <c r="H32">
        <v>5.0000000000000001E-3</v>
      </c>
      <c r="J32" s="12" t="s">
        <v>510</v>
      </c>
      <c r="K32" s="10">
        <f t="shared" si="0"/>
        <v>2600</v>
      </c>
      <c r="L32" s="9">
        <f t="shared" si="2"/>
        <v>0.43</v>
      </c>
      <c r="M32" s="9">
        <f t="shared" ref="M32" si="50">M31</f>
        <v>0.33</v>
      </c>
      <c r="N32" s="9">
        <f t="shared" si="18"/>
        <v>1.72</v>
      </c>
      <c r="O32" s="9">
        <f t="shared" si="19"/>
        <v>1.57</v>
      </c>
      <c r="P32" s="9">
        <f t="shared" si="33"/>
        <v>0.38</v>
      </c>
      <c r="Q32" s="9">
        <f t="shared" si="34"/>
        <v>0.33</v>
      </c>
      <c r="R32" s="9">
        <v>1.4999999999999999E-2</v>
      </c>
      <c r="S32" s="9">
        <f t="shared" si="20"/>
        <v>5.0000000000000001E-3</v>
      </c>
      <c r="T32" s="9" t="str">
        <f t="shared" si="21"/>
        <v>1/200</v>
      </c>
      <c r="U32" s="9" t="str">
        <f t="shared" si="22"/>
        <v>U80</v>
      </c>
      <c r="V32" s="9">
        <v>0.21</v>
      </c>
      <c r="W32" s="9">
        <v>0.25</v>
      </c>
      <c r="X32" s="9">
        <f t="shared" si="3"/>
        <v>0.42000000000000004</v>
      </c>
      <c r="Y32" s="9">
        <v>0.8</v>
      </c>
      <c r="Z32" s="9">
        <f t="shared" si="4"/>
        <v>1652.91</v>
      </c>
      <c r="AA32" s="9">
        <f t="shared" si="5"/>
        <v>1652.56</v>
      </c>
      <c r="AB32" s="14">
        <f t="shared" si="6"/>
        <v>1652.8899999999999</v>
      </c>
      <c r="AC32" s="9"/>
    </row>
    <row r="33" spans="2:29">
      <c r="B33" t="s">
        <v>64</v>
      </c>
      <c r="C33">
        <v>2700</v>
      </c>
      <c r="D33">
        <v>1652.5360000000001</v>
      </c>
      <c r="E33">
        <f t="shared" si="7"/>
        <v>1652.54</v>
      </c>
      <c r="F33">
        <f t="shared" si="27"/>
        <v>1652.06</v>
      </c>
      <c r="G33">
        <f t="shared" si="1"/>
        <v>0.48000000000001819</v>
      </c>
      <c r="H33">
        <v>5.0000000000000001E-3</v>
      </c>
      <c r="J33" s="9"/>
      <c r="K33" s="10">
        <f t="shared" si="0"/>
        <v>2700</v>
      </c>
      <c r="L33" s="9">
        <f t="shared" si="2"/>
        <v>0.43</v>
      </c>
      <c r="M33" s="9">
        <f t="shared" ref="M33" si="51">M32</f>
        <v>0.33</v>
      </c>
      <c r="N33" s="9">
        <f t="shared" si="18"/>
        <v>1.72</v>
      </c>
      <c r="O33" s="9">
        <f t="shared" si="19"/>
        <v>1.57</v>
      </c>
      <c r="P33" s="9">
        <f t="shared" si="33"/>
        <v>0.38</v>
      </c>
      <c r="Q33" s="9">
        <f t="shared" si="34"/>
        <v>0.33</v>
      </c>
      <c r="R33" s="9">
        <v>1.4999999999999999E-2</v>
      </c>
      <c r="S33" s="9">
        <f t="shared" si="20"/>
        <v>5.0000000000000001E-3</v>
      </c>
      <c r="T33" s="9" t="str">
        <f t="shared" si="21"/>
        <v>1/200</v>
      </c>
      <c r="U33" s="9" t="str">
        <f t="shared" si="22"/>
        <v>U80</v>
      </c>
      <c r="V33" s="9">
        <v>0.21</v>
      </c>
      <c r="W33" s="9">
        <v>0.25</v>
      </c>
      <c r="X33" s="9">
        <f t="shared" si="3"/>
        <v>0.42000000000000004</v>
      </c>
      <c r="Y33" s="9">
        <v>0.8</v>
      </c>
      <c r="Z33" s="9">
        <f t="shared" si="4"/>
        <v>1652.54</v>
      </c>
      <c r="AA33" s="9">
        <f t="shared" si="5"/>
        <v>1652.06</v>
      </c>
      <c r="AB33" s="14">
        <f t="shared" si="6"/>
        <v>1652.3899999999999</v>
      </c>
      <c r="AC33" s="9"/>
    </row>
    <row r="34" spans="2:29">
      <c r="B34" t="s">
        <v>66</v>
      </c>
      <c r="C34">
        <v>2800</v>
      </c>
      <c r="D34">
        <v>1652.386</v>
      </c>
      <c r="E34">
        <f t="shared" si="7"/>
        <v>1652.39</v>
      </c>
      <c r="F34">
        <f t="shared" si="27"/>
        <v>1651.56</v>
      </c>
      <c r="G34">
        <f t="shared" si="1"/>
        <v>0.83000000000015461</v>
      </c>
      <c r="H34">
        <v>4.0000000000000001E-3</v>
      </c>
      <c r="J34" s="9"/>
      <c r="K34" s="10">
        <f t="shared" si="0"/>
        <v>2800</v>
      </c>
      <c r="L34" s="9">
        <f t="shared" si="2"/>
        <v>0.43</v>
      </c>
      <c r="M34" s="9">
        <f t="shared" ref="M34" si="52">M33</f>
        <v>0.33</v>
      </c>
      <c r="N34" s="9">
        <f t="shared" si="18"/>
        <v>1.65</v>
      </c>
      <c r="O34" s="9">
        <f t="shared" si="19"/>
        <v>1.57</v>
      </c>
      <c r="P34" s="9">
        <v>0.4</v>
      </c>
      <c r="Q34" s="9">
        <v>0.35</v>
      </c>
      <c r="R34" s="9">
        <v>1.4999999999999999E-2</v>
      </c>
      <c r="S34" s="9">
        <f t="shared" si="20"/>
        <v>4.0000000000000001E-3</v>
      </c>
      <c r="T34" s="9" t="str">
        <f t="shared" si="21"/>
        <v>1/250</v>
      </c>
      <c r="U34" s="9" t="str">
        <f t="shared" si="22"/>
        <v>U80</v>
      </c>
      <c r="V34" s="9">
        <v>0.21</v>
      </c>
      <c r="W34" s="9">
        <v>0.26</v>
      </c>
      <c r="X34" s="9">
        <v>0.41</v>
      </c>
      <c r="Y34" s="9">
        <v>0.8</v>
      </c>
      <c r="Z34" s="9">
        <f t="shared" si="4"/>
        <v>1652.39</v>
      </c>
      <c r="AA34" s="9">
        <f t="shared" si="5"/>
        <v>1651.56</v>
      </c>
      <c r="AB34" s="14">
        <f t="shared" si="6"/>
        <v>1651.9099999999999</v>
      </c>
      <c r="AC34" s="9"/>
    </row>
    <row r="35" spans="2:29">
      <c r="B35" t="s">
        <v>71</v>
      </c>
      <c r="C35">
        <v>2900</v>
      </c>
      <c r="D35">
        <v>1651.7919999999999</v>
      </c>
      <c r="E35">
        <f t="shared" si="7"/>
        <v>1651.79</v>
      </c>
      <c r="F35">
        <f t="shared" si="27"/>
        <v>1651.16</v>
      </c>
      <c r="G35">
        <f t="shared" si="1"/>
        <v>0.62999999999988177</v>
      </c>
      <c r="H35">
        <v>4.0000000000000001E-3</v>
      </c>
      <c r="J35" s="9"/>
      <c r="K35" s="10">
        <f t="shared" si="0"/>
        <v>2900</v>
      </c>
      <c r="L35" s="9">
        <f t="shared" si="2"/>
        <v>0.43</v>
      </c>
      <c r="M35" s="9">
        <f t="shared" ref="M35" si="53">M34</f>
        <v>0.33</v>
      </c>
      <c r="N35" s="9">
        <f t="shared" si="18"/>
        <v>1.65</v>
      </c>
      <c r="O35" s="9">
        <f t="shared" si="19"/>
        <v>1.57</v>
      </c>
      <c r="P35" s="9">
        <f t="shared" si="33"/>
        <v>0.4</v>
      </c>
      <c r="Q35" s="9">
        <f t="shared" si="34"/>
        <v>0.35</v>
      </c>
      <c r="R35" s="9">
        <v>1.4999999999999999E-2</v>
      </c>
      <c r="S35" s="9">
        <f t="shared" si="20"/>
        <v>4.0000000000000001E-3</v>
      </c>
      <c r="T35" s="9" t="str">
        <f t="shared" si="21"/>
        <v>1/250</v>
      </c>
      <c r="U35" s="9" t="str">
        <f t="shared" si="22"/>
        <v>U80</v>
      </c>
      <c r="V35" s="9">
        <f t="shared" si="36"/>
        <v>0.21</v>
      </c>
      <c r="W35" s="9">
        <f t="shared" si="37"/>
        <v>0.26</v>
      </c>
      <c r="X35" s="9">
        <v>0.41</v>
      </c>
      <c r="Y35" s="9">
        <v>0.8</v>
      </c>
      <c r="Z35" s="9">
        <f t="shared" si="4"/>
        <v>1651.79</v>
      </c>
      <c r="AA35" s="9">
        <f t="shared" si="5"/>
        <v>1651.16</v>
      </c>
      <c r="AB35" s="14">
        <f t="shared" si="6"/>
        <v>1651.51</v>
      </c>
      <c r="AC35" s="9"/>
    </row>
    <row r="36" spans="2:29">
      <c r="B36" t="s">
        <v>73</v>
      </c>
      <c r="C36">
        <v>3000</v>
      </c>
      <c r="D36">
        <v>1650.68</v>
      </c>
      <c r="E36">
        <f t="shared" si="7"/>
        <v>1650.68</v>
      </c>
      <c r="F36">
        <f t="shared" si="27"/>
        <v>1650.76</v>
      </c>
      <c r="G36">
        <f t="shared" si="1"/>
        <v>-7.999999999992724E-2</v>
      </c>
      <c r="H36">
        <v>4.0000000000000001E-3</v>
      </c>
      <c r="J36" s="9"/>
      <c r="K36" s="10">
        <f t="shared" ref="K36:K60" si="54">C36</f>
        <v>3000</v>
      </c>
      <c r="L36" s="9">
        <f t="shared" si="2"/>
        <v>0.43</v>
      </c>
      <c r="M36" s="9">
        <f t="shared" ref="M36" si="55">M35</f>
        <v>0.33</v>
      </c>
      <c r="N36" s="9">
        <f t="shared" si="18"/>
        <v>1.65</v>
      </c>
      <c r="O36" s="9">
        <f t="shared" si="19"/>
        <v>1.57</v>
      </c>
      <c r="P36" s="9">
        <f t="shared" si="33"/>
        <v>0.4</v>
      </c>
      <c r="Q36" s="9">
        <f t="shared" si="34"/>
        <v>0.35</v>
      </c>
      <c r="R36" s="9">
        <v>1.4999999999999999E-2</v>
      </c>
      <c r="S36" s="9">
        <f t="shared" si="20"/>
        <v>4.0000000000000001E-3</v>
      </c>
      <c r="T36" s="9" t="str">
        <f t="shared" si="21"/>
        <v>1/250</v>
      </c>
      <c r="U36" s="9" t="str">
        <f t="shared" si="22"/>
        <v>U80</v>
      </c>
      <c r="V36" s="9">
        <f t="shared" si="36"/>
        <v>0.21</v>
      </c>
      <c r="W36" s="9">
        <f t="shared" si="37"/>
        <v>0.26</v>
      </c>
      <c r="X36" s="9">
        <v>0.41</v>
      </c>
      <c r="Y36" s="9">
        <v>0.8</v>
      </c>
      <c r="Z36" s="9">
        <f t="shared" si="4"/>
        <v>1650.68</v>
      </c>
      <c r="AA36" s="9">
        <f t="shared" si="5"/>
        <v>1650.76</v>
      </c>
      <c r="AB36" s="14">
        <f t="shared" si="6"/>
        <v>1651.11</v>
      </c>
      <c r="AC36" s="9"/>
    </row>
    <row r="37" spans="2:29">
      <c r="B37" t="s">
        <v>75</v>
      </c>
      <c r="C37">
        <v>3100</v>
      </c>
      <c r="D37">
        <v>1650.29</v>
      </c>
      <c r="E37">
        <f t="shared" si="7"/>
        <v>1650.29</v>
      </c>
      <c r="F37">
        <f t="shared" si="27"/>
        <v>1650.36</v>
      </c>
      <c r="G37">
        <f t="shared" ref="G37:G60" si="56">E37-F37</f>
        <v>-6.9999999999936335E-2</v>
      </c>
      <c r="H37">
        <v>4.0000000000000001E-3</v>
      </c>
      <c r="J37" s="12" t="s">
        <v>511</v>
      </c>
      <c r="K37" s="10">
        <f t="shared" si="54"/>
        <v>3100</v>
      </c>
      <c r="L37" s="9">
        <f t="shared" si="2"/>
        <v>0.43</v>
      </c>
      <c r="M37" s="9">
        <f t="shared" ref="M37" si="57">M36</f>
        <v>0.33</v>
      </c>
      <c r="N37" s="9">
        <f t="shared" si="18"/>
        <v>1.65</v>
      </c>
      <c r="O37" s="9">
        <f t="shared" si="19"/>
        <v>1.57</v>
      </c>
      <c r="P37" s="9">
        <f t="shared" si="33"/>
        <v>0.4</v>
      </c>
      <c r="Q37" s="9">
        <f t="shared" si="34"/>
        <v>0.35</v>
      </c>
      <c r="R37" s="9">
        <v>1.4999999999999999E-2</v>
      </c>
      <c r="S37" s="9">
        <f t="shared" si="20"/>
        <v>4.0000000000000001E-3</v>
      </c>
      <c r="T37" s="9" t="str">
        <f t="shared" si="21"/>
        <v>1/250</v>
      </c>
      <c r="U37" s="9" t="str">
        <f t="shared" si="22"/>
        <v>U80</v>
      </c>
      <c r="V37" s="9">
        <f t="shared" si="36"/>
        <v>0.21</v>
      </c>
      <c r="W37" s="9">
        <f t="shared" si="37"/>
        <v>0.26</v>
      </c>
      <c r="X37" s="9">
        <v>0.41</v>
      </c>
      <c r="Y37" s="9">
        <v>0.8</v>
      </c>
      <c r="Z37" s="9">
        <f t="shared" ref="Z37:Z60" si="58">E37</f>
        <v>1650.29</v>
      </c>
      <c r="AA37" s="9">
        <f t="shared" ref="AA37:AA60" si="59">F37</f>
        <v>1650.36</v>
      </c>
      <c r="AB37" s="14">
        <f t="shared" ref="AB37:AB60" si="60">AA37+Q37</f>
        <v>1650.7099999999998</v>
      </c>
      <c r="AC37" s="9"/>
    </row>
    <row r="38" spans="2:29">
      <c r="B38" t="s">
        <v>78</v>
      </c>
      <c r="C38">
        <v>3200</v>
      </c>
      <c r="D38">
        <v>1650.059</v>
      </c>
      <c r="E38">
        <f t="shared" si="7"/>
        <v>1650.06</v>
      </c>
      <c r="F38">
        <f t="shared" si="27"/>
        <v>1649.96</v>
      </c>
      <c r="G38">
        <f t="shared" si="56"/>
        <v>9.9999999999909051E-2</v>
      </c>
      <c r="H38">
        <v>4.0000000000000001E-3</v>
      </c>
      <c r="J38" s="9"/>
      <c r="K38" s="10">
        <f t="shared" si="54"/>
        <v>3200</v>
      </c>
      <c r="L38" s="9">
        <f t="shared" si="2"/>
        <v>0.22</v>
      </c>
      <c r="M38" s="9">
        <v>0.17</v>
      </c>
      <c r="N38" s="9">
        <f t="shared" si="18"/>
        <v>1.38</v>
      </c>
      <c r="O38" s="9">
        <f t="shared" si="19"/>
        <v>1.31</v>
      </c>
      <c r="P38" s="9">
        <v>0.33</v>
      </c>
      <c r="Q38" s="9">
        <v>0.28000000000000003</v>
      </c>
      <c r="R38" s="9">
        <v>1.4999999999999999E-2</v>
      </c>
      <c r="S38" s="9">
        <f t="shared" si="20"/>
        <v>4.0000000000000001E-3</v>
      </c>
      <c r="T38" s="9" t="str">
        <f t="shared" si="21"/>
        <v>1/250</v>
      </c>
      <c r="U38" s="9" t="s">
        <v>503</v>
      </c>
      <c r="V38" s="9">
        <v>0.13</v>
      </c>
      <c r="W38" s="9">
        <v>0.16</v>
      </c>
      <c r="X38" s="9">
        <f t="shared" ref="X38:X60" si="61">Y38-P38</f>
        <v>0.26999999999999996</v>
      </c>
      <c r="Y38" s="9">
        <v>0.6</v>
      </c>
      <c r="Z38" s="9">
        <f t="shared" si="58"/>
        <v>1650.06</v>
      </c>
      <c r="AA38" s="9">
        <f t="shared" si="59"/>
        <v>1649.96</v>
      </c>
      <c r="AB38" s="14">
        <f t="shared" si="60"/>
        <v>1650.24</v>
      </c>
      <c r="AC38" s="9"/>
    </row>
    <row r="39" spans="2:29">
      <c r="B39" t="s">
        <v>80</v>
      </c>
      <c r="C39">
        <v>3300</v>
      </c>
      <c r="D39">
        <v>1649.826</v>
      </c>
      <c r="E39">
        <f t="shared" si="7"/>
        <v>1649.83</v>
      </c>
      <c r="F39">
        <f t="shared" si="27"/>
        <v>1649.56</v>
      </c>
      <c r="G39">
        <f t="shared" si="56"/>
        <v>0.26999999999998181</v>
      </c>
      <c r="H39">
        <v>4.0000000000000001E-3</v>
      </c>
      <c r="J39" s="9"/>
      <c r="K39" s="10">
        <f t="shared" si="54"/>
        <v>3300</v>
      </c>
      <c r="L39" s="9">
        <f t="shared" si="2"/>
        <v>0.22</v>
      </c>
      <c r="M39" s="9">
        <f t="shared" ref="M39" si="62">M38</f>
        <v>0.17</v>
      </c>
      <c r="N39" s="9">
        <f t="shared" si="18"/>
        <v>1.38</v>
      </c>
      <c r="O39" s="9">
        <f t="shared" si="19"/>
        <v>1.31</v>
      </c>
      <c r="P39" s="9">
        <f t="shared" si="33"/>
        <v>0.33</v>
      </c>
      <c r="Q39" s="9">
        <f t="shared" si="34"/>
        <v>0.28000000000000003</v>
      </c>
      <c r="R39" s="9">
        <v>1.4999999999999999E-2</v>
      </c>
      <c r="S39" s="9">
        <f t="shared" si="20"/>
        <v>4.0000000000000001E-3</v>
      </c>
      <c r="T39" s="9" t="str">
        <f t="shared" si="21"/>
        <v>1/250</v>
      </c>
      <c r="U39" s="9" t="str">
        <f t="shared" si="22"/>
        <v>U60</v>
      </c>
      <c r="V39" s="9">
        <f t="shared" si="36"/>
        <v>0.13</v>
      </c>
      <c r="W39" s="9">
        <f t="shared" si="37"/>
        <v>0.16</v>
      </c>
      <c r="X39" s="9">
        <f t="shared" si="61"/>
        <v>0.26999999999999996</v>
      </c>
      <c r="Y39" s="9">
        <v>0.6</v>
      </c>
      <c r="Z39" s="9">
        <f t="shared" si="58"/>
        <v>1649.83</v>
      </c>
      <c r="AA39" s="9">
        <f t="shared" si="59"/>
        <v>1649.56</v>
      </c>
      <c r="AB39" s="14">
        <f t="shared" si="60"/>
        <v>1649.84</v>
      </c>
      <c r="AC39" s="9"/>
    </row>
    <row r="40" spans="2:29">
      <c r="B40" t="s">
        <v>82</v>
      </c>
      <c r="C40">
        <v>3400</v>
      </c>
      <c r="D40">
        <v>1649.652</v>
      </c>
      <c r="E40">
        <f t="shared" si="7"/>
        <v>1649.65</v>
      </c>
      <c r="F40">
        <f t="shared" si="27"/>
        <v>1649.16</v>
      </c>
      <c r="G40">
        <f t="shared" si="56"/>
        <v>0.49000000000000909</v>
      </c>
      <c r="H40">
        <v>4.0000000000000001E-3</v>
      </c>
      <c r="I40">
        <f>0.15/0.185*0.217</f>
        <v>0.17594594594594593</v>
      </c>
      <c r="J40" s="9"/>
      <c r="K40" s="10">
        <f t="shared" si="54"/>
        <v>3400</v>
      </c>
      <c r="L40" s="9">
        <f t="shared" si="2"/>
        <v>0.22</v>
      </c>
      <c r="M40" s="9">
        <f t="shared" ref="M40" si="63">M39</f>
        <v>0.17</v>
      </c>
      <c r="N40" s="9">
        <f t="shared" si="18"/>
        <v>1.38</v>
      </c>
      <c r="O40" s="9">
        <f t="shared" si="19"/>
        <v>1.31</v>
      </c>
      <c r="P40" s="9">
        <f t="shared" si="33"/>
        <v>0.33</v>
      </c>
      <c r="Q40" s="9">
        <f t="shared" si="34"/>
        <v>0.28000000000000003</v>
      </c>
      <c r="R40" s="9">
        <v>1.4999999999999999E-2</v>
      </c>
      <c r="S40" s="9">
        <f t="shared" si="20"/>
        <v>4.0000000000000001E-3</v>
      </c>
      <c r="T40" s="9" t="str">
        <f t="shared" si="21"/>
        <v>1/250</v>
      </c>
      <c r="U40" s="9" t="str">
        <f t="shared" si="22"/>
        <v>U60</v>
      </c>
      <c r="V40" s="9">
        <f t="shared" si="36"/>
        <v>0.13</v>
      </c>
      <c r="W40" s="9">
        <f t="shared" si="37"/>
        <v>0.16</v>
      </c>
      <c r="X40" s="9">
        <f t="shared" si="61"/>
        <v>0.26999999999999996</v>
      </c>
      <c r="Y40" s="9">
        <v>0.6</v>
      </c>
      <c r="Z40" s="9">
        <f t="shared" si="58"/>
        <v>1649.65</v>
      </c>
      <c r="AA40" s="9">
        <f t="shared" si="59"/>
        <v>1649.16</v>
      </c>
      <c r="AB40" s="14">
        <f t="shared" si="60"/>
        <v>1649.44</v>
      </c>
      <c r="AC40" s="9"/>
    </row>
    <row r="41" spans="2:29">
      <c r="B41" t="s">
        <v>86</v>
      </c>
      <c r="C41">
        <v>3500</v>
      </c>
      <c r="D41">
        <v>1649.249</v>
      </c>
      <c r="E41">
        <f t="shared" si="7"/>
        <v>1649.25</v>
      </c>
      <c r="F41">
        <f t="shared" si="27"/>
        <v>1648.76</v>
      </c>
      <c r="G41">
        <f t="shared" si="56"/>
        <v>0.49000000000000909</v>
      </c>
      <c r="H41">
        <v>4.0000000000000001E-3</v>
      </c>
      <c r="J41" s="9"/>
      <c r="K41" s="10">
        <f t="shared" si="54"/>
        <v>3500</v>
      </c>
      <c r="L41" s="9">
        <f t="shared" si="2"/>
        <v>0.22</v>
      </c>
      <c r="M41" s="9">
        <f t="shared" ref="M41" si="64">M40</f>
        <v>0.17</v>
      </c>
      <c r="N41" s="9">
        <f t="shared" si="18"/>
        <v>1.38</v>
      </c>
      <c r="O41" s="9">
        <f t="shared" si="19"/>
        <v>1.31</v>
      </c>
      <c r="P41" s="9">
        <f t="shared" si="33"/>
        <v>0.33</v>
      </c>
      <c r="Q41" s="9">
        <f t="shared" si="34"/>
        <v>0.28000000000000003</v>
      </c>
      <c r="R41" s="9">
        <v>1.4999999999999999E-2</v>
      </c>
      <c r="S41" s="9">
        <f t="shared" si="20"/>
        <v>4.0000000000000001E-3</v>
      </c>
      <c r="T41" s="9" t="str">
        <f t="shared" si="21"/>
        <v>1/250</v>
      </c>
      <c r="U41" s="9" t="str">
        <f t="shared" si="22"/>
        <v>U60</v>
      </c>
      <c r="V41" s="9">
        <f t="shared" si="36"/>
        <v>0.13</v>
      </c>
      <c r="W41" s="9">
        <f t="shared" si="37"/>
        <v>0.16</v>
      </c>
      <c r="X41" s="9">
        <f t="shared" si="61"/>
        <v>0.26999999999999996</v>
      </c>
      <c r="Y41" s="9">
        <v>0.6</v>
      </c>
      <c r="Z41" s="9">
        <f t="shared" si="58"/>
        <v>1649.25</v>
      </c>
      <c r="AA41" s="9">
        <f t="shared" si="59"/>
        <v>1648.76</v>
      </c>
      <c r="AB41" s="14">
        <f t="shared" si="60"/>
        <v>1649.04</v>
      </c>
      <c r="AC41" s="9"/>
    </row>
    <row r="42" spans="2:29">
      <c r="B42" t="s">
        <v>88</v>
      </c>
      <c r="C42">
        <v>3600</v>
      </c>
      <c r="D42">
        <v>1648.768</v>
      </c>
      <c r="E42">
        <f t="shared" si="7"/>
        <v>1648.77</v>
      </c>
      <c r="F42">
        <f t="shared" si="27"/>
        <v>1648.36</v>
      </c>
      <c r="G42">
        <f t="shared" si="56"/>
        <v>0.41000000000008185</v>
      </c>
      <c r="H42">
        <v>4.0000000000000001E-3</v>
      </c>
      <c r="J42" s="12" t="s">
        <v>512</v>
      </c>
      <c r="K42" s="10">
        <f t="shared" si="54"/>
        <v>3600</v>
      </c>
      <c r="L42" s="9">
        <f t="shared" si="2"/>
        <v>0.22</v>
      </c>
      <c r="M42" s="9">
        <f t="shared" ref="M42" si="65">M41</f>
        <v>0.17</v>
      </c>
      <c r="N42" s="9">
        <f t="shared" si="18"/>
        <v>1.38</v>
      </c>
      <c r="O42" s="9">
        <f t="shared" si="19"/>
        <v>1.31</v>
      </c>
      <c r="P42" s="9">
        <f t="shared" si="33"/>
        <v>0.33</v>
      </c>
      <c r="Q42" s="9">
        <f t="shared" si="34"/>
        <v>0.28000000000000003</v>
      </c>
      <c r="R42" s="9">
        <v>1.4999999999999999E-2</v>
      </c>
      <c r="S42" s="9">
        <f t="shared" si="20"/>
        <v>4.0000000000000001E-3</v>
      </c>
      <c r="T42" s="9" t="str">
        <f t="shared" si="21"/>
        <v>1/250</v>
      </c>
      <c r="U42" s="9" t="str">
        <f t="shared" si="22"/>
        <v>U60</v>
      </c>
      <c r="V42" s="9">
        <f t="shared" si="36"/>
        <v>0.13</v>
      </c>
      <c r="W42" s="9">
        <f t="shared" si="37"/>
        <v>0.16</v>
      </c>
      <c r="X42" s="9">
        <f t="shared" si="61"/>
        <v>0.26999999999999996</v>
      </c>
      <c r="Y42" s="9">
        <v>0.6</v>
      </c>
      <c r="Z42" s="9">
        <f t="shared" si="58"/>
        <v>1648.77</v>
      </c>
      <c r="AA42" s="9">
        <f t="shared" si="59"/>
        <v>1648.36</v>
      </c>
      <c r="AB42" s="14">
        <f t="shared" si="60"/>
        <v>1648.6399999999999</v>
      </c>
      <c r="AC42" s="9"/>
    </row>
    <row r="43" spans="2:29">
      <c r="B43" t="s">
        <v>90</v>
      </c>
      <c r="C43">
        <v>3700</v>
      </c>
      <c r="D43">
        <v>1648.068</v>
      </c>
      <c r="E43">
        <f t="shared" si="7"/>
        <v>1648.07</v>
      </c>
      <c r="F43">
        <f t="shared" si="27"/>
        <v>1647.96</v>
      </c>
      <c r="G43">
        <f t="shared" si="56"/>
        <v>0.10999999999989996</v>
      </c>
      <c r="H43">
        <v>4.0000000000000001E-3</v>
      </c>
      <c r="J43" s="9"/>
      <c r="K43" s="10">
        <f t="shared" si="54"/>
        <v>3700</v>
      </c>
      <c r="L43" s="9">
        <f t="shared" si="2"/>
        <v>0.22</v>
      </c>
      <c r="M43" s="9">
        <f t="shared" ref="M43" si="66">M42</f>
        <v>0.17</v>
      </c>
      <c r="N43" s="9">
        <f t="shared" si="18"/>
        <v>1.38</v>
      </c>
      <c r="O43" s="9">
        <f t="shared" si="19"/>
        <v>1.31</v>
      </c>
      <c r="P43" s="9">
        <f t="shared" si="33"/>
        <v>0.33</v>
      </c>
      <c r="Q43" s="9">
        <f t="shared" si="34"/>
        <v>0.28000000000000003</v>
      </c>
      <c r="R43" s="9">
        <v>1.4999999999999999E-2</v>
      </c>
      <c r="S43" s="9">
        <f t="shared" si="20"/>
        <v>4.0000000000000001E-3</v>
      </c>
      <c r="T43" s="9" t="str">
        <f t="shared" si="21"/>
        <v>1/250</v>
      </c>
      <c r="U43" s="9" t="str">
        <f t="shared" si="22"/>
        <v>U60</v>
      </c>
      <c r="V43" s="9">
        <f t="shared" si="36"/>
        <v>0.13</v>
      </c>
      <c r="W43" s="9">
        <f t="shared" si="37"/>
        <v>0.16</v>
      </c>
      <c r="X43" s="9">
        <f t="shared" si="61"/>
        <v>0.26999999999999996</v>
      </c>
      <c r="Y43" s="9">
        <v>0.6</v>
      </c>
      <c r="Z43" s="9">
        <f t="shared" si="58"/>
        <v>1648.07</v>
      </c>
      <c r="AA43" s="9">
        <f t="shared" si="59"/>
        <v>1647.96</v>
      </c>
      <c r="AB43" s="14">
        <f t="shared" si="60"/>
        <v>1648.24</v>
      </c>
      <c r="AC43" s="9"/>
    </row>
    <row r="44" spans="2:29">
      <c r="B44" t="s">
        <v>93</v>
      </c>
      <c r="C44">
        <v>3800</v>
      </c>
      <c r="D44">
        <v>1647.6210000000001</v>
      </c>
      <c r="E44">
        <f t="shared" si="7"/>
        <v>1647.62</v>
      </c>
      <c r="F44">
        <f t="shared" si="27"/>
        <v>1647.56</v>
      </c>
      <c r="G44">
        <f t="shared" si="56"/>
        <v>5.999999999994543E-2</v>
      </c>
      <c r="H44">
        <v>4.0000000000000001E-3</v>
      </c>
      <c r="J44" s="9"/>
      <c r="K44" s="10">
        <f t="shared" si="54"/>
        <v>3800</v>
      </c>
      <c r="L44" s="9">
        <f t="shared" si="2"/>
        <v>0.22</v>
      </c>
      <c r="M44" s="9">
        <f t="shared" ref="M44" si="67">M43</f>
        <v>0.17</v>
      </c>
      <c r="N44" s="9">
        <f t="shared" si="18"/>
        <v>1.38</v>
      </c>
      <c r="O44" s="9">
        <f t="shared" si="19"/>
        <v>1.31</v>
      </c>
      <c r="P44" s="9">
        <f t="shared" si="33"/>
        <v>0.33</v>
      </c>
      <c r="Q44" s="9">
        <f t="shared" si="34"/>
        <v>0.28000000000000003</v>
      </c>
      <c r="R44" s="9">
        <v>1.4999999999999999E-2</v>
      </c>
      <c r="S44" s="9">
        <f t="shared" si="20"/>
        <v>4.0000000000000001E-3</v>
      </c>
      <c r="T44" s="9" t="str">
        <f t="shared" si="21"/>
        <v>1/250</v>
      </c>
      <c r="U44" s="9" t="str">
        <f t="shared" si="22"/>
        <v>U60</v>
      </c>
      <c r="V44" s="9">
        <f t="shared" si="36"/>
        <v>0.13</v>
      </c>
      <c r="W44" s="9">
        <f t="shared" si="37"/>
        <v>0.16</v>
      </c>
      <c r="X44" s="9">
        <f t="shared" si="61"/>
        <v>0.26999999999999996</v>
      </c>
      <c r="Y44" s="9">
        <v>0.6</v>
      </c>
      <c r="Z44" s="9">
        <f t="shared" si="58"/>
        <v>1647.62</v>
      </c>
      <c r="AA44" s="9">
        <f t="shared" si="59"/>
        <v>1647.56</v>
      </c>
      <c r="AB44" s="14">
        <f t="shared" si="60"/>
        <v>1647.84</v>
      </c>
      <c r="AC44" s="9"/>
    </row>
    <row r="45" spans="2:29">
      <c r="B45" t="s">
        <v>95</v>
      </c>
      <c r="C45">
        <v>3900</v>
      </c>
      <c r="D45">
        <v>1647.4190000000001</v>
      </c>
      <c r="E45">
        <f t="shared" si="7"/>
        <v>1647.42</v>
      </c>
      <c r="F45">
        <f t="shared" si="27"/>
        <v>1647.16</v>
      </c>
      <c r="G45">
        <f t="shared" si="56"/>
        <v>0.25999999999999091</v>
      </c>
      <c r="H45">
        <v>4.0000000000000001E-3</v>
      </c>
      <c r="J45" s="9"/>
      <c r="K45" s="10">
        <f t="shared" si="54"/>
        <v>3900</v>
      </c>
      <c r="L45" s="9">
        <f t="shared" si="2"/>
        <v>0.22</v>
      </c>
      <c r="M45" s="9">
        <f t="shared" ref="M45" si="68">M44</f>
        <v>0.17</v>
      </c>
      <c r="N45" s="9">
        <f t="shared" si="18"/>
        <v>1.38</v>
      </c>
      <c r="O45" s="9">
        <f t="shared" si="19"/>
        <v>1.31</v>
      </c>
      <c r="P45" s="9">
        <f t="shared" si="33"/>
        <v>0.33</v>
      </c>
      <c r="Q45" s="9">
        <f t="shared" si="34"/>
        <v>0.28000000000000003</v>
      </c>
      <c r="R45" s="9">
        <v>1.4999999999999999E-2</v>
      </c>
      <c r="S45" s="9">
        <f t="shared" si="20"/>
        <v>4.0000000000000001E-3</v>
      </c>
      <c r="T45" s="9" t="str">
        <f t="shared" si="21"/>
        <v>1/250</v>
      </c>
      <c r="U45" s="9" t="str">
        <f t="shared" si="22"/>
        <v>U60</v>
      </c>
      <c r="V45" s="9">
        <f t="shared" si="36"/>
        <v>0.13</v>
      </c>
      <c r="W45" s="9">
        <f t="shared" si="37"/>
        <v>0.16</v>
      </c>
      <c r="X45" s="9">
        <f t="shared" si="61"/>
        <v>0.26999999999999996</v>
      </c>
      <c r="Y45" s="9">
        <v>0.6</v>
      </c>
      <c r="Z45" s="9">
        <f t="shared" si="58"/>
        <v>1647.42</v>
      </c>
      <c r="AA45" s="9">
        <f t="shared" si="59"/>
        <v>1647.16</v>
      </c>
      <c r="AB45" s="14">
        <f t="shared" si="60"/>
        <v>1647.44</v>
      </c>
      <c r="AC45" s="9"/>
    </row>
    <row r="46" spans="2:29">
      <c r="B46" t="s">
        <v>97</v>
      </c>
      <c r="C46">
        <v>4000</v>
      </c>
      <c r="D46">
        <v>1646.944</v>
      </c>
      <c r="E46">
        <f t="shared" si="7"/>
        <v>1646.94</v>
      </c>
      <c r="F46">
        <f t="shared" si="27"/>
        <v>1646.76</v>
      </c>
      <c r="G46">
        <f t="shared" si="56"/>
        <v>0.18000000000006366</v>
      </c>
      <c r="H46">
        <v>4.0000000000000001E-3</v>
      </c>
      <c r="J46" s="9"/>
      <c r="K46" s="10">
        <f t="shared" si="54"/>
        <v>4000</v>
      </c>
      <c r="L46" s="9">
        <f t="shared" si="2"/>
        <v>0.22</v>
      </c>
      <c r="M46" s="9">
        <f t="shared" ref="M46" si="69">M45</f>
        <v>0.17</v>
      </c>
      <c r="N46" s="9">
        <f t="shared" si="18"/>
        <v>1.38</v>
      </c>
      <c r="O46" s="9">
        <f t="shared" si="19"/>
        <v>1.31</v>
      </c>
      <c r="P46" s="9">
        <f t="shared" si="33"/>
        <v>0.33</v>
      </c>
      <c r="Q46" s="9">
        <f t="shared" si="34"/>
        <v>0.28000000000000003</v>
      </c>
      <c r="R46" s="9">
        <v>1.4999999999999999E-2</v>
      </c>
      <c r="S46" s="9">
        <f t="shared" si="20"/>
        <v>4.0000000000000001E-3</v>
      </c>
      <c r="T46" s="9" t="str">
        <f t="shared" si="21"/>
        <v>1/250</v>
      </c>
      <c r="U46" s="9" t="str">
        <f t="shared" si="22"/>
        <v>U60</v>
      </c>
      <c r="V46" s="9">
        <f t="shared" si="36"/>
        <v>0.13</v>
      </c>
      <c r="W46" s="9">
        <f t="shared" si="37"/>
        <v>0.16</v>
      </c>
      <c r="X46" s="9">
        <f t="shared" si="61"/>
        <v>0.26999999999999996</v>
      </c>
      <c r="Y46" s="9">
        <v>0.6</v>
      </c>
      <c r="Z46" s="9">
        <f t="shared" si="58"/>
        <v>1646.94</v>
      </c>
      <c r="AA46" s="9">
        <f t="shared" si="59"/>
        <v>1646.76</v>
      </c>
      <c r="AB46" s="14">
        <f t="shared" si="60"/>
        <v>1647.04</v>
      </c>
      <c r="AC46" s="9"/>
    </row>
    <row r="47" spans="2:29">
      <c r="B47" t="s">
        <v>100</v>
      </c>
      <c r="C47">
        <v>4100</v>
      </c>
      <c r="D47">
        <v>1646.58</v>
      </c>
      <c r="E47">
        <f t="shared" si="7"/>
        <v>1646.58</v>
      </c>
      <c r="F47">
        <f t="shared" si="27"/>
        <v>1646.36</v>
      </c>
      <c r="G47">
        <f t="shared" si="56"/>
        <v>0.22000000000002728</v>
      </c>
      <c r="H47">
        <v>4.0000000000000001E-3</v>
      </c>
      <c r="J47" s="9"/>
      <c r="K47" s="10">
        <f t="shared" si="54"/>
        <v>4100</v>
      </c>
      <c r="L47" s="9">
        <f t="shared" si="2"/>
        <v>0.22</v>
      </c>
      <c r="M47" s="9">
        <f t="shared" ref="M47" si="70">M46</f>
        <v>0.17</v>
      </c>
      <c r="N47" s="9">
        <f t="shared" si="18"/>
        <v>1.38</v>
      </c>
      <c r="O47" s="9">
        <f t="shared" si="19"/>
        <v>1.31</v>
      </c>
      <c r="P47" s="9">
        <f t="shared" si="33"/>
        <v>0.33</v>
      </c>
      <c r="Q47" s="9">
        <f t="shared" si="34"/>
        <v>0.28000000000000003</v>
      </c>
      <c r="R47" s="9">
        <v>1.4999999999999999E-2</v>
      </c>
      <c r="S47" s="9">
        <f t="shared" si="20"/>
        <v>4.0000000000000001E-3</v>
      </c>
      <c r="T47" s="9" t="str">
        <f t="shared" si="21"/>
        <v>1/250</v>
      </c>
      <c r="U47" s="9" t="str">
        <f t="shared" si="22"/>
        <v>U60</v>
      </c>
      <c r="V47" s="9">
        <f t="shared" si="36"/>
        <v>0.13</v>
      </c>
      <c r="W47" s="9">
        <f t="shared" si="37"/>
        <v>0.16</v>
      </c>
      <c r="X47" s="9">
        <f t="shared" si="61"/>
        <v>0.26999999999999996</v>
      </c>
      <c r="Y47" s="9">
        <v>0.6</v>
      </c>
      <c r="Z47" s="9">
        <f t="shared" si="58"/>
        <v>1646.58</v>
      </c>
      <c r="AA47" s="9">
        <f t="shared" si="59"/>
        <v>1646.36</v>
      </c>
      <c r="AB47" s="14">
        <f t="shared" si="60"/>
        <v>1646.6399999999999</v>
      </c>
      <c r="AC47" s="9"/>
    </row>
    <row r="48" spans="2:29">
      <c r="B48" t="s">
        <v>102</v>
      </c>
      <c r="C48">
        <v>4200</v>
      </c>
      <c r="D48">
        <v>1646.509</v>
      </c>
      <c r="E48">
        <f t="shared" si="7"/>
        <v>1646.51</v>
      </c>
      <c r="F48">
        <f t="shared" si="27"/>
        <v>1645.96</v>
      </c>
      <c r="G48">
        <f t="shared" si="56"/>
        <v>0.54999999999995453</v>
      </c>
      <c r="H48">
        <v>4.0000000000000001E-3</v>
      </c>
      <c r="J48" s="12" t="s">
        <v>513</v>
      </c>
      <c r="K48" s="10">
        <f t="shared" si="54"/>
        <v>4200</v>
      </c>
      <c r="L48" s="9">
        <f t="shared" si="2"/>
        <v>0.22</v>
      </c>
      <c r="M48" s="9">
        <f t="shared" ref="M48" si="71">M47</f>
        <v>0.17</v>
      </c>
      <c r="N48" s="9">
        <f t="shared" si="18"/>
        <v>1.38</v>
      </c>
      <c r="O48" s="9">
        <f t="shared" si="19"/>
        <v>1.31</v>
      </c>
      <c r="P48" s="9">
        <f t="shared" si="33"/>
        <v>0.33</v>
      </c>
      <c r="Q48" s="9">
        <f t="shared" si="34"/>
        <v>0.28000000000000003</v>
      </c>
      <c r="R48" s="9">
        <v>1.4999999999999999E-2</v>
      </c>
      <c r="S48" s="9">
        <f t="shared" si="20"/>
        <v>4.0000000000000001E-3</v>
      </c>
      <c r="T48" s="9" t="str">
        <f t="shared" si="21"/>
        <v>1/250</v>
      </c>
      <c r="U48" s="9" t="str">
        <f t="shared" si="22"/>
        <v>U60</v>
      </c>
      <c r="V48" s="9">
        <f t="shared" si="36"/>
        <v>0.13</v>
      </c>
      <c r="W48" s="9">
        <f t="shared" si="37"/>
        <v>0.16</v>
      </c>
      <c r="X48" s="9">
        <f t="shared" si="61"/>
        <v>0.26999999999999996</v>
      </c>
      <c r="Y48" s="9">
        <v>0.6</v>
      </c>
      <c r="Z48" s="9">
        <f t="shared" si="58"/>
        <v>1646.51</v>
      </c>
      <c r="AA48" s="9">
        <f t="shared" si="59"/>
        <v>1645.96</v>
      </c>
      <c r="AB48" s="14">
        <f t="shared" si="60"/>
        <v>1646.24</v>
      </c>
      <c r="AC48" s="9"/>
    </row>
    <row r="49" spans="2:29">
      <c r="B49" t="s">
        <v>104</v>
      </c>
      <c r="C49">
        <v>4300</v>
      </c>
      <c r="D49">
        <v>1646.229</v>
      </c>
      <c r="E49">
        <f t="shared" si="7"/>
        <v>1646.23</v>
      </c>
      <c r="F49">
        <f t="shared" si="27"/>
        <v>1645.56</v>
      </c>
      <c r="G49">
        <f t="shared" si="56"/>
        <v>0.67000000000007276</v>
      </c>
      <c r="H49">
        <v>2E-3</v>
      </c>
      <c r="J49" s="9"/>
      <c r="K49" s="10">
        <f t="shared" si="54"/>
        <v>4300</v>
      </c>
      <c r="L49" s="9">
        <f t="shared" si="2"/>
        <v>0.22</v>
      </c>
      <c r="M49" s="9">
        <f t="shared" ref="M49" si="72">M48</f>
        <v>0.17</v>
      </c>
      <c r="N49" s="9">
        <f t="shared" si="18"/>
        <v>1.05</v>
      </c>
      <c r="O49" s="9">
        <f t="shared" si="19"/>
        <v>1</v>
      </c>
      <c r="P49" s="9">
        <v>0.41</v>
      </c>
      <c r="Q49" s="9">
        <v>0.35</v>
      </c>
      <c r="R49" s="9">
        <v>1.4999999999999999E-2</v>
      </c>
      <c r="S49" s="9">
        <f t="shared" si="20"/>
        <v>2E-3</v>
      </c>
      <c r="T49" s="9" t="str">
        <f t="shared" si="21"/>
        <v>1/500</v>
      </c>
      <c r="U49" s="9" t="str">
        <f t="shared" si="22"/>
        <v>U60</v>
      </c>
      <c r="V49" s="9">
        <v>0.17</v>
      </c>
      <c r="W49" s="9">
        <v>0.21</v>
      </c>
      <c r="X49" s="9">
        <f t="shared" si="61"/>
        <v>0.19</v>
      </c>
      <c r="Y49" s="9">
        <v>0.6</v>
      </c>
      <c r="Z49" s="9">
        <f t="shared" si="58"/>
        <v>1646.23</v>
      </c>
      <c r="AA49" s="9">
        <f t="shared" si="59"/>
        <v>1645.56</v>
      </c>
      <c r="AB49" s="14">
        <f t="shared" si="60"/>
        <v>1645.9099999999999</v>
      </c>
      <c r="AC49" s="9"/>
    </row>
    <row r="50" spans="2:29">
      <c r="B50" t="s">
        <v>107</v>
      </c>
      <c r="C50">
        <v>4400</v>
      </c>
      <c r="D50">
        <v>1645.8240000000001</v>
      </c>
      <c r="E50">
        <f t="shared" si="7"/>
        <v>1645.82</v>
      </c>
      <c r="F50">
        <f t="shared" si="27"/>
        <v>1645.36</v>
      </c>
      <c r="G50">
        <f t="shared" si="56"/>
        <v>0.46000000000003638</v>
      </c>
      <c r="H50">
        <v>2E-3</v>
      </c>
      <c r="J50" s="9"/>
      <c r="K50" s="10">
        <f t="shared" si="54"/>
        <v>4400</v>
      </c>
      <c r="L50" s="9">
        <f t="shared" si="2"/>
        <v>0.22</v>
      </c>
      <c r="M50" s="9">
        <f t="shared" ref="M50" si="73">M49</f>
        <v>0.17</v>
      </c>
      <c r="N50" s="9">
        <f t="shared" si="18"/>
        <v>1.05</v>
      </c>
      <c r="O50" s="9">
        <f t="shared" si="19"/>
        <v>1</v>
      </c>
      <c r="P50" s="9">
        <f t="shared" si="33"/>
        <v>0.41</v>
      </c>
      <c r="Q50" s="9">
        <f t="shared" si="34"/>
        <v>0.35</v>
      </c>
      <c r="R50" s="9">
        <v>1.4999999999999999E-2</v>
      </c>
      <c r="S50" s="9">
        <f t="shared" si="20"/>
        <v>2E-3</v>
      </c>
      <c r="T50" s="9" t="str">
        <f t="shared" si="21"/>
        <v>1/500</v>
      </c>
      <c r="U50" s="9" t="str">
        <f t="shared" si="22"/>
        <v>U60</v>
      </c>
      <c r="V50" s="9">
        <f t="shared" si="36"/>
        <v>0.17</v>
      </c>
      <c r="W50" s="9">
        <f t="shared" si="37"/>
        <v>0.21</v>
      </c>
      <c r="X50" s="9">
        <f t="shared" si="61"/>
        <v>0.19</v>
      </c>
      <c r="Y50" s="9">
        <v>0.6</v>
      </c>
      <c r="Z50" s="9">
        <f t="shared" si="58"/>
        <v>1645.82</v>
      </c>
      <c r="AA50" s="9">
        <f t="shared" si="59"/>
        <v>1645.36</v>
      </c>
      <c r="AB50" s="14">
        <f t="shared" si="60"/>
        <v>1645.7099999999998</v>
      </c>
      <c r="AC50" s="9"/>
    </row>
    <row r="51" spans="2:29">
      <c r="B51" t="s">
        <v>109</v>
      </c>
      <c r="C51">
        <v>4500</v>
      </c>
      <c r="D51">
        <v>1645.693</v>
      </c>
      <c r="E51">
        <f t="shared" si="7"/>
        <v>1645.69</v>
      </c>
      <c r="F51">
        <f t="shared" si="27"/>
        <v>1645.16</v>
      </c>
      <c r="G51">
        <f t="shared" si="56"/>
        <v>0.52999999999997272</v>
      </c>
      <c r="H51">
        <v>2E-3</v>
      </c>
      <c r="J51" s="9"/>
      <c r="K51" s="10">
        <f t="shared" si="54"/>
        <v>4500</v>
      </c>
      <c r="L51" s="9">
        <f t="shared" si="2"/>
        <v>0.22</v>
      </c>
      <c r="M51" s="9">
        <f t="shared" ref="M51" si="74">M50</f>
        <v>0.17</v>
      </c>
      <c r="N51" s="9">
        <f t="shared" si="18"/>
        <v>1.05</v>
      </c>
      <c r="O51" s="9">
        <f t="shared" si="19"/>
        <v>1</v>
      </c>
      <c r="P51" s="9">
        <f t="shared" si="33"/>
        <v>0.41</v>
      </c>
      <c r="Q51" s="9">
        <f t="shared" si="34"/>
        <v>0.35</v>
      </c>
      <c r="R51" s="9">
        <v>1.4999999999999999E-2</v>
      </c>
      <c r="S51" s="9">
        <f t="shared" si="20"/>
        <v>2E-3</v>
      </c>
      <c r="T51" s="9" t="str">
        <f t="shared" si="21"/>
        <v>1/500</v>
      </c>
      <c r="U51" s="9" t="str">
        <f t="shared" si="22"/>
        <v>U60</v>
      </c>
      <c r="V51" s="9">
        <f t="shared" si="36"/>
        <v>0.17</v>
      </c>
      <c r="W51" s="9">
        <f t="shared" si="37"/>
        <v>0.21</v>
      </c>
      <c r="X51" s="9">
        <f t="shared" si="61"/>
        <v>0.19</v>
      </c>
      <c r="Y51" s="9">
        <v>0.6</v>
      </c>
      <c r="Z51" s="9">
        <f t="shared" si="58"/>
        <v>1645.69</v>
      </c>
      <c r="AA51" s="9">
        <f t="shared" si="59"/>
        <v>1645.16</v>
      </c>
      <c r="AB51" s="14">
        <f t="shared" si="60"/>
        <v>1645.51</v>
      </c>
      <c r="AC51" s="9"/>
    </row>
    <row r="52" spans="2:29">
      <c r="B52" t="s">
        <v>111</v>
      </c>
      <c r="C52">
        <v>4600</v>
      </c>
      <c r="D52">
        <v>1645.3879999999999</v>
      </c>
      <c r="E52">
        <f t="shared" si="7"/>
        <v>1645.39</v>
      </c>
      <c r="F52">
        <f t="shared" si="27"/>
        <v>1644.96</v>
      </c>
      <c r="G52">
        <f t="shared" si="56"/>
        <v>0.43000000000006366</v>
      </c>
      <c r="H52">
        <v>2E-3</v>
      </c>
      <c r="J52" s="9"/>
      <c r="K52" s="10">
        <f t="shared" si="54"/>
        <v>4600</v>
      </c>
      <c r="L52" s="9">
        <f t="shared" si="2"/>
        <v>0.22</v>
      </c>
      <c r="M52" s="9">
        <f t="shared" ref="M52" si="75">M51</f>
        <v>0.17</v>
      </c>
      <c r="N52" s="9">
        <f t="shared" si="18"/>
        <v>1.05</v>
      </c>
      <c r="O52" s="9">
        <f t="shared" si="19"/>
        <v>1</v>
      </c>
      <c r="P52" s="9">
        <f t="shared" si="33"/>
        <v>0.41</v>
      </c>
      <c r="Q52" s="9">
        <f t="shared" si="34"/>
        <v>0.35</v>
      </c>
      <c r="R52" s="9">
        <v>1.4999999999999999E-2</v>
      </c>
      <c r="S52" s="9">
        <f t="shared" si="20"/>
        <v>2E-3</v>
      </c>
      <c r="T52" s="9" t="str">
        <f t="shared" si="21"/>
        <v>1/500</v>
      </c>
      <c r="U52" s="9" t="str">
        <f t="shared" si="22"/>
        <v>U60</v>
      </c>
      <c r="V52" s="9">
        <f t="shared" si="36"/>
        <v>0.17</v>
      </c>
      <c r="W52" s="9">
        <f t="shared" si="37"/>
        <v>0.21</v>
      </c>
      <c r="X52" s="9">
        <f t="shared" si="61"/>
        <v>0.19</v>
      </c>
      <c r="Y52" s="9">
        <v>0.6</v>
      </c>
      <c r="Z52" s="9">
        <f t="shared" si="58"/>
        <v>1645.39</v>
      </c>
      <c r="AA52" s="9">
        <f t="shared" si="59"/>
        <v>1644.96</v>
      </c>
      <c r="AB52" s="14">
        <f t="shared" si="60"/>
        <v>1645.31</v>
      </c>
      <c r="AC52" s="9"/>
    </row>
    <row r="53" spans="2:29">
      <c r="B53" t="s">
        <v>113</v>
      </c>
      <c r="C53">
        <v>4700</v>
      </c>
      <c r="D53">
        <v>1645.0840000000001</v>
      </c>
      <c r="E53">
        <f t="shared" si="7"/>
        <v>1645.08</v>
      </c>
      <c r="F53">
        <f t="shared" si="27"/>
        <v>1644.76</v>
      </c>
      <c r="G53">
        <f t="shared" si="56"/>
        <v>0.31999999999993634</v>
      </c>
      <c r="H53">
        <v>2E-3</v>
      </c>
      <c r="J53" s="9"/>
      <c r="K53" s="10">
        <f t="shared" si="54"/>
        <v>4700</v>
      </c>
      <c r="L53" s="9">
        <f t="shared" si="2"/>
        <v>0.22</v>
      </c>
      <c r="M53" s="9">
        <f t="shared" ref="M53" si="76">M52</f>
        <v>0.17</v>
      </c>
      <c r="N53" s="9">
        <f t="shared" si="18"/>
        <v>1.05</v>
      </c>
      <c r="O53" s="9">
        <f t="shared" si="19"/>
        <v>1</v>
      </c>
      <c r="P53" s="9">
        <f t="shared" si="33"/>
        <v>0.41</v>
      </c>
      <c r="Q53" s="9">
        <f t="shared" si="34"/>
        <v>0.35</v>
      </c>
      <c r="R53" s="9">
        <v>1.4999999999999999E-2</v>
      </c>
      <c r="S53" s="9">
        <f t="shared" si="20"/>
        <v>2E-3</v>
      </c>
      <c r="T53" s="9" t="str">
        <f t="shared" si="21"/>
        <v>1/500</v>
      </c>
      <c r="U53" s="9" t="str">
        <f t="shared" si="22"/>
        <v>U60</v>
      </c>
      <c r="V53" s="9">
        <f t="shared" si="36"/>
        <v>0.17</v>
      </c>
      <c r="W53" s="9">
        <f t="shared" si="37"/>
        <v>0.21</v>
      </c>
      <c r="X53" s="9">
        <f t="shared" si="61"/>
        <v>0.19</v>
      </c>
      <c r="Y53" s="9">
        <v>0.6</v>
      </c>
      <c r="Z53" s="9">
        <f t="shared" si="58"/>
        <v>1645.08</v>
      </c>
      <c r="AA53" s="9">
        <f t="shared" si="59"/>
        <v>1644.76</v>
      </c>
      <c r="AB53" s="14">
        <f t="shared" si="60"/>
        <v>1645.11</v>
      </c>
      <c r="AC53" s="9"/>
    </row>
    <row r="54" spans="2:29">
      <c r="B54" t="s">
        <v>446</v>
      </c>
      <c r="C54">
        <v>4800</v>
      </c>
      <c r="D54">
        <v>1644.7629999999999</v>
      </c>
      <c r="E54">
        <f t="shared" ref="E54:E60" si="77">ROUND(D54,2)</f>
        <v>1644.76</v>
      </c>
      <c r="F54">
        <f t="shared" si="27"/>
        <v>1644.56</v>
      </c>
      <c r="G54">
        <f t="shared" si="56"/>
        <v>0.20000000000004547</v>
      </c>
      <c r="H54">
        <v>2E-3</v>
      </c>
      <c r="J54" s="12" t="s">
        <v>514</v>
      </c>
      <c r="K54" s="10">
        <f t="shared" si="54"/>
        <v>4800</v>
      </c>
      <c r="L54" s="9">
        <f t="shared" si="2"/>
        <v>0.22</v>
      </c>
      <c r="M54" s="9">
        <f t="shared" ref="M54" si="78">M53</f>
        <v>0.17</v>
      </c>
      <c r="N54" s="9">
        <f t="shared" si="18"/>
        <v>1.05</v>
      </c>
      <c r="O54" s="9">
        <f t="shared" si="19"/>
        <v>1</v>
      </c>
      <c r="P54" s="9">
        <f t="shared" si="33"/>
        <v>0.41</v>
      </c>
      <c r="Q54" s="9">
        <f t="shared" si="34"/>
        <v>0.35</v>
      </c>
      <c r="R54" s="9">
        <v>1.4999999999999999E-2</v>
      </c>
      <c r="S54" s="9">
        <f t="shared" si="20"/>
        <v>2E-3</v>
      </c>
      <c r="T54" s="9" t="str">
        <f t="shared" si="21"/>
        <v>1/500</v>
      </c>
      <c r="U54" s="9" t="str">
        <f t="shared" si="22"/>
        <v>U60</v>
      </c>
      <c r="V54" s="9">
        <f t="shared" si="36"/>
        <v>0.17</v>
      </c>
      <c r="W54" s="9">
        <f t="shared" si="37"/>
        <v>0.21</v>
      </c>
      <c r="X54" s="9">
        <f t="shared" si="61"/>
        <v>0.19</v>
      </c>
      <c r="Y54" s="9">
        <v>0.6</v>
      </c>
      <c r="Z54" s="9">
        <f t="shared" si="58"/>
        <v>1644.76</v>
      </c>
      <c r="AA54" s="9">
        <f t="shared" si="59"/>
        <v>1644.56</v>
      </c>
      <c r="AB54" s="14">
        <f t="shared" si="60"/>
        <v>1644.9099999999999</v>
      </c>
      <c r="AC54" s="9"/>
    </row>
    <row r="55" spans="2:29">
      <c r="B55" t="s">
        <v>447</v>
      </c>
      <c r="C55">
        <v>4900</v>
      </c>
      <c r="D55">
        <v>1644.4580000000001</v>
      </c>
      <c r="E55">
        <f t="shared" si="77"/>
        <v>1644.46</v>
      </c>
      <c r="F55">
        <f t="shared" si="27"/>
        <v>1644.36</v>
      </c>
      <c r="G55">
        <f t="shared" si="56"/>
        <v>0.10000000000013642</v>
      </c>
      <c r="H55">
        <v>2E-3</v>
      </c>
      <c r="J55" s="9"/>
      <c r="K55" s="10">
        <f t="shared" si="54"/>
        <v>4900</v>
      </c>
      <c r="L55" s="9">
        <f t="shared" si="2"/>
        <v>0.22</v>
      </c>
      <c r="M55" s="9">
        <f t="shared" ref="M55" si="79">M54</f>
        <v>0.17</v>
      </c>
      <c r="N55" s="9">
        <f t="shared" si="18"/>
        <v>1.05</v>
      </c>
      <c r="O55" s="9">
        <f t="shared" si="19"/>
        <v>1</v>
      </c>
      <c r="P55" s="9">
        <f t="shared" si="33"/>
        <v>0.41</v>
      </c>
      <c r="Q55" s="9">
        <f t="shared" si="34"/>
        <v>0.35</v>
      </c>
      <c r="R55" s="9">
        <v>1.4999999999999999E-2</v>
      </c>
      <c r="S55" s="9">
        <f t="shared" si="20"/>
        <v>2E-3</v>
      </c>
      <c r="T55" s="9" t="str">
        <f t="shared" si="21"/>
        <v>1/500</v>
      </c>
      <c r="U55" s="9" t="str">
        <f t="shared" si="22"/>
        <v>U60</v>
      </c>
      <c r="V55" s="9">
        <f t="shared" si="36"/>
        <v>0.17</v>
      </c>
      <c r="W55" s="9">
        <f t="shared" si="37"/>
        <v>0.21</v>
      </c>
      <c r="X55" s="9">
        <f t="shared" si="61"/>
        <v>0.19</v>
      </c>
      <c r="Y55" s="9">
        <v>0.6</v>
      </c>
      <c r="Z55" s="9">
        <f t="shared" si="58"/>
        <v>1644.46</v>
      </c>
      <c r="AA55" s="9">
        <f t="shared" si="59"/>
        <v>1644.36</v>
      </c>
      <c r="AB55" s="14">
        <f t="shared" si="60"/>
        <v>1644.7099999999998</v>
      </c>
      <c r="AC55" s="9"/>
    </row>
    <row r="56" spans="2:29">
      <c r="B56" t="s">
        <v>448</v>
      </c>
      <c r="C56">
        <v>5000</v>
      </c>
      <c r="D56">
        <v>1644.1849999999999</v>
      </c>
      <c r="E56">
        <f t="shared" si="77"/>
        <v>1644.19</v>
      </c>
      <c r="F56">
        <f t="shared" si="27"/>
        <v>1644.16</v>
      </c>
      <c r="G56">
        <f t="shared" si="56"/>
        <v>2.9999999999972715E-2</v>
      </c>
      <c r="H56">
        <v>2E-3</v>
      </c>
      <c r="J56" s="9"/>
      <c r="K56" s="10">
        <f t="shared" si="54"/>
        <v>5000</v>
      </c>
      <c r="L56" s="9">
        <f t="shared" si="2"/>
        <v>0.22</v>
      </c>
      <c r="M56" s="9">
        <f t="shared" ref="M56" si="80">M55</f>
        <v>0.17</v>
      </c>
      <c r="N56" s="9">
        <f t="shared" si="18"/>
        <v>1.05</v>
      </c>
      <c r="O56" s="9">
        <f t="shared" si="19"/>
        <v>1</v>
      </c>
      <c r="P56" s="9">
        <f t="shared" si="33"/>
        <v>0.41</v>
      </c>
      <c r="Q56" s="9">
        <f t="shared" si="34"/>
        <v>0.35</v>
      </c>
      <c r="R56" s="9">
        <v>1.4999999999999999E-2</v>
      </c>
      <c r="S56" s="9">
        <f t="shared" si="20"/>
        <v>2E-3</v>
      </c>
      <c r="T56" s="9" t="str">
        <f t="shared" si="21"/>
        <v>1/500</v>
      </c>
      <c r="U56" s="9" t="str">
        <f t="shared" si="22"/>
        <v>U60</v>
      </c>
      <c r="V56" s="9">
        <f t="shared" si="36"/>
        <v>0.17</v>
      </c>
      <c r="W56" s="9">
        <f t="shared" si="37"/>
        <v>0.21</v>
      </c>
      <c r="X56" s="9">
        <f t="shared" si="61"/>
        <v>0.19</v>
      </c>
      <c r="Y56" s="9">
        <v>0.6</v>
      </c>
      <c r="Z56" s="9">
        <f t="shared" si="58"/>
        <v>1644.19</v>
      </c>
      <c r="AA56" s="9">
        <f t="shared" si="59"/>
        <v>1644.16</v>
      </c>
      <c r="AB56" s="14">
        <f t="shared" si="60"/>
        <v>1644.51</v>
      </c>
      <c r="AC56" s="9"/>
    </row>
    <row r="57" spans="2:29">
      <c r="B57" t="s">
        <v>449</v>
      </c>
      <c r="C57">
        <v>5100</v>
      </c>
      <c r="D57">
        <v>1644.114</v>
      </c>
      <c r="E57">
        <f t="shared" si="77"/>
        <v>1644.11</v>
      </c>
      <c r="F57">
        <f t="shared" si="27"/>
        <v>1643.96</v>
      </c>
      <c r="G57">
        <f t="shared" si="56"/>
        <v>0.14999999999986358</v>
      </c>
      <c r="H57">
        <v>2E-3</v>
      </c>
      <c r="J57" s="9"/>
      <c r="K57" s="10">
        <f t="shared" si="54"/>
        <v>5100</v>
      </c>
      <c r="L57" s="9">
        <f t="shared" si="2"/>
        <v>0.22</v>
      </c>
      <c r="M57" s="9">
        <f t="shared" ref="M57" si="81">M56</f>
        <v>0.17</v>
      </c>
      <c r="N57" s="9">
        <f t="shared" si="18"/>
        <v>1.05</v>
      </c>
      <c r="O57" s="9">
        <f t="shared" si="19"/>
        <v>1</v>
      </c>
      <c r="P57" s="9">
        <f t="shared" si="33"/>
        <v>0.41</v>
      </c>
      <c r="Q57" s="9">
        <f t="shared" si="34"/>
        <v>0.35</v>
      </c>
      <c r="R57" s="9">
        <v>1.4999999999999999E-2</v>
      </c>
      <c r="S57" s="9">
        <f t="shared" si="20"/>
        <v>2E-3</v>
      </c>
      <c r="T57" s="9" t="str">
        <f t="shared" si="21"/>
        <v>1/500</v>
      </c>
      <c r="U57" s="9" t="str">
        <f t="shared" si="22"/>
        <v>U60</v>
      </c>
      <c r="V57" s="9">
        <f t="shared" si="36"/>
        <v>0.17</v>
      </c>
      <c r="W57" s="9">
        <f t="shared" si="37"/>
        <v>0.21</v>
      </c>
      <c r="X57" s="9">
        <f t="shared" si="61"/>
        <v>0.19</v>
      </c>
      <c r="Y57" s="9">
        <v>0.6</v>
      </c>
      <c r="Z57" s="9">
        <f t="shared" si="58"/>
        <v>1644.11</v>
      </c>
      <c r="AA57" s="9">
        <f t="shared" si="59"/>
        <v>1643.96</v>
      </c>
      <c r="AB57" s="14">
        <f t="shared" si="60"/>
        <v>1644.31</v>
      </c>
      <c r="AC57" s="9"/>
    </row>
    <row r="58" spans="2:29">
      <c r="B58" t="s">
        <v>450</v>
      </c>
      <c r="C58">
        <v>5200</v>
      </c>
      <c r="D58">
        <v>1644.098</v>
      </c>
      <c r="E58">
        <f t="shared" si="77"/>
        <v>1644.1</v>
      </c>
      <c r="F58">
        <f t="shared" si="27"/>
        <v>1643.76</v>
      </c>
      <c r="G58">
        <f t="shared" si="56"/>
        <v>0.33999999999991815</v>
      </c>
      <c r="H58">
        <v>2E-3</v>
      </c>
      <c r="J58" s="9"/>
      <c r="K58" s="10">
        <f t="shared" si="54"/>
        <v>5200</v>
      </c>
      <c r="L58" s="9">
        <f t="shared" si="2"/>
        <v>0.22</v>
      </c>
      <c r="M58" s="9">
        <f t="shared" ref="M58" si="82">M57</f>
        <v>0.17</v>
      </c>
      <c r="N58" s="9">
        <f t="shared" si="18"/>
        <v>1.05</v>
      </c>
      <c r="O58" s="9">
        <f t="shared" si="19"/>
        <v>1</v>
      </c>
      <c r="P58" s="9">
        <f t="shared" si="33"/>
        <v>0.41</v>
      </c>
      <c r="Q58" s="9">
        <f t="shared" si="34"/>
        <v>0.35</v>
      </c>
      <c r="R58" s="9">
        <v>1.4999999999999999E-2</v>
      </c>
      <c r="S58" s="9">
        <f t="shared" si="20"/>
        <v>2E-3</v>
      </c>
      <c r="T58" s="9" t="str">
        <f t="shared" si="21"/>
        <v>1/500</v>
      </c>
      <c r="U58" s="9" t="str">
        <f t="shared" si="22"/>
        <v>U60</v>
      </c>
      <c r="V58" s="9">
        <f t="shared" si="36"/>
        <v>0.17</v>
      </c>
      <c r="W58" s="9">
        <f t="shared" si="37"/>
        <v>0.21</v>
      </c>
      <c r="X58" s="9">
        <f t="shared" si="61"/>
        <v>0.19</v>
      </c>
      <c r="Y58" s="9">
        <v>0.6</v>
      </c>
      <c r="Z58" s="9">
        <f t="shared" si="58"/>
        <v>1644.1</v>
      </c>
      <c r="AA58" s="9">
        <f t="shared" si="59"/>
        <v>1643.76</v>
      </c>
      <c r="AB58" s="14">
        <f t="shared" si="60"/>
        <v>1644.11</v>
      </c>
      <c r="AC58" s="9"/>
    </row>
    <row r="59" spans="2:29">
      <c r="B59" t="s">
        <v>451</v>
      </c>
      <c r="C59">
        <v>5300</v>
      </c>
      <c r="D59">
        <v>1644.0740000000001</v>
      </c>
      <c r="E59">
        <f t="shared" si="77"/>
        <v>1644.07</v>
      </c>
      <c r="F59">
        <f t="shared" si="27"/>
        <v>1643.56</v>
      </c>
      <c r="G59">
        <f t="shared" si="56"/>
        <v>0.50999999999999091</v>
      </c>
      <c r="H59">
        <v>2E-3</v>
      </c>
      <c r="J59" s="9"/>
      <c r="K59" s="10">
        <f t="shared" si="54"/>
        <v>5300</v>
      </c>
      <c r="L59" s="9">
        <f t="shared" si="2"/>
        <v>0.22</v>
      </c>
      <c r="M59" s="9">
        <f t="shared" ref="M59" si="83">M58</f>
        <v>0.17</v>
      </c>
      <c r="N59" s="9">
        <f t="shared" si="18"/>
        <v>1.05</v>
      </c>
      <c r="O59" s="9">
        <f t="shared" si="19"/>
        <v>1</v>
      </c>
      <c r="P59" s="9">
        <f t="shared" si="33"/>
        <v>0.41</v>
      </c>
      <c r="Q59" s="9">
        <f t="shared" si="34"/>
        <v>0.35</v>
      </c>
      <c r="R59" s="9">
        <v>1.4999999999999999E-2</v>
      </c>
      <c r="S59" s="9">
        <f t="shared" si="20"/>
        <v>2E-3</v>
      </c>
      <c r="T59" s="9" t="str">
        <f t="shared" si="21"/>
        <v>1/500</v>
      </c>
      <c r="U59" s="9" t="str">
        <f t="shared" si="22"/>
        <v>U60</v>
      </c>
      <c r="V59" s="9">
        <f t="shared" si="36"/>
        <v>0.17</v>
      </c>
      <c r="W59" s="9">
        <f t="shared" si="37"/>
        <v>0.21</v>
      </c>
      <c r="X59" s="9">
        <f t="shared" si="61"/>
        <v>0.19</v>
      </c>
      <c r="Y59" s="9">
        <v>0.6</v>
      </c>
      <c r="Z59" s="9">
        <f t="shared" si="58"/>
        <v>1644.07</v>
      </c>
      <c r="AA59" s="9">
        <f t="shared" si="59"/>
        <v>1643.56</v>
      </c>
      <c r="AB59" s="14">
        <f t="shared" si="60"/>
        <v>1643.9099999999999</v>
      </c>
      <c r="AC59" s="9"/>
    </row>
    <row r="60" spans="2:29">
      <c r="B60" t="s">
        <v>452</v>
      </c>
      <c r="C60">
        <v>5310</v>
      </c>
      <c r="D60">
        <v>1644.0250000000001</v>
      </c>
      <c r="E60">
        <f t="shared" si="77"/>
        <v>1644.03</v>
      </c>
      <c r="F60">
        <f t="shared" si="27"/>
        <v>1643.54</v>
      </c>
      <c r="G60">
        <f t="shared" si="56"/>
        <v>0.49000000000000909</v>
      </c>
      <c r="H60">
        <v>2E-3</v>
      </c>
      <c r="J60" s="12" t="s">
        <v>515</v>
      </c>
      <c r="K60" s="10">
        <f t="shared" si="54"/>
        <v>5310</v>
      </c>
      <c r="L60" s="9">
        <f t="shared" si="2"/>
        <v>0.22</v>
      </c>
      <c r="M60" s="9">
        <f t="shared" ref="M60" si="84">M59</f>
        <v>0.17</v>
      </c>
      <c r="N60" s="9">
        <f t="shared" si="18"/>
        <v>1.05</v>
      </c>
      <c r="O60" s="9">
        <f t="shared" si="19"/>
        <v>1</v>
      </c>
      <c r="P60" s="9">
        <f t="shared" si="33"/>
        <v>0.41</v>
      </c>
      <c r="Q60" s="9">
        <f t="shared" si="34"/>
        <v>0.35</v>
      </c>
      <c r="R60" s="9">
        <v>1.4999999999999999E-2</v>
      </c>
      <c r="S60" s="9">
        <f t="shared" si="20"/>
        <v>2E-3</v>
      </c>
      <c r="T60" s="9" t="str">
        <f t="shared" si="21"/>
        <v>1/500</v>
      </c>
      <c r="U60" s="9" t="str">
        <f t="shared" si="22"/>
        <v>U60</v>
      </c>
      <c r="V60" s="9">
        <f t="shared" si="36"/>
        <v>0.17</v>
      </c>
      <c r="W60" s="9">
        <f t="shared" si="37"/>
        <v>0.21</v>
      </c>
      <c r="X60" s="9">
        <f t="shared" si="61"/>
        <v>0.19</v>
      </c>
      <c r="Y60" s="9">
        <v>0.6</v>
      </c>
      <c r="Z60" s="9">
        <f t="shared" si="58"/>
        <v>1644.03</v>
      </c>
      <c r="AA60" s="9">
        <f t="shared" si="59"/>
        <v>1643.54</v>
      </c>
      <c r="AB60" s="14">
        <f t="shared" si="60"/>
        <v>1643.8899999999999</v>
      </c>
      <c r="AC60" s="9"/>
    </row>
    <row r="63" spans="2:29">
      <c r="K63" s="43" t="s">
        <v>336</v>
      </c>
      <c r="L63" s="43" t="s">
        <v>337</v>
      </c>
      <c r="M63" s="43"/>
      <c r="N63" s="43" t="s">
        <v>338</v>
      </c>
      <c r="O63" s="43"/>
      <c r="P63" s="43" t="s">
        <v>339</v>
      </c>
      <c r="Q63" s="43"/>
      <c r="R63" s="9" t="s">
        <v>340</v>
      </c>
      <c r="S63" s="9" t="s">
        <v>289</v>
      </c>
      <c r="T63" s="9" t="s">
        <v>863</v>
      </c>
      <c r="U63" s="43" t="s">
        <v>786</v>
      </c>
      <c r="V63" s="43"/>
      <c r="W63" s="43" t="s">
        <v>793</v>
      </c>
      <c r="X63" s="43"/>
      <c r="Y63" s="43" t="s">
        <v>794</v>
      </c>
      <c r="Z63" s="43"/>
      <c r="AA63" s="9" t="s">
        <v>789</v>
      </c>
      <c r="AB63" s="9" t="s">
        <v>790</v>
      </c>
    </row>
    <row r="64" spans="2:29" ht="15.6">
      <c r="K64" s="43"/>
      <c r="L64" s="9" t="s">
        <v>349</v>
      </c>
      <c r="M64" s="9" t="s">
        <v>348</v>
      </c>
      <c r="N64" s="9" t="s">
        <v>351</v>
      </c>
      <c r="O64" s="9" t="s">
        <v>352</v>
      </c>
      <c r="P64" s="9" t="s">
        <v>353</v>
      </c>
      <c r="Q64" s="9" t="s">
        <v>354</v>
      </c>
      <c r="R64" s="9" t="s">
        <v>309</v>
      </c>
      <c r="S64" s="9" t="s">
        <v>308</v>
      </c>
      <c r="T64" s="9" t="s">
        <v>864</v>
      </c>
      <c r="U64" s="9" t="s">
        <v>787</v>
      </c>
      <c r="V64" s="9" t="s">
        <v>788</v>
      </c>
      <c r="W64" s="9" t="s">
        <v>798</v>
      </c>
      <c r="X64" s="9" t="s">
        <v>799</v>
      </c>
      <c r="Y64" s="9" t="s">
        <v>800</v>
      </c>
      <c r="Z64" s="9" t="s">
        <v>801</v>
      </c>
      <c r="AA64" s="9" t="s">
        <v>792</v>
      </c>
      <c r="AB64" s="9" t="s">
        <v>791</v>
      </c>
    </row>
    <row r="65" spans="11:28" ht="16.2">
      <c r="K65" s="9" t="s">
        <v>356</v>
      </c>
      <c r="L65" s="9" t="s">
        <v>358</v>
      </c>
      <c r="M65" s="9" t="s">
        <v>358</v>
      </c>
      <c r="N65" s="9" t="s">
        <v>357</v>
      </c>
      <c r="O65" s="9" t="s">
        <v>357</v>
      </c>
      <c r="P65" s="9" t="s">
        <v>307</v>
      </c>
      <c r="Q65" s="9" t="s">
        <v>307</v>
      </c>
      <c r="R65" s="9"/>
      <c r="S65" s="9"/>
      <c r="T65" s="9" t="s">
        <v>795</v>
      </c>
      <c r="U65" s="9" t="s">
        <v>796</v>
      </c>
      <c r="V65" s="9" t="s">
        <v>796</v>
      </c>
      <c r="W65" s="9" t="s">
        <v>797</v>
      </c>
      <c r="X65" s="9"/>
      <c r="Y65" s="9" t="s">
        <v>797</v>
      </c>
      <c r="Z65" s="9"/>
      <c r="AA65" s="9" t="s">
        <v>797</v>
      </c>
      <c r="AB65" s="9" t="s">
        <v>797</v>
      </c>
    </row>
    <row r="66" spans="11:28">
      <c r="K66" s="10">
        <f>K5</f>
        <v>10</v>
      </c>
      <c r="L66" s="9">
        <f>L5</f>
        <v>0.43</v>
      </c>
      <c r="M66" s="9">
        <f t="shared" ref="M66:R66" si="85">M5</f>
        <v>0.33</v>
      </c>
      <c r="N66" s="9">
        <f t="shared" si="85"/>
        <v>1.1299999999999999</v>
      </c>
      <c r="O66" s="9">
        <f t="shared" si="85"/>
        <v>1.06</v>
      </c>
      <c r="P66" s="9">
        <f t="shared" si="85"/>
        <v>0.54</v>
      </c>
      <c r="Q66" s="9">
        <f t="shared" si="85"/>
        <v>0.47</v>
      </c>
      <c r="R66" s="9">
        <f t="shared" si="85"/>
        <v>1.4999999999999999E-2</v>
      </c>
      <c r="S66" s="9" t="str">
        <f>T5</f>
        <v>1/143</v>
      </c>
      <c r="T66" s="9" t="str">
        <f t="shared" ref="T66" si="86">U5</f>
        <v>U80</v>
      </c>
      <c r="U66" s="9">
        <f>W5</f>
        <v>0.38</v>
      </c>
      <c r="V66" s="9">
        <f>V5</f>
        <v>0.31</v>
      </c>
      <c r="W66" s="9">
        <v>1.5449999999999999</v>
      </c>
      <c r="X66" s="9">
        <v>1.4019999999999999</v>
      </c>
      <c r="Y66" s="13">
        <f>U66/W66</f>
        <v>0.24595469255663432</v>
      </c>
      <c r="Z66" s="13">
        <f>V66/X66</f>
        <v>0.22111269614835949</v>
      </c>
      <c r="AA66" s="9">
        <f>X5</f>
        <v>0.26</v>
      </c>
      <c r="AB66" s="9">
        <f>Y5</f>
        <v>0.8</v>
      </c>
    </row>
    <row r="67" spans="11:28">
      <c r="K67" s="10">
        <f t="shared" ref="K67:R67" si="87">K7</f>
        <v>200</v>
      </c>
      <c r="L67" s="9">
        <f t="shared" si="87"/>
        <v>0.43</v>
      </c>
      <c r="M67" s="9">
        <f t="shared" si="87"/>
        <v>0.33</v>
      </c>
      <c r="N67" s="9">
        <f t="shared" si="87"/>
        <v>1.1299999999999999</v>
      </c>
      <c r="O67" s="9">
        <f t="shared" si="87"/>
        <v>1.06</v>
      </c>
      <c r="P67" s="9">
        <f t="shared" si="87"/>
        <v>0.54</v>
      </c>
      <c r="Q67" s="9">
        <f t="shared" si="87"/>
        <v>0.47</v>
      </c>
      <c r="R67" s="9">
        <f t="shared" si="87"/>
        <v>1.4999999999999999E-2</v>
      </c>
      <c r="S67" s="9" t="str">
        <f t="shared" ref="S67:T67" si="88">T7</f>
        <v>1/143</v>
      </c>
      <c r="T67" s="9" t="str">
        <f t="shared" si="88"/>
        <v>U80</v>
      </c>
      <c r="U67" s="9">
        <f>W7</f>
        <v>0.38</v>
      </c>
      <c r="V67" s="9">
        <f>V7</f>
        <v>0.31</v>
      </c>
      <c r="W67" s="9">
        <v>1.5449999999999999</v>
      </c>
      <c r="X67" s="9">
        <v>1.4019999999999999</v>
      </c>
      <c r="Y67" s="13">
        <f t="shared" ref="Y67:Y97" si="89">U67/W67</f>
        <v>0.24595469255663432</v>
      </c>
      <c r="Z67" s="13">
        <f t="shared" ref="Z67:Z97" si="90">V67/X67</f>
        <v>0.22111269614835949</v>
      </c>
      <c r="AA67" s="9">
        <f t="shared" ref="AA67:AB67" si="91">X7</f>
        <v>0.26</v>
      </c>
      <c r="AB67" s="9">
        <f t="shared" si="91"/>
        <v>0.8</v>
      </c>
    </row>
    <row r="68" spans="11:28">
      <c r="K68" s="10">
        <f t="shared" ref="K68:R68" si="92">K9</f>
        <v>400</v>
      </c>
      <c r="L68" s="9">
        <f t="shared" si="92"/>
        <v>0.43</v>
      </c>
      <c r="M68" s="9">
        <f t="shared" si="92"/>
        <v>0.33</v>
      </c>
      <c r="N68" s="9">
        <f t="shared" si="92"/>
        <v>1.1299999999999999</v>
      </c>
      <c r="O68" s="9">
        <f t="shared" si="92"/>
        <v>1.06</v>
      </c>
      <c r="P68" s="9">
        <f t="shared" si="92"/>
        <v>0.54</v>
      </c>
      <c r="Q68" s="9">
        <f t="shared" si="92"/>
        <v>0.47</v>
      </c>
      <c r="R68" s="9">
        <f t="shared" si="92"/>
        <v>1.4999999999999999E-2</v>
      </c>
      <c r="S68" s="9" t="str">
        <f t="shared" ref="S68:T68" si="93">T9</f>
        <v>1/143</v>
      </c>
      <c r="T68" s="9" t="str">
        <f t="shared" si="93"/>
        <v>U80</v>
      </c>
      <c r="U68" s="9">
        <f>W9</f>
        <v>0.38</v>
      </c>
      <c r="V68" s="9">
        <f>V9</f>
        <v>0.31</v>
      </c>
      <c r="W68" s="9">
        <v>1.5449999999999999</v>
      </c>
      <c r="X68" s="9">
        <v>1.4019999999999999</v>
      </c>
      <c r="Y68" s="13">
        <f t="shared" si="89"/>
        <v>0.24595469255663432</v>
      </c>
      <c r="Z68" s="13">
        <f t="shared" si="90"/>
        <v>0.22111269614835949</v>
      </c>
      <c r="AA68" s="9">
        <f t="shared" ref="AA68:AB68" si="94">X9</f>
        <v>0.26</v>
      </c>
      <c r="AB68" s="9">
        <f t="shared" si="94"/>
        <v>0.8</v>
      </c>
    </row>
    <row r="69" spans="11:28">
      <c r="K69" s="10">
        <f t="shared" ref="K69:R69" si="95">K11</f>
        <v>600</v>
      </c>
      <c r="L69" s="9">
        <f t="shared" si="95"/>
        <v>0.43</v>
      </c>
      <c r="M69" s="9">
        <f t="shared" si="95"/>
        <v>0.33</v>
      </c>
      <c r="N69" s="9">
        <f t="shared" si="95"/>
        <v>1.1299999999999999</v>
      </c>
      <c r="O69" s="9">
        <f t="shared" si="95"/>
        <v>1.06</v>
      </c>
      <c r="P69" s="9">
        <f t="shared" si="95"/>
        <v>0.54</v>
      </c>
      <c r="Q69" s="9">
        <f t="shared" si="95"/>
        <v>0.47</v>
      </c>
      <c r="R69" s="9">
        <f t="shared" si="95"/>
        <v>1.4999999999999999E-2</v>
      </c>
      <c r="S69" s="9" t="str">
        <f t="shared" ref="S69:T69" si="96">T11</f>
        <v>1/143</v>
      </c>
      <c r="T69" s="9" t="str">
        <f t="shared" si="96"/>
        <v>U80</v>
      </c>
      <c r="U69" s="9">
        <f>W11</f>
        <v>0.38</v>
      </c>
      <c r="V69" s="9">
        <f>V11</f>
        <v>0.31</v>
      </c>
      <c r="W69" s="9">
        <v>1.5449999999999999</v>
      </c>
      <c r="X69" s="9">
        <v>1.4019999999999999</v>
      </c>
      <c r="Y69" s="13">
        <f t="shared" si="89"/>
        <v>0.24595469255663432</v>
      </c>
      <c r="Z69" s="13">
        <f t="shared" si="90"/>
        <v>0.22111269614835949</v>
      </c>
      <c r="AA69" s="9">
        <f t="shared" ref="AA69:AB69" si="97">X11</f>
        <v>0.26</v>
      </c>
      <c r="AB69" s="9">
        <f t="shared" si="97"/>
        <v>0.8</v>
      </c>
    </row>
    <row r="70" spans="11:28">
      <c r="K70" s="10">
        <f t="shared" ref="K70:R70" si="98">K14</f>
        <v>800</v>
      </c>
      <c r="L70" s="9">
        <f t="shared" si="98"/>
        <v>0.43</v>
      </c>
      <c r="M70" s="9">
        <f t="shared" si="98"/>
        <v>0.33</v>
      </c>
      <c r="N70" s="9">
        <f t="shared" si="98"/>
        <v>1.1299999999999999</v>
      </c>
      <c r="O70" s="9">
        <f t="shared" si="98"/>
        <v>1.06</v>
      </c>
      <c r="P70" s="9">
        <f t="shared" si="98"/>
        <v>0.54</v>
      </c>
      <c r="Q70" s="9">
        <f t="shared" si="98"/>
        <v>0.47</v>
      </c>
      <c r="R70" s="9">
        <f t="shared" si="98"/>
        <v>1.4999999999999999E-2</v>
      </c>
      <c r="S70" s="9" t="str">
        <f t="shared" ref="S70:T70" si="99">T14</f>
        <v>1/143</v>
      </c>
      <c r="T70" s="9" t="str">
        <f t="shared" si="99"/>
        <v>U80</v>
      </c>
      <c r="U70" s="9">
        <f>W14</f>
        <v>0.38</v>
      </c>
      <c r="V70" s="9">
        <f>V14</f>
        <v>0.31</v>
      </c>
      <c r="W70" s="9">
        <v>1.5449999999999999</v>
      </c>
      <c r="X70" s="9">
        <v>1.4019999999999999</v>
      </c>
      <c r="Y70" s="13">
        <f t="shared" si="89"/>
        <v>0.24595469255663432</v>
      </c>
      <c r="Z70" s="13">
        <f t="shared" si="90"/>
        <v>0.22111269614835949</v>
      </c>
      <c r="AA70" s="9">
        <f t="shared" ref="AA70:AB70" si="100">X14</f>
        <v>0.26</v>
      </c>
      <c r="AB70" s="9">
        <f t="shared" si="100"/>
        <v>0.8</v>
      </c>
    </row>
    <row r="71" spans="11:28">
      <c r="K71" s="10">
        <f t="shared" ref="K71:R73" si="101">K16</f>
        <v>1000</v>
      </c>
      <c r="L71" s="9">
        <f t="shared" si="101"/>
        <v>0.43</v>
      </c>
      <c r="M71" s="9">
        <f t="shared" si="101"/>
        <v>0.33</v>
      </c>
      <c r="N71" s="9">
        <f t="shared" si="101"/>
        <v>1.1299999999999999</v>
      </c>
      <c r="O71" s="9">
        <f t="shared" si="101"/>
        <v>1.06</v>
      </c>
      <c r="P71" s="9">
        <f t="shared" si="101"/>
        <v>0.54</v>
      </c>
      <c r="Q71" s="9">
        <f t="shared" si="101"/>
        <v>0.47</v>
      </c>
      <c r="R71" s="9">
        <f t="shared" si="101"/>
        <v>1.4999999999999999E-2</v>
      </c>
      <c r="S71" s="9" t="str">
        <f t="shared" ref="S71:T71" si="102">T16</f>
        <v>1/143</v>
      </c>
      <c r="T71" s="9" t="str">
        <f t="shared" si="102"/>
        <v>U80</v>
      </c>
      <c r="U71" s="9">
        <f>W16</f>
        <v>0.38</v>
      </c>
      <c r="V71" s="9">
        <f>V16</f>
        <v>0.31</v>
      </c>
      <c r="W71" s="9">
        <v>1.5449999999999999</v>
      </c>
      <c r="X71" s="9">
        <v>1.4019999999999999</v>
      </c>
      <c r="Y71" s="13">
        <f t="shared" si="89"/>
        <v>0.24595469255663432</v>
      </c>
      <c r="Z71" s="13">
        <f t="shared" si="90"/>
        <v>0.22111269614835949</v>
      </c>
      <c r="AA71" s="9">
        <f t="shared" ref="AA71:AB71" si="103">X16</f>
        <v>0.26</v>
      </c>
      <c r="AB71" s="9">
        <f t="shared" si="103"/>
        <v>0.8</v>
      </c>
    </row>
    <row r="72" spans="11:28">
      <c r="K72" s="10">
        <f t="shared" si="101"/>
        <v>1100</v>
      </c>
      <c r="L72" s="9">
        <f t="shared" si="101"/>
        <v>0.43</v>
      </c>
      <c r="M72" s="9">
        <f t="shared" si="101"/>
        <v>0.33</v>
      </c>
      <c r="N72" s="9">
        <f t="shared" si="101"/>
        <v>1.05</v>
      </c>
      <c r="O72" s="9">
        <f t="shared" si="101"/>
        <v>0.87</v>
      </c>
      <c r="P72" s="9">
        <f t="shared" si="101"/>
        <v>0.59</v>
      </c>
      <c r="Q72" s="9">
        <f t="shared" si="101"/>
        <v>0.55000000000000004</v>
      </c>
      <c r="R72" s="9">
        <f t="shared" si="101"/>
        <v>1.4999999999999999E-2</v>
      </c>
      <c r="S72" s="9" t="str">
        <f t="shared" ref="S72:T72" si="104">T17</f>
        <v>1/1000</v>
      </c>
      <c r="T72" s="9" t="str">
        <f t="shared" si="104"/>
        <v>U80</v>
      </c>
      <c r="U72" s="9">
        <f>W17</f>
        <v>0.41</v>
      </c>
      <c r="V72" s="9">
        <f>V17</f>
        <v>0.38</v>
      </c>
      <c r="W72" s="9">
        <v>1.5449999999999999</v>
      </c>
      <c r="X72" s="9">
        <v>1.4019999999999999</v>
      </c>
      <c r="Y72" s="13">
        <f t="shared" si="89"/>
        <v>0.26537216828478966</v>
      </c>
      <c r="Z72" s="13">
        <f t="shared" si="90"/>
        <v>0.2710413694721826</v>
      </c>
      <c r="AA72" s="9">
        <f t="shared" ref="AA72:AB72" si="105">X17</f>
        <v>0.21000000000000008</v>
      </c>
      <c r="AB72" s="9">
        <f t="shared" si="105"/>
        <v>0.8</v>
      </c>
    </row>
    <row r="73" spans="11:28">
      <c r="K73" s="10">
        <f t="shared" si="101"/>
        <v>1200</v>
      </c>
      <c r="L73" s="9">
        <f t="shared" si="101"/>
        <v>0.43</v>
      </c>
      <c r="M73" s="9">
        <f t="shared" si="101"/>
        <v>0.33</v>
      </c>
      <c r="N73" s="9">
        <f t="shared" si="101"/>
        <v>1.05</v>
      </c>
      <c r="O73" s="9">
        <f t="shared" si="101"/>
        <v>0.87</v>
      </c>
      <c r="P73" s="9">
        <f t="shared" si="101"/>
        <v>0.59</v>
      </c>
      <c r="Q73" s="9">
        <f t="shared" si="101"/>
        <v>0.55000000000000004</v>
      </c>
      <c r="R73" s="9">
        <f t="shared" si="101"/>
        <v>1.4999999999999999E-2</v>
      </c>
      <c r="S73" s="9" t="str">
        <f t="shared" ref="S73:T73" si="106">T18</f>
        <v>1/1000</v>
      </c>
      <c r="T73" s="9" t="str">
        <f t="shared" si="106"/>
        <v>U80</v>
      </c>
      <c r="U73" s="9">
        <f>W18</f>
        <v>0.41</v>
      </c>
      <c r="V73" s="9">
        <f>V18</f>
        <v>0.38</v>
      </c>
      <c r="W73" s="9">
        <v>1.6479999999999999</v>
      </c>
      <c r="X73" s="9">
        <v>1.504</v>
      </c>
      <c r="Y73" s="13">
        <f t="shared" si="89"/>
        <v>0.24878640776699029</v>
      </c>
      <c r="Z73" s="13">
        <f t="shared" si="90"/>
        <v>0.25265957446808512</v>
      </c>
      <c r="AA73" s="9">
        <f t="shared" ref="AA73:AB73" si="107">X18</f>
        <v>0.21000000000000008</v>
      </c>
      <c r="AB73" s="9">
        <f t="shared" si="107"/>
        <v>0.8</v>
      </c>
    </row>
    <row r="74" spans="11:28">
      <c r="K74" s="10">
        <f t="shared" ref="K74:R74" si="108">K20</f>
        <v>1400</v>
      </c>
      <c r="L74" s="9">
        <f t="shared" si="108"/>
        <v>0.43</v>
      </c>
      <c r="M74" s="9">
        <f t="shared" si="108"/>
        <v>0.33</v>
      </c>
      <c r="N74" s="9">
        <f t="shared" si="108"/>
        <v>1.05</v>
      </c>
      <c r="O74" s="9">
        <f t="shared" si="108"/>
        <v>0.87</v>
      </c>
      <c r="P74" s="9">
        <f t="shared" si="108"/>
        <v>0.59</v>
      </c>
      <c r="Q74" s="9">
        <f t="shared" si="108"/>
        <v>0.55000000000000004</v>
      </c>
      <c r="R74" s="9">
        <f t="shared" si="108"/>
        <v>1.4999999999999999E-2</v>
      </c>
      <c r="S74" s="9" t="str">
        <f t="shared" ref="S74:T74" si="109">T20</f>
        <v>1/1000</v>
      </c>
      <c r="T74" s="9" t="str">
        <f t="shared" si="109"/>
        <v>U80</v>
      </c>
      <c r="U74" s="9">
        <f>W20</f>
        <v>0.41</v>
      </c>
      <c r="V74" s="9">
        <f>V20</f>
        <v>0.38</v>
      </c>
      <c r="W74" s="9">
        <v>1.6479999999999999</v>
      </c>
      <c r="X74" s="9">
        <v>1.504</v>
      </c>
      <c r="Y74" s="13">
        <f t="shared" si="89"/>
        <v>0.24878640776699029</v>
      </c>
      <c r="Z74" s="13">
        <f t="shared" si="90"/>
        <v>0.25265957446808512</v>
      </c>
      <c r="AA74" s="9">
        <f t="shared" ref="AA74:AB74" si="110">X20</f>
        <v>0.21000000000000008</v>
      </c>
      <c r="AB74" s="9">
        <f t="shared" si="110"/>
        <v>0.8</v>
      </c>
    </row>
    <row r="75" spans="11:28">
      <c r="K75" s="10">
        <f t="shared" ref="K75:R75" si="111">K22</f>
        <v>1600</v>
      </c>
      <c r="L75" s="9">
        <f t="shared" si="111"/>
        <v>0.43</v>
      </c>
      <c r="M75" s="9">
        <f t="shared" si="111"/>
        <v>0.33</v>
      </c>
      <c r="N75" s="9">
        <f t="shared" si="111"/>
        <v>1.05</v>
      </c>
      <c r="O75" s="9">
        <f t="shared" si="111"/>
        <v>0.87</v>
      </c>
      <c r="P75" s="9">
        <f t="shared" si="111"/>
        <v>0.59</v>
      </c>
      <c r="Q75" s="9">
        <f t="shared" si="111"/>
        <v>0.55000000000000004</v>
      </c>
      <c r="R75" s="9">
        <f t="shared" si="111"/>
        <v>1.4999999999999999E-2</v>
      </c>
      <c r="S75" s="9" t="str">
        <f t="shared" ref="S75:T75" si="112">T22</f>
        <v>1/1000</v>
      </c>
      <c r="T75" s="9" t="str">
        <f t="shared" si="112"/>
        <v>U80</v>
      </c>
      <c r="U75" s="9">
        <f>W22</f>
        <v>0.41</v>
      </c>
      <c r="V75" s="9">
        <f>V22</f>
        <v>0.38</v>
      </c>
      <c r="W75" s="9">
        <v>1.6479999999999999</v>
      </c>
      <c r="X75" s="9">
        <v>1.504</v>
      </c>
      <c r="Y75" s="13">
        <f t="shared" si="89"/>
        <v>0.24878640776699029</v>
      </c>
      <c r="Z75" s="13">
        <f t="shared" si="90"/>
        <v>0.25265957446808512</v>
      </c>
      <c r="AA75" s="9">
        <f t="shared" ref="AA75:AB75" si="113">X22</f>
        <v>0.21000000000000008</v>
      </c>
      <c r="AB75" s="9">
        <f t="shared" si="113"/>
        <v>0.8</v>
      </c>
    </row>
    <row r="76" spans="11:28">
      <c r="K76" s="10">
        <f t="shared" ref="K76:R76" si="114">K24</f>
        <v>1800</v>
      </c>
      <c r="L76" s="9">
        <f t="shared" si="114"/>
        <v>0.43</v>
      </c>
      <c r="M76" s="9">
        <f t="shared" si="114"/>
        <v>0.33</v>
      </c>
      <c r="N76" s="9">
        <f t="shared" si="114"/>
        <v>1.05</v>
      </c>
      <c r="O76" s="9">
        <f t="shared" si="114"/>
        <v>0.87</v>
      </c>
      <c r="P76" s="9">
        <f t="shared" si="114"/>
        <v>0.59</v>
      </c>
      <c r="Q76" s="9">
        <f t="shared" si="114"/>
        <v>0.55000000000000004</v>
      </c>
      <c r="R76" s="9">
        <f t="shared" si="114"/>
        <v>1.4999999999999999E-2</v>
      </c>
      <c r="S76" s="9" t="str">
        <f t="shared" ref="S76:T76" si="115">T24</f>
        <v>1/1000</v>
      </c>
      <c r="T76" s="9" t="str">
        <f t="shared" si="115"/>
        <v>U80</v>
      </c>
      <c r="U76" s="9">
        <f>W24</f>
        <v>0.41</v>
      </c>
      <c r="V76" s="9">
        <f>V24</f>
        <v>0.38</v>
      </c>
      <c r="W76" s="9">
        <v>1.6479999999999999</v>
      </c>
      <c r="X76" s="9">
        <v>1.504</v>
      </c>
      <c r="Y76" s="13">
        <f t="shared" si="89"/>
        <v>0.24878640776699029</v>
      </c>
      <c r="Z76" s="13">
        <f t="shared" si="90"/>
        <v>0.25265957446808512</v>
      </c>
      <c r="AA76" s="9">
        <f t="shared" ref="AA76:AB76" si="116">X24</f>
        <v>0.21000000000000008</v>
      </c>
      <c r="AB76" s="9">
        <f t="shared" si="116"/>
        <v>0.8</v>
      </c>
    </row>
    <row r="77" spans="11:28">
      <c r="K77" s="10">
        <f t="shared" ref="K77:R77" si="117">K26</f>
        <v>2000</v>
      </c>
      <c r="L77" s="9">
        <f t="shared" si="117"/>
        <v>0.43</v>
      </c>
      <c r="M77" s="9">
        <f t="shared" si="117"/>
        <v>0.33</v>
      </c>
      <c r="N77" s="9">
        <f t="shared" si="117"/>
        <v>1.05</v>
      </c>
      <c r="O77" s="9">
        <f t="shared" si="117"/>
        <v>0.87</v>
      </c>
      <c r="P77" s="9">
        <f t="shared" si="117"/>
        <v>0.59</v>
      </c>
      <c r="Q77" s="9">
        <f t="shared" si="117"/>
        <v>0.55000000000000004</v>
      </c>
      <c r="R77" s="9">
        <f t="shared" si="117"/>
        <v>1.4999999999999999E-2</v>
      </c>
      <c r="S77" s="9" t="str">
        <f t="shared" ref="S77:T77" si="118">T26</f>
        <v>1/1000</v>
      </c>
      <c r="T77" s="9" t="str">
        <f t="shared" si="118"/>
        <v>U80</v>
      </c>
      <c r="U77" s="9">
        <f>W26</f>
        <v>0.41</v>
      </c>
      <c r="V77" s="9">
        <f>V26</f>
        <v>0.38</v>
      </c>
      <c r="W77" s="9">
        <v>1.6479999999999999</v>
      </c>
      <c r="X77" s="9">
        <v>1.504</v>
      </c>
      <c r="Y77" s="13">
        <f t="shared" si="89"/>
        <v>0.24878640776699029</v>
      </c>
      <c r="Z77" s="13">
        <f t="shared" si="90"/>
        <v>0.25265957446808512</v>
      </c>
      <c r="AA77" s="9">
        <f t="shared" ref="AA77:AB77" si="119">X26</f>
        <v>0.21000000000000008</v>
      </c>
      <c r="AB77" s="9">
        <f t="shared" si="119"/>
        <v>0.8</v>
      </c>
    </row>
    <row r="78" spans="11:28">
      <c r="K78" s="10">
        <f t="shared" ref="K78:R78" si="120">K28</f>
        <v>2200</v>
      </c>
      <c r="L78" s="9">
        <f t="shared" si="120"/>
        <v>0.43</v>
      </c>
      <c r="M78" s="9">
        <f t="shared" si="120"/>
        <v>0.33</v>
      </c>
      <c r="N78" s="9">
        <f t="shared" si="120"/>
        <v>1.05</v>
      </c>
      <c r="O78" s="9">
        <f t="shared" si="120"/>
        <v>0.87</v>
      </c>
      <c r="P78" s="9">
        <f t="shared" si="120"/>
        <v>0.59</v>
      </c>
      <c r="Q78" s="9">
        <f t="shared" si="120"/>
        <v>0.55000000000000004</v>
      </c>
      <c r="R78" s="9">
        <f t="shared" si="120"/>
        <v>1.4999999999999999E-2</v>
      </c>
      <c r="S78" s="9" t="str">
        <f t="shared" ref="S78:T78" si="121">T28</f>
        <v>1/1000</v>
      </c>
      <c r="T78" s="9" t="str">
        <f t="shared" si="121"/>
        <v>U80</v>
      </c>
      <c r="U78" s="9">
        <f>W28</f>
        <v>0.41</v>
      </c>
      <c r="V78" s="9">
        <f>V28</f>
        <v>0.38</v>
      </c>
      <c r="W78" s="9">
        <v>1.6479999999999999</v>
      </c>
      <c r="X78" s="9">
        <v>1.504</v>
      </c>
      <c r="Y78" s="13">
        <f t="shared" si="89"/>
        <v>0.24878640776699029</v>
      </c>
      <c r="Z78" s="13">
        <f t="shared" si="90"/>
        <v>0.25265957446808512</v>
      </c>
      <c r="AA78" s="9">
        <f t="shared" ref="AA78:AB78" si="122">X28</f>
        <v>0.21000000000000008</v>
      </c>
      <c r="AB78" s="9">
        <f t="shared" si="122"/>
        <v>0.8</v>
      </c>
    </row>
    <row r="79" spans="11:28">
      <c r="K79" s="10">
        <f t="shared" ref="K79:R81" si="123">K30</f>
        <v>2400</v>
      </c>
      <c r="L79" s="9">
        <f t="shared" si="123"/>
        <v>0.43</v>
      </c>
      <c r="M79" s="9">
        <f t="shared" si="123"/>
        <v>0.33</v>
      </c>
      <c r="N79" s="9">
        <f t="shared" si="123"/>
        <v>1.05</v>
      </c>
      <c r="O79" s="9">
        <f t="shared" si="123"/>
        <v>0.87</v>
      </c>
      <c r="P79" s="9">
        <f t="shared" si="123"/>
        <v>0.59</v>
      </c>
      <c r="Q79" s="9">
        <f t="shared" si="123"/>
        <v>0.55000000000000004</v>
      </c>
      <c r="R79" s="9">
        <f t="shared" si="123"/>
        <v>1.4999999999999999E-2</v>
      </c>
      <c r="S79" s="9" t="str">
        <f t="shared" ref="S79:T79" si="124">T30</f>
        <v>1/1000</v>
      </c>
      <c r="T79" s="9" t="str">
        <f t="shared" si="124"/>
        <v>U80</v>
      </c>
      <c r="U79" s="9">
        <f>W30</f>
        <v>0.41</v>
      </c>
      <c r="V79" s="9">
        <f>V30</f>
        <v>0.38</v>
      </c>
      <c r="W79" s="9">
        <v>1.6479999999999999</v>
      </c>
      <c r="X79" s="9">
        <v>1.504</v>
      </c>
      <c r="Y79" s="13">
        <f t="shared" si="89"/>
        <v>0.24878640776699029</v>
      </c>
      <c r="Z79" s="13">
        <f t="shared" si="90"/>
        <v>0.25265957446808512</v>
      </c>
      <c r="AA79" s="9">
        <f t="shared" ref="AA79:AB79" si="125">X30</f>
        <v>0.21000000000000008</v>
      </c>
      <c r="AB79" s="9">
        <f t="shared" si="125"/>
        <v>0.8</v>
      </c>
    </row>
    <row r="80" spans="11:28">
      <c r="K80" s="10">
        <f t="shared" si="123"/>
        <v>2500</v>
      </c>
      <c r="L80" s="9">
        <f t="shared" si="123"/>
        <v>0.43</v>
      </c>
      <c r="M80" s="9">
        <f t="shared" si="123"/>
        <v>0.33</v>
      </c>
      <c r="N80" s="9">
        <f t="shared" si="123"/>
        <v>1.05</v>
      </c>
      <c r="O80" s="9">
        <f t="shared" si="123"/>
        <v>0.87</v>
      </c>
      <c r="P80" s="9">
        <f t="shared" si="123"/>
        <v>0.38</v>
      </c>
      <c r="Q80" s="9">
        <f t="shared" si="123"/>
        <v>0.33</v>
      </c>
      <c r="R80" s="9">
        <f t="shared" si="123"/>
        <v>1.4999999999999999E-2</v>
      </c>
      <c r="S80" s="9" t="str">
        <f t="shared" ref="S80:T80" si="126">T31</f>
        <v>1/200</v>
      </c>
      <c r="T80" s="9" t="str">
        <f t="shared" si="126"/>
        <v>U80</v>
      </c>
      <c r="U80" s="9">
        <f>W31</f>
        <v>0.41</v>
      </c>
      <c r="V80" s="9">
        <f>V31</f>
        <v>0.38</v>
      </c>
      <c r="W80" s="9">
        <v>1.218</v>
      </c>
      <c r="X80" s="9">
        <v>1.1160000000000001</v>
      </c>
      <c r="Y80" s="13">
        <f t="shared" si="89"/>
        <v>0.3366174055829228</v>
      </c>
      <c r="Z80" s="13">
        <f t="shared" si="90"/>
        <v>0.34050179211469533</v>
      </c>
      <c r="AA80" s="9">
        <f t="shared" ref="AA80:AB80" si="127">X31</f>
        <v>0.42000000000000004</v>
      </c>
      <c r="AB80" s="9">
        <f t="shared" si="127"/>
        <v>0.8</v>
      </c>
    </row>
    <row r="81" spans="11:28">
      <c r="K81" s="10">
        <f t="shared" si="123"/>
        <v>2600</v>
      </c>
      <c r="L81" s="9">
        <f t="shared" si="123"/>
        <v>0.43</v>
      </c>
      <c r="M81" s="9">
        <f t="shared" si="123"/>
        <v>0.33</v>
      </c>
      <c r="N81" s="9">
        <f t="shared" si="123"/>
        <v>1.72</v>
      </c>
      <c r="O81" s="9">
        <f t="shared" si="123"/>
        <v>1.57</v>
      </c>
      <c r="P81" s="9">
        <f t="shared" si="123"/>
        <v>0.38</v>
      </c>
      <c r="Q81" s="9">
        <f t="shared" si="123"/>
        <v>0.33</v>
      </c>
      <c r="R81" s="9">
        <f t="shared" si="123"/>
        <v>1.4999999999999999E-2</v>
      </c>
      <c r="S81" s="9" t="str">
        <f t="shared" ref="S81:T81" si="128">T32</f>
        <v>1/200</v>
      </c>
      <c r="T81" s="9" t="str">
        <f t="shared" si="128"/>
        <v>U80</v>
      </c>
      <c r="U81" s="9">
        <f>W32</f>
        <v>0.25</v>
      </c>
      <c r="V81" s="9">
        <f>V32</f>
        <v>0.21</v>
      </c>
      <c r="W81" s="9">
        <v>1.218</v>
      </c>
      <c r="X81" s="9">
        <v>1.1160000000000001</v>
      </c>
      <c r="Y81" s="13">
        <f t="shared" si="89"/>
        <v>0.20525451559934318</v>
      </c>
      <c r="Z81" s="13">
        <f t="shared" si="90"/>
        <v>0.18817204301075266</v>
      </c>
      <c r="AA81" s="9">
        <f t="shared" ref="AA81:AB81" si="129">X32</f>
        <v>0.42000000000000004</v>
      </c>
      <c r="AB81" s="9">
        <f t="shared" si="129"/>
        <v>0.8</v>
      </c>
    </row>
    <row r="82" spans="11:28">
      <c r="K82" s="10">
        <f t="shared" ref="K82:Q82" si="130">K33</f>
        <v>2700</v>
      </c>
      <c r="L82" s="9">
        <f t="shared" si="130"/>
        <v>0.43</v>
      </c>
      <c r="M82" s="9">
        <f t="shared" si="130"/>
        <v>0.33</v>
      </c>
      <c r="N82" s="9">
        <f t="shared" si="130"/>
        <v>1.72</v>
      </c>
      <c r="O82" s="9">
        <f t="shared" si="130"/>
        <v>1.57</v>
      </c>
      <c r="P82" s="9">
        <f t="shared" si="130"/>
        <v>0.38</v>
      </c>
      <c r="Q82" s="9">
        <f t="shared" si="130"/>
        <v>0.33</v>
      </c>
      <c r="R82" s="9">
        <f t="shared" ref="R82" si="131">R33</f>
        <v>1.4999999999999999E-2</v>
      </c>
      <c r="S82" s="9" t="str">
        <f t="shared" ref="S82:T82" si="132">T33</f>
        <v>1/200</v>
      </c>
      <c r="T82" s="9" t="str">
        <f t="shared" si="132"/>
        <v>U80</v>
      </c>
      <c r="U82" s="9">
        <f>W33</f>
        <v>0.25</v>
      </c>
      <c r="V82" s="9">
        <f>V33</f>
        <v>0.21</v>
      </c>
      <c r="W82" s="9">
        <v>1.218</v>
      </c>
      <c r="X82" s="9">
        <v>1.1160000000000001</v>
      </c>
      <c r="Y82" s="13">
        <f t="shared" si="89"/>
        <v>0.20525451559934318</v>
      </c>
      <c r="Z82" s="13">
        <f t="shared" si="90"/>
        <v>0.18817204301075266</v>
      </c>
      <c r="AA82" s="9">
        <f t="shared" ref="AA82:AB82" si="133">X33</f>
        <v>0.42000000000000004</v>
      </c>
      <c r="AB82" s="9">
        <f t="shared" si="133"/>
        <v>0.8</v>
      </c>
    </row>
    <row r="83" spans="11:28">
      <c r="K83" s="10">
        <f>K34</f>
        <v>2800</v>
      </c>
      <c r="L83" s="9">
        <f t="shared" ref="L83:R83" si="134">L34</f>
        <v>0.43</v>
      </c>
      <c r="M83" s="9">
        <f t="shared" si="134"/>
        <v>0.33</v>
      </c>
      <c r="N83" s="9">
        <f t="shared" si="134"/>
        <v>1.65</v>
      </c>
      <c r="O83" s="9">
        <f t="shared" si="134"/>
        <v>1.57</v>
      </c>
      <c r="P83" s="9">
        <f t="shared" si="134"/>
        <v>0.4</v>
      </c>
      <c r="Q83" s="9">
        <f t="shared" si="134"/>
        <v>0.35</v>
      </c>
      <c r="R83" s="9">
        <f t="shared" si="134"/>
        <v>1.4999999999999999E-2</v>
      </c>
      <c r="S83" s="9" t="str">
        <f t="shared" ref="S83:T83" si="135">T34</f>
        <v>1/250</v>
      </c>
      <c r="T83" s="9" t="str">
        <f t="shared" si="135"/>
        <v>U80</v>
      </c>
      <c r="U83" s="9">
        <f>W34</f>
        <v>0.26</v>
      </c>
      <c r="V83" s="9">
        <f>V34</f>
        <v>0.21</v>
      </c>
      <c r="W83" s="9">
        <v>1.218</v>
      </c>
      <c r="X83" s="9">
        <v>1.1160000000000001</v>
      </c>
      <c r="Y83" s="13">
        <f t="shared" si="89"/>
        <v>0.21346469622331693</v>
      </c>
      <c r="Z83" s="13">
        <f t="shared" si="90"/>
        <v>0.18817204301075266</v>
      </c>
      <c r="AA83" s="9">
        <f t="shared" ref="AA83:AB83" si="136">X34</f>
        <v>0.41</v>
      </c>
      <c r="AB83" s="9">
        <f t="shared" si="136"/>
        <v>0.8</v>
      </c>
    </row>
    <row r="84" spans="11:28">
      <c r="K84" s="10">
        <f>K36</f>
        <v>3000</v>
      </c>
      <c r="L84" s="9">
        <f t="shared" ref="L84:R84" si="137">L36</f>
        <v>0.43</v>
      </c>
      <c r="M84" s="9">
        <f t="shared" si="137"/>
        <v>0.33</v>
      </c>
      <c r="N84" s="9">
        <f t="shared" si="137"/>
        <v>1.65</v>
      </c>
      <c r="O84" s="9">
        <f t="shared" si="137"/>
        <v>1.57</v>
      </c>
      <c r="P84" s="9">
        <f t="shared" si="137"/>
        <v>0.4</v>
      </c>
      <c r="Q84" s="9">
        <f t="shared" si="137"/>
        <v>0.35</v>
      </c>
      <c r="R84" s="9">
        <f t="shared" si="137"/>
        <v>1.4999999999999999E-2</v>
      </c>
      <c r="S84" s="9" t="str">
        <f t="shared" ref="S84:T84" si="138">T36</f>
        <v>1/250</v>
      </c>
      <c r="T84" s="9" t="str">
        <f t="shared" si="138"/>
        <v>U80</v>
      </c>
      <c r="U84" s="9">
        <f>W36</f>
        <v>0.26</v>
      </c>
      <c r="V84" s="9">
        <f>V36</f>
        <v>0.21</v>
      </c>
      <c r="W84" s="9">
        <v>1.218</v>
      </c>
      <c r="X84" s="9">
        <v>1.1160000000000001</v>
      </c>
      <c r="Y84" s="13">
        <f t="shared" si="89"/>
        <v>0.21346469622331693</v>
      </c>
      <c r="Z84" s="13">
        <f t="shared" si="90"/>
        <v>0.18817204301075266</v>
      </c>
      <c r="AA84" s="9">
        <f t="shared" ref="AA84:AB84" si="139">X36</f>
        <v>0.41</v>
      </c>
      <c r="AB84" s="9">
        <f t="shared" si="139"/>
        <v>0.8</v>
      </c>
    </row>
    <row r="85" spans="11:28">
      <c r="K85" s="10">
        <f>K38</f>
        <v>3200</v>
      </c>
      <c r="L85" s="9">
        <f t="shared" ref="L85:R85" si="140">L38</f>
        <v>0.22</v>
      </c>
      <c r="M85" s="9">
        <f t="shared" si="140"/>
        <v>0.17</v>
      </c>
      <c r="N85" s="9">
        <f t="shared" si="140"/>
        <v>1.38</v>
      </c>
      <c r="O85" s="9">
        <f t="shared" si="140"/>
        <v>1.31</v>
      </c>
      <c r="P85" s="9">
        <f t="shared" si="140"/>
        <v>0.33</v>
      </c>
      <c r="Q85" s="9">
        <f t="shared" si="140"/>
        <v>0.28000000000000003</v>
      </c>
      <c r="R85" s="9">
        <f t="shared" si="140"/>
        <v>1.4999999999999999E-2</v>
      </c>
      <c r="S85" s="9" t="str">
        <f t="shared" ref="S85:T85" si="141">T38</f>
        <v>1/250</v>
      </c>
      <c r="T85" s="9" t="str">
        <f t="shared" si="141"/>
        <v>U60</v>
      </c>
      <c r="U85" s="9">
        <f>W38</f>
        <v>0.16</v>
      </c>
      <c r="V85" s="9">
        <f>V38</f>
        <v>0.13</v>
      </c>
      <c r="W85" s="9">
        <v>1.004</v>
      </c>
      <c r="X85" s="9">
        <v>0.90300000000000002</v>
      </c>
      <c r="Y85" s="13">
        <f t="shared" si="89"/>
        <v>0.15936254980079681</v>
      </c>
      <c r="Z85" s="13">
        <f t="shared" si="90"/>
        <v>0.14396456256921372</v>
      </c>
      <c r="AA85" s="9">
        <f t="shared" ref="AA85:AB85" si="142">X38</f>
        <v>0.26999999999999996</v>
      </c>
      <c r="AB85" s="9">
        <f t="shared" si="142"/>
        <v>0.6</v>
      </c>
    </row>
    <row r="86" spans="11:28">
      <c r="K86" s="10">
        <f>K40</f>
        <v>3400</v>
      </c>
      <c r="L86" s="9">
        <f t="shared" ref="L86:R86" si="143">L40</f>
        <v>0.22</v>
      </c>
      <c r="M86" s="9">
        <f t="shared" si="143"/>
        <v>0.17</v>
      </c>
      <c r="N86" s="9">
        <f t="shared" si="143"/>
        <v>1.38</v>
      </c>
      <c r="O86" s="9">
        <f t="shared" si="143"/>
        <v>1.31</v>
      </c>
      <c r="P86" s="9">
        <f t="shared" si="143"/>
        <v>0.33</v>
      </c>
      <c r="Q86" s="9">
        <f t="shared" si="143"/>
        <v>0.28000000000000003</v>
      </c>
      <c r="R86" s="9">
        <f t="shared" si="143"/>
        <v>1.4999999999999999E-2</v>
      </c>
      <c r="S86" s="9" t="str">
        <f t="shared" ref="S86:T86" si="144">T40</f>
        <v>1/250</v>
      </c>
      <c r="T86" s="9" t="str">
        <f t="shared" si="144"/>
        <v>U60</v>
      </c>
      <c r="U86" s="9">
        <f>W40</f>
        <v>0.16</v>
      </c>
      <c r="V86" s="9">
        <f>V40</f>
        <v>0.13</v>
      </c>
      <c r="W86" s="9">
        <v>1.004</v>
      </c>
      <c r="X86" s="9">
        <v>0.90300000000000002</v>
      </c>
      <c r="Y86" s="13">
        <f t="shared" si="89"/>
        <v>0.15936254980079681</v>
      </c>
      <c r="Z86" s="13">
        <f t="shared" si="90"/>
        <v>0.14396456256921372</v>
      </c>
      <c r="AA86" s="9">
        <f t="shared" ref="AA86:AB86" si="145">X40</f>
        <v>0.26999999999999996</v>
      </c>
      <c r="AB86" s="9">
        <f t="shared" si="145"/>
        <v>0.6</v>
      </c>
    </row>
    <row r="87" spans="11:28">
      <c r="K87" s="10">
        <f>K42</f>
        <v>3600</v>
      </c>
      <c r="L87" s="9">
        <f t="shared" ref="L87:R87" si="146">L42</f>
        <v>0.22</v>
      </c>
      <c r="M87" s="9">
        <f t="shared" si="146"/>
        <v>0.17</v>
      </c>
      <c r="N87" s="9">
        <f t="shared" si="146"/>
        <v>1.38</v>
      </c>
      <c r="O87" s="9">
        <f t="shared" si="146"/>
        <v>1.31</v>
      </c>
      <c r="P87" s="9">
        <f t="shared" si="146"/>
        <v>0.33</v>
      </c>
      <c r="Q87" s="9">
        <f t="shared" si="146"/>
        <v>0.28000000000000003</v>
      </c>
      <c r="R87" s="9">
        <f t="shared" si="146"/>
        <v>1.4999999999999999E-2</v>
      </c>
      <c r="S87" s="9" t="str">
        <f t="shared" ref="S87:T87" si="147">T42</f>
        <v>1/250</v>
      </c>
      <c r="T87" s="9" t="str">
        <f t="shared" si="147"/>
        <v>U60</v>
      </c>
      <c r="U87" s="9">
        <f>W42</f>
        <v>0.16</v>
      </c>
      <c r="V87" s="9">
        <f>V42</f>
        <v>0.13</v>
      </c>
      <c r="W87" s="9">
        <v>1.004</v>
      </c>
      <c r="X87" s="9">
        <v>0.90300000000000002</v>
      </c>
      <c r="Y87" s="13">
        <f t="shared" si="89"/>
        <v>0.15936254980079681</v>
      </c>
      <c r="Z87" s="13">
        <f t="shared" si="90"/>
        <v>0.14396456256921372</v>
      </c>
      <c r="AA87" s="9">
        <f t="shared" ref="AA87:AB87" si="148">X42</f>
        <v>0.26999999999999996</v>
      </c>
      <c r="AB87" s="9">
        <f t="shared" si="148"/>
        <v>0.6</v>
      </c>
    </row>
    <row r="88" spans="11:28">
      <c r="K88" s="10">
        <f>K44</f>
        <v>3800</v>
      </c>
      <c r="L88" s="9">
        <f t="shared" ref="L88:R88" si="149">L44</f>
        <v>0.22</v>
      </c>
      <c r="M88" s="9">
        <f t="shared" si="149"/>
        <v>0.17</v>
      </c>
      <c r="N88" s="9">
        <f t="shared" si="149"/>
        <v>1.38</v>
      </c>
      <c r="O88" s="9">
        <f t="shared" si="149"/>
        <v>1.31</v>
      </c>
      <c r="P88" s="9">
        <f t="shared" si="149"/>
        <v>0.33</v>
      </c>
      <c r="Q88" s="9">
        <f t="shared" si="149"/>
        <v>0.28000000000000003</v>
      </c>
      <c r="R88" s="9">
        <f t="shared" si="149"/>
        <v>1.4999999999999999E-2</v>
      </c>
      <c r="S88" s="9" t="str">
        <f t="shared" ref="S88:T88" si="150">T44</f>
        <v>1/250</v>
      </c>
      <c r="T88" s="9" t="str">
        <f t="shared" si="150"/>
        <v>U60</v>
      </c>
      <c r="U88" s="9">
        <f>W44</f>
        <v>0.16</v>
      </c>
      <c r="V88" s="9">
        <f>V44</f>
        <v>0.13</v>
      </c>
      <c r="W88" s="9">
        <v>1.004</v>
      </c>
      <c r="X88" s="9">
        <v>0.90300000000000002</v>
      </c>
      <c r="Y88" s="13">
        <f t="shared" si="89"/>
        <v>0.15936254980079681</v>
      </c>
      <c r="Z88" s="13">
        <f t="shared" si="90"/>
        <v>0.14396456256921372</v>
      </c>
      <c r="AA88" s="9">
        <f t="shared" ref="AA88:AB88" si="151">X44</f>
        <v>0.26999999999999996</v>
      </c>
      <c r="AB88" s="9">
        <f t="shared" si="151"/>
        <v>0.6</v>
      </c>
    </row>
    <row r="89" spans="11:28">
      <c r="K89" s="10">
        <f>K46</f>
        <v>4000</v>
      </c>
      <c r="L89" s="9">
        <f t="shared" ref="L89:R89" si="152">L46</f>
        <v>0.22</v>
      </c>
      <c r="M89" s="9">
        <f t="shared" si="152"/>
        <v>0.17</v>
      </c>
      <c r="N89" s="9">
        <f t="shared" si="152"/>
        <v>1.38</v>
      </c>
      <c r="O89" s="9">
        <f t="shared" si="152"/>
        <v>1.31</v>
      </c>
      <c r="P89" s="9">
        <f t="shared" si="152"/>
        <v>0.33</v>
      </c>
      <c r="Q89" s="9">
        <f t="shared" si="152"/>
        <v>0.28000000000000003</v>
      </c>
      <c r="R89" s="9">
        <f t="shared" si="152"/>
        <v>1.4999999999999999E-2</v>
      </c>
      <c r="S89" s="9" t="str">
        <f t="shared" ref="S89:T89" si="153">T46</f>
        <v>1/250</v>
      </c>
      <c r="T89" s="9" t="str">
        <f t="shared" si="153"/>
        <v>U60</v>
      </c>
      <c r="U89" s="9">
        <f>W46</f>
        <v>0.16</v>
      </c>
      <c r="V89" s="9">
        <f>V46</f>
        <v>0.13</v>
      </c>
      <c r="W89" s="9">
        <v>1.004</v>
      </c>
      <c r="X89" s="9">
        <v>0.90300000000000002</v>
      </c>
      <c r="Y89" s="13">
        <f t="shared" si="89"/>
        <v>0.15936254980079681</v>
      </c>
      <c r="Z89" s="13">
        <f t="shared" si="90"/>
        <v>0.14396456256921372</v>
      </c>
      <c r="AA89" s="9">
        <f t="shared" ref="AA89:AB89" si="154">X46</f>
        <v>0.26999999999999996</v>
      </c>
      <c r="AB89" s="9">
        <f t="shared" si="154"/>
        <v>0.6</v>
      </c>
    </row>
    <row r="90" spans="11:28">
      <c r="K90" s="10">
        <f>K48</f>
        <v>4200</v>
      </c>
      <c r="L90" s="9">
        <f t="shared" ref="L90:R90" si="155">L48</f>
        <v>0.22</v>
      </c>
      <c r="M90" s="9">
        <f t="shared" si="155"/>
        <v>0.17</v>
      </c>
      <c r="N90" s="9">
        <f t="shared" si="155"/>
        <v>1.38</v>
      </c>
      <c r="O90" s="9">
        <f t="shared" si="155"/>
        <v>1.31</v>
      </c>
      <c r="P90" s="9">
        <f t="shared" si="155"/>
        <v>0.33</v>
      </c>
      <c r="Q90" s="9">
        <f t="shared" si="155"/>
        <v>0.28000000000000003</v>
      </c>
      <c r="R90" s="9">
        <f t="shared" si="155"/>
        <v>1.4999999999999999E-2</v>
      </c>
      <c r="S90" s="9" t="str">
        <f t="shared" ref="S90:T90" si="156">T48</f>
        <v>1/250</v>
      </c>
      <c r="T90" s="9" t="str">
        <f t="shared" si="156"/>
        <v>U60</v>
      </c>
      <c r="U90" s="9">
        <f>W48</f>
        <v>0.16</v>
      </c>
      <c r="V90" s="9">
        <f>V48</f>
        <v>0.13</v>
      </c>
      <c r="W90" s="9">
        <v>1.004</v>
      </c>
      <c r="X90" s="9">
        <v>0.90300000000000002</v>
      </c>
      <c r="Y90" s="13">
        <f t="shared" si="89"/>
        <v>0.15936254980079681</v>
      </c>
      <c r="Z90" s="13">
        <f t="shared" si="90"/>
        <v>0.14396456256921372</v>
      </c>
      <c r="AA90" s="9">
        <f t="shared" ref="AA90:AB90" si="157">X48</f>
        <v>0.26999999999999996</v>
      </c>
      <c r="AB90" s="9">
        <f t="shared" si="157"/>
        <v>0.6</v>
      </c>
    </row>
    <row r="91" spans="11:28">
      <c r="K91" s="10">
        <f>K49</f>
        <v>4300</v>
      </c>
      <c r="L91" s="9">
        <f t="shared" ref="L91:R91" si="158">L49</f>
        <v>0.22</v>
      </c>
      <c r="M91" s="9">
        <f t="shared" si="158"/>
        <v>0.17</v>
      </c>
      <c r="N91" s="9">
        <f t="shared" si="158"/>
        <v>1.05</v>
      </c>
      <c r="O91" s="9">
        <f t="shared" si="158"/>
        <v>1</v>
      </c>
      <c r="P91" s="9">
        <f t="shared" si="158"/>
        <v>0.41</v>
      </c>
      <c r="Q91" s="9">
        <f t="shared" si="158"/>
        <v>0.35</v>
      </c>
      <c r="R91" s="9">
        <f t="shared" si="158"/>
        <v>1.4999999999999999E-2</v>
      </c>
      <c r="S91" s="9" t="str">
        <f t="shared" ref="S91:T91" si="159">T49</f>
        <v>1/500</v>
      </c>
      <c r="T91" s="9" t="str">
        <f t="shared" si="159"/>
        <v>U60</v>
      </c>
      <c r="U91" s="9">
        <f>W49</f>
        <v>0.21</v>
      </c>
      <c r="V91" s="9">
        <f>V49</f>
        <v>0.17</v>
      </c>
      <c r="W91" s="9">
        <v>1.167</v>
      </c>
      <c r="X91" s="9">
        <v>1.0449999999999999</v>
      </c>
      <c r="Y91" s="13">
        <f t="shared" si="89"/>
        <v>0.1799485861182519</v>
      </c>
      <c r="Z91" s="13">
        <f t="shared" si="90"/>
        <v>0.16267942583732059</v>
      </c>
      <c r="AA91" s="9">
        <f t="shared" ref="AA91:AB91" si="160">X49</f>
        <v>0.19</v>
      </c>
      <c r="AB91" s="9">
        <f t="shared" si="160"/>
        <v>0.6</v>
      </c>
    </row>
    <row r="92" spans="11:28">
      <c r="K92" s="10">
        <f>K50</f>
        <v>4400</v>
      </c>
      <c r="L92" s="9">
        <f t="shared" ref="L92:R92" si="161">L50</f>
        <v>0.22</v>
      </c>
      <c r="M92" s="9">
        <f t="shared" si="161"/>
        <v>0.17</v>
      </c>
      <c r="N92" s="9">
        <f t="shared" si="161"/>
        <v>1.05</v>
      </c>
      <c r="O92" s="9">
        <f t="shared" si="161"/>
        <v>1</v>
      </c>
      <c r="P92" s="9">
        <f t="shared" si="161"/>
        <v>0.41</v>
      </c>
      <c r="Q92" s="9">
        <f t="shared" si="161"/>
        <v>0.35</v>
      </c>
      <c r="R92" s="9">
        <f t="shared" si="161"/>
        <v>1.4999999999999999E-2</v>
      </c>
      <c r="S92" s="9" t="str">
        <f t="shared" ref="S92:T92" si="162">T50</f>
        <v>1/500</v>
      </c>
      <c r="T92" s="9" t="str">
        <f t="shared" si="162"/>
        <v>U60</v>
      </c>
      <c r="U92" s="9">
        <f>W50</f>
        <v>0.21</v>
      </c>
      <c r="V92" s="9">
        <f>V50</f>
        <v>0.17</v>
      </c>
      <c r="W92" s="9">
        <v>1.167</v>
      </c>
      <c r="X92" s="9">
        <v>1.0449999999999999</v>
      </c>
      <c r="Y92" s="13">
        <f t="shared" si="89"/>
        <v>0.1799485861182519</v>
      </c>
      <c r="Z92" s="13">
        <f t="shared" si="90"/>
        <v>0.16267942583732059</v>
      </c>
      <c r="AA92" s="9">
        <f t="shared" ref="AA92:AB92" si="163">X50</f>
        <v>0.19</v>
      </c>
      <c r="AB92" s="9">
        <f t="shared" si="163"/>
        <v>0.6</v>
      </c>
    </row>
    <row r="93" spans="11:28">
      <c r="K93" s="10">
        <f>K52</f>
        <v>4600</v>
      </c>
      <c r="L93" s="9">
        <f t="shared" ref="L93:R93" si="164">L52</f>
        <v>0.22</v>
      </c>
      <c r="M93" s="9">
        <f t="shared" si="164"/>
        <v>0.17</v>
      </c>
      <c r="N93" s="9">
        <f t="shared" si="164"/>
        <v>1.05</v>
      </c>
      <c r="O93" s="9">
        <f t="shared" si="164"/>
        <v>1</v>
      </c>
      <c r="P93" s="9">
        <f t="shared" si="164"/>
        <v>0.41</v>
      </c>
      <c r="Q93" s="9">
        <f t="shared" si="164"/>
        <v>0.35</v>
      </c>
      <c r="R93" s="9">
        <f t="shared" si="164"/>
        <v>1.4999999999999999E-2</v>
      </c>
      <c r="S93" s="9" t="str">
        <f t="shared" ref="S93:T93" si="165">T52</f>
        <v>1/500</v>
      </c>
      <c r="T93" s="9" t="str">
        <f t="shared" si="165"/>
        <v>U60</v>
      </c>
      <c r="U93" s="9">
        <f>W52</f>
        <v>0.21</v>
      </c>
      <c r="V93" s="9">
        <f>V52</f>
        <v>0.17</v>
      </c>
      <c r="W93" s="9">
        <v>1.167</v>
      </c>
      <c r="X93" s="9">
        <v>1.0449999999999999</v>
      </c>
      <c r="Y93" s="13">
        <f t="shared" si="89"/>
        <v>0.1799485861182519</v>
      </c>
      <c r="Z93" s="13">
        <f t="shared" si="90"/>
        <v>0.16267942583732059</v>
      </c>
      <c r="AA93" s="9">
        <f t="shared" ref="AA93:AB93" si="166">X52</f>
        <v>0.19</v>
      </c>
      <c r="AB93" s="9">
        <f t="shared" si="166"/>
        <v>0.6</v>
      </c>
    </row>
    <row r="94" spans="11:28">
      <c r="K94" s="10">
        <f>K54</f>
        <v>4800</v>
      </c>
      <c r="L94" s="9">
        <f t="shared" ref="L94:R94" si="167">L54</f>
        <v>0.22</v>
      </c>
      <c r="M94" s="9">
        <f t="shared" si="167"/>
        <v>0.17</v>
      </c>
      <c r="N94" s="9">
        <f t="shared" si="167"/>
        <v>1.05</v>
      </c>
      <c r="O94" s="9">
        <f t="shared" si="167"/>
        <v>1</v>
      </c>
      <c r="P94" s="9">
        <f t="shared" si="167"/>
        <v>0.41</v>
      </c>
      <c r="Q94" s="9">
        <f t="shared" si="167"/>
        <v>0.35</v>
      </c>
      <c r="R94" s="9">
        <f t="shared" si="167"/>
        <v>1.4999999999999999E-2</v>
      </c>
      <c r="S94" s="9" t="str">
        <f t="shared" ref="S94:T94" si="168">T54</f>
        <v>1/500</v>
      </c>
      <c r="T94" s="9" t="str">
        <f t="shared" si="168"/>
        <v>U60</v>
      </c>
      <c r="U94" s="9">
        <f>W54</f>
        <v>0.21</v>
      </c>
      <c r="V94" s="9">
        <f>V54</f>
        <v>0.17</v>
      </c>
      <c r="W94" s="9">
        <v>1.167</v>
      </c>
      <c r="X94" s="9">
        <v>1.0449999999999999</v>
      </c>
      <c r="Y94" s="13">
        <f t="shared" si="89"/>
        <v>0.1799485861182519</v>
      </c>
      <c r="Z94" s="13">
        <f t="shared" si="90"/>
        <v>0.16267942583732059</v>
      </c>
      <c r="AA94" s="9">
        <f t="shared" ref="AA94:AB94" si="169">X54</f>
        <v>0.19</v>
      </c>
      <c r="AB94" s="9">
        <f t="shared" si="169"/>
        <v>0.6</v>
      </c>
    </row>
    <row r="95" spans="11:28">
      <c r="K95" s="10">
        <f>K56</f>
        <v>5000</v>
      </c>
      <c r="L95" s="9">
        <f t="shared" ref="L95:R95" si="170">L56</f>
        <v>0.22</v>
      </c>
      <c r="M95" s="9">
        <f t="shared" si="170"/>
        <v>0.17</v>
      </c>
      <c r="N95" s="9">
        <f t="shared" si="170"/>
        <v>1.05</v>
      </c>
      <c r="O95" s="9">
        <f t="shared" si="170"/>
        <v>1</v>
      </c>
      <c r="P95" s="9">
        <f t="shared" si="170"/>
        <v>0.41</v>
      </c>
      <c r="Q95" s="9">
        <f t="shared" si="170"/>
        <v>0.35</v>
      </c>
      <c r="R95" s="9">
        <f t="shared" si="170"/>
        <v>1.4999999999999999E-2</v>
      </c>
      <c r="S95" s="9" t="str">
        <f t="shared" ref="S95:T95" si="171">T56</f>
        <v>1/500</v>
      </c>
      <c r="T95" s="9" t="str">
        <f t="shared" si="171"/>
        <v>U60</v>
      </c>
      <c r="U95" s="9">
        <f>W56</f>
        <v>0.21</v>
      </c>
      <c r="V95" s="9">
        <f>V56</f>
        <v>0.17</v>
      </c>
      <c r="W95" s="9">
        <v>1.167</v>
      </c>
      <c r="X95" s="9">
        <v>1.0449999999999999</v>
      </c>
      <c r="Y95" s="13">
        <f t="shared" si="89"/>
        <v>0.1799485861182519</v>
      </c>
      <c r="Z95" s="13">
        <f t="shared" si="90"/>
        <v>0.16267942583732059</v>
      </c>
      <c r="AA95" s="9">
        <f t="shared" ref="AA95:AB95" si="172">X56</f>
        <v>0.19</v>
      </c>
      <c r="AB95" s="9">
        <f t="shared" si="172"/>
        <v>0.6</v>
      </c>
    </row>
    <row r="96" spans="11:28">
      <c r="K96" s="10">
        <f>K58</f>
        <v>5200</v>
      </c>
      <c r="L96" s="9">
        <f t="shared" ref="L96:R96" si="173">L58</f>
        <v>0.22</v>
      </c>
      <c r="M96" s="9">
        <f t="shared" si="173"/>
        <v>0.17</v>
      </c>
      <c r="N96" s="9">
        <f t="shared" si="173"/>
        <v>1.05</v>
      </c>
      <c r="O96" s="9">
        <f t="shared" si="173"/>
        <v>1</v>
      </c>
      <c r="P96" s="9">
        <f t="shared" si="173"/>
        <v>0.41</v>
      </c>
      <c r="Q96" s="9">
        <f t="shared" si="173"/>
        <v>0.35</v>
      </c>
      <c r="R96" s="9">
        <f t="shared" si="173"/>
        <v>1.4999999999999999E-2</v>
      </c>
      <c r="S96" s="9" t="str">
        <f t="shared" ref="S96:T96" si="174">T58</f>
        <v>1/500</v>
      </c>
      <c r="T96" s="9" t="str">
        <f t="shared" si="174"/>
        <v>U60</v>
      </c>
      <c r="U96" s="9">
        <f>W58</f>
        <v>0.21</v>
      </c>
      <c r="V96" s="9">
        <f>V58</f>
        <v>0.17</v>
      </c>
      <c r="W96" s="9">
        <v>1.167</v>
      </c>
      <c r="X96" s="9">
        <v>1.0449999999999999</v>
      </c>
      <c r="Y96" s="13">
        <f t="shared" si="89"/>
        <v>0.1799485861182519</v>
      </c>
      <c r="Z96" s="13">
        <f t="shared" si="90"/>
        <v>0.16267942583732059</v>
      </c>
      <c r="AA96" s="9">
        <f t="shared" ref="AA96:AB96" si="175">X58</f>
        <v>0.19</v>
      </c>
      <c r="AB96" s="9">
        <f t="shared" si="175"/>
        <v>0.6</v>
      </c>
    </row>
    <row r="97" spans="7:28">
      <c r="K97" s="10">
        <f>K60</f>
        <v>5310</v>
      </c>
      <c r="L97" s="9">
        <f t="shared" ref="L97:R97" si="176">L60</f>
        <v>0.22</v>
      </c>
      <c r="M97" s="9">
        <f t="shared" si="176"/>
        <v>0.17</v>
      </c>
      <c r="N97" s="9">
        <f t="shared" si="176"/>
        <v>1.05</v>
      </c>
      <c r="O97" s="9">
        <f t="shared" si="176"/>
        <v>1</v>
      </c>
      <c r="P97" s="9">
        <f t="shared" si="176"/>
        <v>0.41</v>
      </c>
      <c r="Q97" s="9">
        <f t="shared" si="176"/>
        <v>0.35</v>
      </c>
      <c r="R97" s="9">
        <f t="shared" si="176"/>
        <v>1.4999999999999999E-2</v>
      </c>
      <c r="S97" s="9" t="str">
        <f t="shared" ref="S97:T97" si="177">T60</f>
        <v>1/500</v>
      </c>
      <c r="T97" s="9" t="str">
        <f t="shared" si="177"/>
        <v>U60</v>
      </c>
      <c r="U97" s="9">
        <f>W60</f>
        <v>0.21</v>
      </c>
      <c r="V97" s="9">
        <f>V60</f>
        <v>0.17</v>
      </c>
      <c r="W97" s="9">
        <v>1.167</v>
      </c>
      <c r="X97" s="9">
        <v>1.0449999999999999</v>
      </c>
      <c r="Y97" s="13">
        <f t="shared" si="89"/>
        <v>0.1799485861182519</v>
      </c>
      <c r="Z97" s="13">
        <f t="shared" si="90"/>
        <v>0.16267942583732059</v>
      </c>
      <c r="AA97" s="9">
        <f t="shared" ref="AA97:AB97" si="178">X60</f>
        <v>0.19</v>
      </c>
      <c r="AB97" s="9">
        <f t="shared" si="178"/>
        <v>0.6</v>
      </c>
    </row>
    <row r="99" spans="7:28">
      <c r="K99" t="s">
        <v>336</v>
      </c>
      <c r="L99" t="s">
        <v>773</v>
      </c>
      <c r="M99" t="s">
        <v>774</v>
      </c>
      <c r="N99" t="s">
        <v>776</v>
      </c>
      <c r="O99" t="s">
        <v>775</v>
      </c>
    </row>
    <row r="100" spans="7:28">
      <c r="K100" s="23">
        <f t="shared" ref="K100:K106" si="179">K5</f>
        <v>10</v>
      </c>
      <c r="L100">
        <f t="shared" ref="L100:L106" si="180">N100+Y5</f>
        <v>1663.59</v>
      </c>
      <c r="M100" s="3">
        <f t="shared" ref="M100:M106" si="181">AB5</f>
        <v>1663.44</v>
      </c>
      <c r="N100">
        <v>1662.79</v>
      </c>
      <c r="O100">
        <f t="shared" ref="O100:O106" si="182">E5</f>
        <v>1663.77</v>
      </c>
      <c r="P100">
        <f>干渠!W299</f>
        <v>1662.79</v>
      </c>
    </row>
    <row r="101" spans="7:28">
      <c r="G101" s="12" t="s">
        <v>507</v>
      </c>
      <c r="H101" s="12">
        <v>50</v>
      </c>
      <c r="K101" s="23">
        <f t="shared" si="179"/>
        <v>100</v>
      </c>
      <c r="L101">
        <f t="shared" si="180"/>
        <v>1663.1399999999999</v>
      </c>
      <c r="M101" s="3">
        <f t="shared" si="181"/>
        <v>1662.81</v>
      </c>
      <c r="N101">
        <f t="shared" ref="N101:N106" si="183">AA6</f>
        <v>1662.34</v>
      </c>
      <c r="O101">
        <f t="shared" si="182"/>
        <v>1663.22</v>
      </c>
    </row>
    <row r="102" spans="7:28">
      <c r="G102" s="12" t="s">
        <v>508</v>
      </c>
      <c r="H102" s="12">
        <v>900</v>
      </c>
      <c r="K102" s="23">
        <f t="shared" si="179"/>
        <v>200</v>
      </c>
      <c r="L102">
        <f t="shared" si="180"/>
        <v>1662.44</v>
      </c>
      <c r="M102" s="3">
        <f t="shared" si="181"/>
        <v>1662.1100000000001</v>
      </c>
      <c r="N102">
        <f t="shared" si="183"/>
        <v>1661.64</v>
      </c>
      <c r="O102">
        <f t="shared" si="182"/>
        <v>1662.35</v>
      </c>
    </row>
    <row r="103" spans="7:28">
      <c r="G103" s="12" t="s">
        <v>509</v>
      </c>
      <c r="H103" s="12">
        <v>1800</v>
      </c>
      <c r="K103" s="23">
        <f t="shared" si="179"/>
        <v>300</v>
      </c>
      <c r="L103">
        <f t="shared" si="180"/>
        <v>1661.74</v>
      </c>
      <c r="M103" s="3">
        <f t="shared" si="181"/>
        <v>1661.41</v>
      </c>
      <c r="N103">
        <f t="shared" si="183"/>
        <v>1660.94</v>
      </c>
      <c r="O103">
        <f t="shared" si="182"/>
        <v>1661.34</v>
      </c>
    </row>
    <row r="104" spans="7:28">
      <c r="G104" s="12" t="s">
        <v>510</v>
      </c>
      <c r="H104" s="12">
        <v>2600</v>
      </c>
      <c r="K104" s="23">
        <f t="shared" si="179"/>
        <v>400</v>
      </c>
      <c r="L104">
        <f t="shared" si="180"/>
        <v>1661.04</v>
      </c>
      <c r="M104" s="3">
        <f t="shared" si="181"/>
        <v>1660.71</v>
      </c>
      <c r="N104">
        <f t="shared" si="183"/>
        <v>1660.24</v>
      </c>
      <c r="O104">
        <f t="shared" si="182"/>
        <v>1660.51</v>
      </c>
    </row>
    <row r="105" spans="7:28">
      <c r="G105" s="12" t="s">
        <v>511</v>
      </c>
      <c r="H105" s="12">
        <v>3100</v>
      </c>
      <c r="K105" s="23">
        <f t="shared" si="179"/>
        <v>500</v>
      </c>
      <c r="L105">
        <f t="shared" si="180"/>
        <v>1660.34</v>
      </c>
      <c r="M105" s="3">
        <f t="shared" si="181"/>
        <v>1660.01</v>
      </c>
      <c r="N105">
        <f t="shared" si="183"/>
        <v>1659.54</v>
      </c>
      <c r="O105">
        <f t="shared" si="182"/>
        <v>1659.96</v>
      </c>
    </row>
    <row r="106" spans="7:28">
      <c r="G106" s="12" t="s">
        <v>512</v>
      </c>
      <c r="H106" s="12">
        <v>3600</v>
      </c>
      <c r="K106" s="23">
        <f t="shared" si="179"/>
        <v>600</v>
      </c>
      <c r="L106">
        <f t="shared" si="180"/>
        <v>1659.6399999999999</v>
      </c>
      <c r="M106" s="3">
        <f t="shared" si="181"/>
        <v>1659.31</v>
      </c>
      <c r="N106">
        <f t="shared" si="183"/>
        <v>1658.84</v>
      </c>
      <c r="O106">
        <f t="shared" si="182"/>
        <v>1659.41</v>
      </c>
    </row>
    <row r="107" spans="7:28">
      <c r="G107" s="12"/>
      <c r="H107" s="12"/>
      <c r="K107" s="23"/>
      <c r="M107" s="3"/>
    </row>
    <row r="108" spans="7:28">
      <c r="G108" s="12" t="s">
        <v>513</v>
      </c>
      <c r="H108" s="12">
        <v>4200</v>
      </c>
      <c r="K108" s="23">
        <f t="shared" ref="K108:K114" si="184">K12</f>
        <v>700</v>
      </c>
      <c r="L108">
        <f t="shared" ref="L108:L114" si="185">N108+Y12</f>
        <v>1658.94</v>
      </c>
      <c r="M108" s="3">
        <f t="shared" ref="M108:M114" si="186">AB12</f>
        <v>1658.6100000000001</v>
      </c>
      <c r="N108">
        <f t="shared" ref="N108:N114" si="187">AA12</f>
        <v>1658.14</v>
      </c>
      <c r="O108">
        <f t="shared" ref="O108:O114" si="188">E12</f>
        <v>1658.18</v>
      </c>
    </row>
    <row r="109" spans="7:28">
      <c r="G109" s="12" t="s">
        <v>514</v>
      </c>
      <c r="H109" s="12">
        <v>4800</v>
      </c>
      <c r="K109" s="23">
        <f t="shared" si="184"/>
        <v>703</v>
      </c>
      <c r="L109">
        <f t="shared" si="185"/>
        <v>1658.04</v>
      </c>
      <c r="M109" s="3">
        <f t="shared" si="186"/>
        <v>1657.71</v>
      </c>
      <c r="N109">
        <f t="shared" si="187"/>
        <v>1657.24</v>
      </c>
      <c r="O109">
        <f t="shared" si="188"/>
        <v>1658.18</v>
      </c>
    </row>
    <row r="110" spans="7:28">
      <c r="G110" s="12" t="s">
        <v>515</v>
      </c>
      <c r="H110" s="12">
        <v>5310</v>
      </c>
      <c r="K110" s="23">
        <f t="shared" si="184"/>
        <v>800</v>
      </c>
      <c r="L110">
        <f t="shared" si="185"/>
        <v>1657.36</v>
      </c>
      <c r="M110" s="3">
        <f t="shared" si="186"/>
        <v>1657.03</v>
      </c>
      <c r="N110">
        <f t="shared" si="187"/>
        <v>1656.56</v>
      </c>
      <c r="O110">
        <f t="shared" si="188"/>
        <v>1657.04</v>
      </c>
    </row>
    <row r="111" spans="7:28">
      <c r="K111" s="23">
        <f t="shared" si="184"/>
        <v>900</v>
      </c>
      <c r="L111">
        <f t="shared" si="185"/>
        <v>1656.6599999999999</v>
      </c>
      <c r="M111" s="3">
        <f t="shared" si="186"/>
        <v>1656.33</v>
      </c>
      <c r="N111">
        <f t="shared" si="187"/>
        <v>1655.86</v>
      </c>
      <c r="O111">
        <f t="shared" si="188"/>
        <v>1655.77</v>
      </c>
    </row>
    <row r="112" spans="7:28">
      <c r="K112" s="23">
        <f t="shared" si="184"/>
        <v>1000</v>
      </c>
      <c r="L112">
        <f t="shared" si="185"/>
        <v>1655.96</v>
      </c>
      <c r="M112" s="3">
        <f t="shared" si="186"/>
        <v>1655.63</v>
      </c>
      <c r="N112">
        <f t="shared" si="187"/>
        <v>1655.16</v>
      </c>
      <c r="O112">
        <f t="shared" si="188"/>
        <v>1655.18</v>
      </c>
    </row>
    <row r="113" spans="11:15">
      <c r="K113" s="23">
        <f t="shared" si="184"/>
        <v>1100</v>
      </c>
      <c r="L113">
        <f t="shared" si="185"/>
        <v>1655.26</v>
      </c>
      <c r="M113" s="3">
        <f t="shared" si="186"/>
        <v>1655.01</v>
      </c>
      <c r="N113">
        <f t="shared" si="187"/>
        <v>1654.46</v>
      </c>
      <c r="O113">
        <f t="shared" si="188"/>
        <v>1654.84</v>
      </c>
    </row>
    <row r="114" spans="11:15">
      <c r="K114" s="23">
        <f t="shared" si="184"/>
        <v>1200</v>
      </c>
      <c r="L114">
        <f t="shared" si="185"/>
        <v>1655.1599999999999</v>
      </c>
      <c r="M114" s="3">
        <f t="shared" si="186"/>
        <v>1654.9099999999999</v>
      </c>
      <c r="N114">
        <f t="shared" si="187"/>
        <v>1654.36</v>
      </c>
      <c r="O114">
        <f t="shared" si="188"/>
        <v>1654.97</v>
      </c>
    </row>
    <row r="115" spans="11:15">
      <c r="K115" s="23"/>
      <c r="M115" s="3"/>
    </row>
    <row r="116" spans="11:15">
      <c r="K116" s="23">
        <f t="shared" ref="K116:K121" si="189">K19</f>
        <v>1300</v>
      </c>
      <c r="L116">
        <f t="shared" ref="L116:L121" si="190">N116+Y19</f>
        <v>1655.06</v>
      </c>
      <c r="M116" s="3">
        <f t="shared" ref="M116:M121" si="191">AB19</f>
        <v>1654.81</v>
      </c>
      <c r="N116">
        <f t="shared" ref="N116:N121" si="192">AA19</f>
        <v>1654.26</v>
      </c>
      <c r="O116">
        <f t="shared" ref="O116:O121" si="193">E19</f>
        <v>1654.84</v>
      </c>
    </row>
    <row r="117" spans="11:15">
      <c r="K117" s="23">
        <f t="shared" si="189"/>
        <v>1400</v>
      </c>
      <c r="L117">
        <f t="shared" si="190"/>
        <v>1654.96</v>
      </c>
      <c r="M117" s="3">
        <f t="shared" si="191"/>
        <v>1654.71</v>
      </c>
      <c r="N117">
        <f t="shared" si="192"/>
        <v>1654.16</v>
      </c>
      <c r="O117">
        <f t="shared" si="193"/>
        <v>1655.55</v>
      </c>
    </row>
    <row r="118" spans="11:15">
      <c r="K118" s="23">
        <f t="shared" si="189"/>
        <v>1500</v>
      </c>
      <c r="L118">
        <f t="shared" si="190"/>
        <v>1654.86</v>
      </c>
      <c r="M118" s="3">
        <f t="shared" si="191"/>
        <v>1654.61</v>
      </c>
      <c r="N118">
        <f t="shared" si="192"/>
        <v>1654.06</v>
      </c>
      <c r="O118">
        <f t="shared" si="193"/>
        <v>1654.58</v>
      </c>
    </row>
    <row r="119" spans="11:15">
      <c r="K119" s="23">
        <f t="shared" si="189"/>
        <v>1600</v>
      </c>
      <c r="L119">
        <f t="shared" si="190"/>
        <v>1654.76</v>
      </c>
      <c r="M119" s="3">
        <f t="shared" si="191"/>
        <v>1654.51</v>
      </c>
      <c r="N119">
        <f t="shared" si="192"/>
        <v>1653.96</v>
      </c>
      <c r="O119">
        <f t="shared" si="193"/>
        <v>1655.28</v>
      </c>
    </row>
    <row r="120" spans="11:15">
      <c r="K120" s="23">
        <f t="shared" si="189"/>
        <v>1700</v>
      </c>
      <c r="L120">
        <f t="shared" si="190"/>
        <v>1654.6599999999999</v>
      </c>
      <c r="M120" s="3">
        <f t="shared" si="191"/>
        <v>1654.4099999999999</v>
      </c>
      <c r="N120">
        <f t="shared" si="192"/>
        <v>1653.86</v>
      </c>
      <c r="O120">
        <f t="shared" si="193"/>
        <v>1655.92</v>
      </c>
    </row>
    <row r="121" spans="11:15">
      <c r="K121" s="23">
        <f t="shared" si="189"/>
        <v>1800</v>
      </c>
      <c r="L121">
        <f t="shared" si="190"/>
        <v>1654.56</v>
      </c>
      <c r="M121" s="3">
        <f t="shared" si="191"/>
        <v>1654.31</v>
      </c>
      <c r="N121">
        <f t="shared" si="192"/>
        <v>1653.76</v>
      </c>
      <c r="O121">
        <f t="shared" si="193"/>
        <v>1655.14</v>
      </c>
    </row>
    <row r="122" spans="11:15">
      <c r="K122" s="23"/>
      <c r="M122" s="3"/>
    </row>
    <row r="123" spans="11:15">
      <c r="K123" s="23">
        <f t="shared" ref="K123:K128" si="194">K25</f>
        <v>1900</v>
      </c>
      <c r="L123">
        <f t="shared" ref="L123:L128" si="195">N123+Y25</f>
        <v>1654.46</v>
      </c>
      <c r="M123" s="3">
        <f t="shared" ref="M123:M128" si="196">AB25</f>
        <v>1654.21</v>
      </c>
      <c r="N123">
        <f t="shared" ref="N123:N128" si="197">AA25</f>
        <v>1653.66</v>
      </c>
      <c r="O123">
        <f t="shared" ref="O123:O128" si="198">E25</f>
        <v>1654.57</v>
      </c>
    </row>
    <row r="124" spans="11:15">
      <c r="K124" s="23">
        <f t="shared" si="194"/>
        <v>2000</v>
      </c>
      <c r="L124">
        <f t="shared" si="195"/>
        <v>1654.36</v>
      </c>
      <c r="M124" s="3">
        <f t="shared" si="196"/>
        <v>1654.11</v>
      </c>
      <c r="N124">
        <f t="shared" si="197"/>
        <v>1653.56</v>
      </c>
      <c r="O124">
        <f t="shared" si="198"/>
        <v>1654.46</v>
      </c>
    </row>
    <row r="125" spans="11:15">
      <c r="K125" s="23">
        <f t="shared" si="194"/>
        <v>2100</v>
      </c>
      <c r="L125">
        <f t="shared" si="195"/>
        <v>1654.26</v>
      </c>
      <c r="M125" s="3">
        <f t="shared" si="196"/>
        <v>1654.01</v>
      </c>
      <c r="N125">
        <f t="shared" si="197"/>
        <v>1653.46</v>
      </c>
      <c r="O125">
        <f t="shared" si="198"/>
        <v>1654.26</v>
      </c>
    </row>
    <row r="126" spans="11:15">
      <c r="K126" s="23">
        <f t="shared" si="194"/>
        <v>2200</v>
      </c>
      <c r="L126">
        <f t="shared" si="195"/>
        <v>1654.1599999999999</v>
      </c>
      <c r="M126" s="3">
        <f t="shared" si="196"/>
        <v>1653.9099999999999</v>
      </c>
      <c r="N126">
        <f t="shared" si="197"/>
        <v>1653.36</v>
      </c>
      <c r="O126">
        <f t="shared" si="198"/>
        <v>1654.12</v>
      </c>
    </row>
    <row r="127" spans="11:15">
      <c r="K127" s="23">
        <f t="shared" si="194"/>
        <v>2300</v>
      </c>
      <c r="L127">
        <f t="shared" si="195"/>
        <v>1654.06</v>
      </c>
      <c r="M127" s="3">
        <f t="shared" si="196"/>
        <v>1653.81</v>
      </c>
      <c r="N127">
        <f t="shared" si="197"/>
        <v>1653.26</v>
      </c>
      <c r="O127">
        <f t="shared" si="198"/>
        <v>1653.94</v>
      </c>
    </row>
    <row r="128" spans="11:15">
      <c r="K128" s="23">
        <f t="shared" si="194"/>
        <v>2400</v>
      </c>
      <c r="L128">
        <f t="shared" si="195"/>
        <v>1653.96</v>
      </c>
      <c r="M128" s="3">
        <f t="shared" si="196"/>
        <v>1653.71</v>
      </c>
      <c r="N128">
        <f t="shared" si="197"/>
        <v>1653.16</v>
      </c>
      <c r="O128">
        <f t="shared" si="198"/>
        <v>1654.06</v>
      </c>
    </row>
    <row r="129" spans="11:15">
      <c r="K129" s="23"/>
      <c r="M129" s="3"/>
    </row>
    <row r="130" spans="11:15">
      <c r="K130" s="23">
        <f t="shared" ref="K130:K135" si="199">K31</f>
        <v>2500</v>
      </c>
      <c r="L130">
        <f t="shared" ref="L130:L135" si="200">N130+Y31</f>
        <v>1653.86</v>
      </c>
      <c r="M130" s="3">
        <f t="shared" ref="M130:M135" si="201">AB31</f>
        <v>1653.3899999999999</v>
      </c>
      <c r="N130">
        <f t="shared" ref="N130:N135" si="202">AA31</f>
        <v>1653.06</v>
      </c>
      <c r="O130">
        <f t="shared" ref="O130:O135" si="203">E31</f>
        <v>1653.45</v>
      </c>
    </row>
    <row r="131" spans="11:15">
      <c r="K131" s="23">
        <f t="shared" si="199"/>
        <v>2600</v>
      </c>
      <c r="L131">
        <f t="shared" si="200"/>
        <v>1653.36</v>
      </c>
      <c r="M131" s="3">
        <f t="shared" si="201"/>
        <v>1652.8899999999999</v>
      </c>
      <c r="N131">
        <f t="shared" si="202"/>
        <v>1652.56</v>
      </c>
      <c r="O131">
        <f t="shared" si="203"/>
        <v>1652.91</v>
      </c>
    </row>
    <row r="132" spans="11:15">
      <c r="K132" s="23">
        <f t="shared" si="199"/>
        <v>2700</v>
      </c>
      <c r="L132">
        <f t="shared" si="200"/>
        <v>1652.86</v>
      </c>
      <c r="M132" s="3">
        <f t="shared" si="201"/>
        <v>1652.3899999999999</v>
      </c>
      <c r="N132">
        <f t="shared" si="202"/>
        <v>1652.06</v>
      </c>
      <c r="O132">
        <f t="shared" si="203"/>
        <v>1652.54</v>
      </c>
    </row>
    <row r="133" spans="11:15">
      <c r="K133" s="23">
        <f t="shared" si="199"/>
        <v>2800</v>
      </c>
      <c r="L133">
        <f t="shared" si="200"/>
        <v>1652.36</v>
      </c>
      <c r="M133" s="3">
        <f t="shared" si="201"/>
        <v>1651.9099999999999</v>
      </c>
      <c r="N133">
        <f t="shared" si="202"/>
        <v>1651.56</v>
      </c>
      <c r="O133">
        <f t="shared" si="203"/>
        <v>1652.39</v>
      </c>
    </row>
    <row r="134" spans="11:15">
      <c r="K134" s="23">
        <f t="shared" si="199"/>
        <v>2900</v>
      </c>
      <c r="L134">
        <f t="shared" si="200"/>
        <v>1651.96</v>
      </c>
      <c r="M134" s="3">
        <f t="shared" si="201"/>
        <v>1651.51</v>
      </c>
      <c r="N134">
        <f t="shared" si="202"/>
        <v>1651.16</v>
      </c>
      <c r="O134">
        <f t="shared" si="203"/>
        <v>1651.79</v>
      </c>
    </row>
    <row r="135" spans="11:15">
      <c r="K135" s="23">
        <f t="shared" si="199"/>
        <v>3000</v>
      </c>
      <c r="L135">
        <f t="shared" si="200"/>
        <v>1651.56</v>
      </c>
      <c r="M135" s="3">
        <f t="shared" si="201"/>
        <v>1651.11</v>
      </c>
      <c r="N135">
        <f t="shared" si="202"/>
        <v>1650.76</v>
      </c>
      <c r="O135">
        <f t="shared" si="203"/>
        <v>1650.68</v>
      </c>
    </row>
    <row r="136" spans="11:15">
      <c r="K136" s="23"/>
      <c r="M136" s="3"/>
    </row>
    <row r="137" spans="11:15">
      <c r="K137" s="23">
        <f t="shared" ref="K137:K142" si="204">K37</f>
        <v>3100</v>
      </c>
      <c r="L137">
        <f t="shared" ref="L137:L142" si="205">N137+Y37</f>
        <v>1651.1599999999999</v>
      </c>
      <c r="M137" s="3">
        <f t="shared" ref="M137:M142" si="206">AB37</f>
        <v>1650.7099999999998</v>
      </c>
      <c r="N137">
        <f t="shared" ref="N137:N142" si="207">AA37</f>
        <v>1650.36</v>
      </c>
      <c r="O137">
        <f t="shared" ref="O137:O142" si="208">E37</f>
        <v>1650.29</v>
      </c>
    </row>
    <row r="138" spans="11:15">
      <c r="K138" s="23">
        <f t="shared" si="204"/>
        <v>3200</v>
      </c>
      <c r="L138">
        <f t="shared" si="205"/>
        <v>1650.56</v>
      </c>
      <c r="M138" s="3">
        <f t="shared" si="206"/>
        <v>1650.24</v>
      </c>
      <c r="N138">
        <f t="shared" si="207"/>
        <v>1649.96</v>
      </c>
      <c r="O138">
        <f t="shared" si="208"/>
        <v>1650.06</v>
      </c>
    </row>
    <row r="139" spans="11:15">
      <c r="K139" s="23">
        <f t="shared" si="204"/>
        <v>3300</v>
      </c>
      <c r="L139">
        <f t="shared" si="205"/>
        <v>1650.1599999999999</v>
      </c>
      <c r="M139" s="3">
        <f t="shared" si="206"/>
        <v>1649.84</v>
      </c>
      <c r="N139">
        <f t="shared" si="207"/>
        <v>1649.56</v>
      </c>
      <c r="O139">
        <f t="shared" si="208"/>
        <v>1649.83</v>
      </c>
    </row>
    <row r="140" spans="11:15">
      <c r="K140" s="23">
        <f t="shared" si="204"/>
        <v>3400</v>
      </c>
      <c r="L140">
        <f t="shared" si="205"/>
        <v>1649.76</v>
      </c>
      <c r="M140" s="3">
        <f t="shared" si="206"/>
        <v>1649.44</v>
      </c>
      <c r="N140">
        <f t="shared" si="207"/>
        <v>1649.16</v>
      </c>
      <c r="O140">
        <f t="shared" si="208"/>
        <v>1649.65</v>
      </c>
    </row>
    <row r="141" spans="11:15">
      <c r="K141" s="23">
        <f t="shared" si="204"/>
        <v>3500</v>
      </c>
      <c r="L141">
        <f t="shared" si="205"/>
        <v>1649.36</v>
      </c>
      <c r="M141" s="3">
        <f t="shared" si="206"/>
        <v>1649.04</v>
      </c>
      <c r="N141">
        <f t="shared" si="207"/>
        <v>1648.76</v>
      </c>
      <c r="O141">
        <f t="shared" si="208"/>
        <v>1649.25</v>
      </c>
    </row>
    <row r="142" spans="11:15">
      <c r="K142" s="23">
        <f t="shared" si="204"/>
        <v>3600</v>
      </c>
      <c r="L142">
        <f t="shared" si="205"/>
        <v>1648.9599999999998</v>
      </c>
      <c r="M142" s="3">
        <f t="shared" si="206"/>
        <v>1648.6399999999999</v>
      </c>
      <c r="N142">
        <f t="shared" si="207"/>
        <v>1648.36</v>
      </c>
      <c r="O142">
        <f t="shared" si="208"/>
        <v>1648.77</v>
      </c>
    </row>
    <row r="143" spans="11:15">
      <c r="K143" s="23"/>
      <c r="M143" s="3"/>
    </row>
    <row r="144" spans="11:15">
      <c r="K144" s="23">
        <f t="shared" ref="K144:K149" si="209">K43</f>
        <v>3700</v>
      </c>
      <c r="L144">
        <f t="shared" ref="L144:L149" si="210">N144+Y43</f>
        <v>1648.56</v>
      </c>
      <c r="M144" s="3">
        <f t="shared" ref="M144:M149" si="211">AB43</f>
        <v>1648.24</v>
      </c>
      <c r="N144">
        <f t="shared" ref="N144:N149" si="212">AA43</f>
        <v>1647.96</v>
      </c>
      <c r="O144">
        <f t="shared" ref="O144:O149" si="213">E43</f>
        <v>1648.07</v>
      </c>
    </row>
    <row r="145" spans="11:15">
      <c r="K145" s="23">
        <f t="shared" si="209"/>
        <v>3800</v>
      </c>
      <c r="L145">
        <f t="shared" si="210"/>
        <v>1648.1599999999999</v>
      </c>
      <c r="M145" s="3">
        <f t="shared" si="211"/>
        <v>1647.84</v>
      </c>
      <c r="N145">
        <f t="shared" si="212"/>
        <v>1647.56</v>
      </c>
      <c r="O145">
        <f t="shared" si="213"/>
        <v>1647.62</v>
      </c>
    </row>
    <row r="146" spans="11:15">
      <c r="K146" s="23">
        <f t="shared" si="209"/>
        <v>3900</v>
      </c>
      <c r="L146">
        <f t="shared" si="210"/>
        <v>1647.76</v>
      </c>
      <c r="M146" s="3">
        <f t="shared" si="211"/>
        <v>1647.44</v>
      </c>
      <c r="N146">
        <f t="shared" si="212"/>
        <v>1647.16</v>
      </c>
      <c r="O146">
        <f t="shared" si="213"/>
        <v>1647.42</v>
      </c>
    </row>
    <row r="147" spans="11:15">
      <c r="K147" s="23">
        <f t="shared" si="209"/>
        <v>4000</v>
      </c>
      <c r="L147">
        <f t="shared" si="210"/>
        <v>1647.36</v>
      </c>
      <c r="M147" s="3">
        <f t="shared" si="211"/>
        <v>1647.04</v>
      </c>
      <c r="N147">
        <f t="shared" si="212"/>
        <v>1646.76</v>
      </c>
      <c r="O147">
        <f t="shared" si="213"/>
        <v>1646.94</v>
      </c>
    </row>
    <row r="148" spans="11:15">
      <c r="K148" s="23">
        <f t="shared" si="209"/>
        <v>4100</v>
      </c>
      <c r="L148">
        <f t="shared" si="210"/>
        <v>1646.9599999999998</v>
      </c>
      <c r="M148" s="3">
        <f t="shared" si="211"/>
        <v>1646.6399999999999</v>
      </c>
      <c r="N148">
        <f t="shared" si="212"/>
        <v>1646.36</v>
      </c>
      <c r="O148">
        <f t="shared" si="213"/>
        <v>1646.58</v>
      </c>
    </row>
    <row r="149" spans="11:15">
      <c r="K149" s="23">
        <f t="shared" si="209"/>
        <v>4200</v>
      </c>
      <c r="L149">
        <f t="shared" si="210"/>
        <v>1646.56</v>
      </c>
      <c r="M149" s="3">
        <f t="shared" si="211"/>
        <v>1646.24</v>
      </c>
      <c r="N149">
        <f t="shared" si="212"/>
        <v>1645.96</v>
      </c>
      <c r="O149">
        <f t="shared" si="213"/>
        <v>1646.51</v>
      </c>
    </row>
    <row r="150" spans="11:15">
      <c r="K150" s="23"/>
      <c r="M150" s="3"/>
    </row>
    <row r="151" spans="11:15">
      <c r="K151" s="23">
        <f t="shared" ref="K151:K156" si="214">K49</f>
        <v>4300</v>
      </c>
      <c r="L151">
        <f t="shared" ref="L151:L156" si="215">N151+Y49</f>
        <v>1646.1599999999999</v>
      </c>
      <c r="M151" s="3">
        <f t="shared" ref="M151:M156" si="216">AB49</f>
        <v>1645.9099999999999</v>
      </c>
      <c r="N151">
        <f t="shared" ref="N151:N156" si="217">AA49</f>
        <v>1645.56</v>
      </c>
      <c r="O151">
        <f t="shared" ref="O151:O156" si="218">E49</f>
        <v>1646.23</v>
      </c>
    </row>
    <row r="152" spans="11:15">
      <c r="K152" s="23">
        <f t="shared" si="214"/>
        <v>4400</v>
      </c>
      <c r="L152">
        <f t="shared" si="215"/>
        <v>1645.9599999999998</v>
      </c>
      <c r="M152" s="3">
        <f t="shared" si="216"/>
        <v>1645.7099999999998</v>
      </c>
      <c r="N152">
        <f t="shared" si="217"/>
        <v>1645.36</v>
      </c>
      <c r="O152">
        <f t="shared" si="218"/>
        <v>1645.82</v>
      </c>
    </row>
    <row r="153" spans="11:15">
      <c r="K153" s="23">
        <f t="shared" si="214"/>
        <v>4500</v>
      </c>
      <c r="L153">
        <f t="shared" si="215"/>
        <v>1645.76</v>
      </c>
      <c r="M153" s="3">
        <f t="shared" si="216"/>
        <v>1645.51</v>
      </c>
      <c r="N153">
        <f t="shared" si="217"/>
        <v>1645.16</v>
      </c>
      <c r="O153">
        <f t="shared" si="218"/>
        <v>1645.69</v>
      </c>
    </row>
    <row r="154" spans="11:15">
      <c r="K154" s="23">
        <f t="shared" si="214"/>
        <v>4600</v>
      </c>
      <c r="L154">
        <f t="shared" si="215"/>
        <v>1645.56</v>
      </c>
      <c r="M154" s="3">
        <f t="shared" si="216"/>
        <v>1645.31</v>
      </c>
      <c r="N154">
        <f t="shared" si="217"/>
        <v>1644.96</v>
      </c>
      <c r="O154">
        <f t="shared" si="218"/>
        <v>1645.39</v>
      </c>
    </row>
    <row r="155" spans="11:15">
      <c r="K155" s="23">
        <f t="shared" si="214"/>
        <v>4700</v>
      </c>
      <c r="L155">
        <f t="shared" si="215"/>
        <v>1645.36</v>
      </c>
      <c r="M155" s="3">
        <f t="shared" si="216"/>
        <v>1645.11</v>
      </c>
      <c r="N155">
        <f t="shared" si="217"/>
        <v>1644.76</v>
      </c>
      <c r="O155">
        <f t="shared" si="218"/>
        <v>1645.08</v>
      </c>
    </row>
    <row r="156" spans="11:15">
      <c r="K156" s="23">
        <f t="shared" si="214"/>
        <v>4800</v>
      </c>
      <c r="L156">
        <f t="shared" si="215"/>
        <v>1645.1599999999999</v>
      </c>
      <c r="M156" s="3">
        <f t="shared" si="216"/>
        <v>1644.9099999999999</v>
      </c>
      <c r="N156">
        <f t="shared" si="217"/>
        <v>1644.56</v>
      </c>
      <c r="O156">
        <f t="shared" si="218"/>
        <v>1644.76</v>
      </c>
    </row>
    <row r="157" spans="11:15">
      <c r="K157" s="23"/>
      <c r="M157" s="3"/>
    </row>
    <row r="158" spans="11:15">
      <c r="K158" s="23">
        <f>K55</f>
        <v>4900</v>
      </c>
      <c r="L158">
        <f>N158+Y55</f>
        <v>1644.9599999999998</v>
      </c>
      <c r="M158" s="3">
        <f>AB55</f>
        <v>1644.7099999999998</v>
      </c>
      <c r="N158">
        <f>AA55</f>
        <v>1644.36</v>
      </c>
      <c r="O158">
        <f>E55</f>
        <v>1644.46</v>
      </c>
    </row>
    <row r="159" spans="11:15">
      <c r="K159" s="23">
        <f>K56</f>
        <v>5000</v>
      </c>
      <c r="L159">
        <f>N159+Y56</f>
        <v>1644.76</v>
      </c>
      <c r="M159" s="3">
        <f>AB56</f>
        <v>1644.51</v>
      </c>
      <c r="N159">
        <f>AA56</f>
        <v>1644.16</v>
      </c>
      <c r="O159">
        <f>E56</f>
        <v>1644.19</v>
      </c>
    </row>
    <row r="160" spans="11:15">
      <c r="K160" s="23">
        <f>K57</f>
        <v>5100</v>
      </c>
      <c r="L160">
        <f>N160+Y57</f>
        <v>1644.56</v>
      </c>
      <c r="M160" s="3">
        <f>AB57</f>
        <v>1644.31</v>
      </c>
      <c r="N160">
        <f>AA57</f>
        <v>1643.96</v>
      </c>
      <c r="O160">
        <f>E57</f>
        <v>1644.11</v>
      </c>
    </row>
    <row r="161" spans="11:15">
      <c r="K161" s="23">
        <f>K58</f>
        <v>5200</v>
      </c>
      <c r="L161">
        <f>N161+Y58</f>
        <v>1644.36</v>
      </c>
      <c r="M161" s="3">
        <f>AB58</f>
        <v>1644.11</v>
      </c>
      <c r="N161">
        <f>AA58</f>
        <v>1643.76</v>
      </c>
      <c r="O161">
        <f>E58</f>
        <v>1644.1</v>
      </c>
    </row>
    <row r="162" spans="11:15">
      <c r="K162" s="23">
        <f>K60</f>
        <v>5310</v>
      </c>
      <c r="L162">
        <f>N162+Y60</f>
        <v>1644.1399999999999</v>
      </c>
      <c r="M162" s="3">
        <f>AB60</f>
        <v>1643.8899999999999</v>
      </c>
      <c r="N162">
        <f>AA60</f>
        <v>1643.54</v>
      </c>
      <c r="O162">
        <f>E60</f>
        <v>1644.03</v>
      </c>
    </row>
    <row r="163" spans="11:15">
      <c r="K163" s="23"/>
    </row>
    <row r="164" spans="11:15">
      <c r="K164" s="23"/>
    </row>
    <row r="165" spans="11:15">
      <c r="K165" s="23"/>
    </row>
    <row r="166" spans="11:15">
      <c r="K166" s="23"/>
    </row>
    <row r="167" spans="11:15">
      <c r="K167" s="23"/>
    </row>
    <row r="168" spans="11:15">
      <c r="K168" s="23"/>
    </row>
    <row r="169" spans="11:15">
      <c r="K169" s="23"/>
    </row>
    <row r="170" spans="11:15">
      <c r="K170" s="23"/>
    </row>
    <row r="171" spans="11:15">
      <c r="K171" s="23"/>
    </row>
  </sheetData>
  <mergeCells count="16">
    <mergeCell ref="AA1:AA2"/>
    <mergeCell ref="AB1:AB2"/>
    <mergeCell ref="AC1:AC2"/>
    <mergeCell ref="J1:J2"/>
    <mergeCell ref="K1:K2"/>
    <mergeCell ref="L1:M1"/>
    <mergeCell ref="N1:O1"/>
    <mergeCell ref="P1:Q1"/>
    <mergeCell ref="Z1:Z2"/>
    <mergeCell ref="W63:X63"/>
    <mergeCell ref="Y63:Z63"/>
    <mergeCell ref="K63:K64"/>
    <mergeCell ref="L63:M63"/>
    <mergeCell ref="N63:O63"/>
    <mergeCell ref="P63:Q63"/>
    <mergeCell ref="U63:V6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C106"/>
  <sheetViews>
    <sheetView topLeftCell="G46" workbookViewId="0">
      <selection activeCell="Q64" sqref="Q64"/>
    </sheetView>
  </sheetViews>
  <sheetFormatPr defaultRowHeight="14.4"/>
  <cols>
    <col min="13" max="13" width="9.44140625" bestFit="1" customWidth="1"/>
  </cols>
  <sheetData>
    <row r="1" spans="2:29">
      <c r="J1" s="43" t="s">
        <v>359</v>
      </c>
      <c r="K1" s="43" t="s">
        <v>336</v>
      </c>
      <c r="L1" s="43" t="s">
        <v>337</v>
      </c>
      <c r="M1" s="43"/>
      <c r="N1" s="43" t="s">
        <v>338</v>
      </c>
      <c r="O1" s="43"/>
      <c r="P1" s="43" t="s">
        <v>339</v>
      </c>
      <c r="Q1" s="43"/>
      <c r="R1" s="9" t="s">
        <v>340</v>
      </c>
      <c r="S1" s="9" t="s">
        <v>289</v>
      </c>
      <c r="T1" s="9"/>
      <c r="U1" s="9" t="s">
        <v>438</v>
      </c>
      <c r="V1" s="11"/>
      <c r="W1" s="11"/>
      <c r="X1" s="9" t="s">
        <v>343</v>
      </c>
      <c r="Y1" s="9" t="s">
        <v>344</v>
      </c>
      <c r="Z1" s="40" t="s">
        <v>395</v>
      </c>
      <c r="AA1" s="40" t="s">
        <v>346</v>
      </c>
      <c r="AB1" s="43" t="s">
        <v>347</v>
      </c>
      <c r="AC1" s="43" t="s">
        <v>359</v>
      </c>
    </row>
    <row r="2" spans="2:29" ht="15.6">
      <c r="J2" s="43"/>
      <c r="K2" s="43"/>
      <c r="L2" s="9" t="s">
        <v>349</v>
      </c>
      <c r="M2" s="9" t="s">
        <v>348</v>
      </c>
      <c r="N2" s="9" t="s">
        <v>351</v>
      </c>
      <c r="O2" s="9" t="s">
        <v>352</v>
      </c>
      <c r="P2" s="9" t="s">
        <v>353</v>
      </c>
      <c r="Q2" s="9" t="s">
        <v>354</v>
      </c>
      <c r="R2" s="9" t="s">
        <v>309</v>
      </c>
      <c r="S2" s="9" t="s">
        <v>308</v>
      </c>
      <c r="T2" s="9"/>
      <c r="U2" s="9" t="s">
        <v>306</v>
      </c>
      <c r="V2" s="11" t="s">
        <v>368</v>
      </c>
      <c r="W2" s="11" t="s">
        <v>366</v>
      </c>
      <c r="X2" s="9" t="s">
        <v>355</v>
      </c>
      <c r="Y2" s="9" t="s">
        <v>310</v>
      </c>
      <c r="Z2" s="41"/>
      <c r="AA2" s="41"/>
      <c r="AB2" s="43"/>
      <c r="AC2" s="43"/>
    </row>
    <row r="3" spans="2:29" ht="16.2">
      <c r="B3" t="s">
        <v>0</v>
      </c>
      <c r="D3" t="s">
        <v>1</v>
      </c>
      <c r="F3" t="s">
        <v>290</v>
      </c>
      <c r="J3" s="9"/>
      <c r="K3" s="9" t="s">
        <v>356</v>
      </c>
      <c r="L3" s="9" t="s">
        <v>358</v>
      </c>
      <c r="M3" s="9" t="s">
        <v>358</v>
      </c>
      <c r="N3" s="9" t="s">
        <v>357</v>
      </c>
      <c r="O3" s="9" t="s">
        <v>357</v>
      </c>
      <c r="P3" s="9" t="s">
        <v>307</v>
      </c>
      <c r="Q3" s="9" t="s">
        <v>307</v>
      </c>
      <c r="R3" s="9"/>
      <c r="S3" s="9"/>
      <c r="T3" s="9"/>
      <c r="U3" s="9" t="s">
        <v>307</v>
      </c>
      <c r="V3" s="9"/>
      <c r="W3" s="9"/>
      <c r="X3" s="9" t="s">
        <v>307</v>
      </c>
      <c r="Y3" s="9" t="s">
        <v>307</v>
      </c>
      <c r="Z3" s="9" t="s">
        <v>307</v>
      </c>
      <c r="AA3" s="9" t="s">
        <v>307</v>
      </c>
      <c r="AB3" s="9" t="s">
        <v>307</v>
      </c>
      <c r="AC3" s="9"/>
    </row>
    <row r="4" spans="2:29">
      <c r="B4" t="s">
        <v>2</v>
      </c>
      <c r="C4">
        <v>0</v>
      </c>
      <c r="D4">
        <v>1660.895</v>
      </c>
      <c r="E4">
        <f>ROUND(D4,2)</f>
        <v>1660.9</v>
      </c>
      <c r="F4">
        <v>1669.61</v>
      </c>
      <c r="J4" s="9"/>
      <c r="K4" s="10">
        <f>C4</f>
        <v>0</v>
      </c>
      <c r="L4" s="9">
        <f>ROUND(M4*1.3,2)</f>
        <v>0.18</v>
      </c>
      <c r="M4" s="9">
        <f>支渠!M7</f>
        <v>0.14000000000000001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2:29">
      <c r="C5">
        <v>10</v>
      </c>
      <c r="E5">
        <v>1660</v>
      </c>
      <c r="F5">
        <f>E5-0.5</f>
        <v>1659.5</v>
      </c>
      <c r="G5">
        <f t="shared" ref="G5:G31" si="0">E5-F5</f>
        <v>0.5</v>
      </c>
      <c r="H5">
        <v>5.0000000000000001E-3</v>
      </c>
      <c r="I5">
        <v>50</v>
      </c>
      <c r="J5" s="12" t="s">
        <v>516</v>
      </c>
      <c r="K5" s="10">
        <f t="shared" ref="K5:K11" si="1">C5</f>
        <v>10</v>
      </c>
      <c r="L5" s="9">
        <f t="shared" ref="L5:L31" si="2">ROUND(M5*1.3,2)</f>
        <v>0.18</v>
      </c>
      <c r="M5" s="9">
        <f>M4</f>
        <v>0.14000000000000001</v>
      </c>
      <c r="N5" s="9">
        <f>ROUND(L5/W5,2)</f>
        <v>1.5</v>
      </c>
      <c r="O5" s="9">
        <f>ROUND(M5/V5,2)</f>
        <v>1.56</v>
      </c>
      <c r="P5" s="9">
        <v>0.27</v>
      </c>
      <c r="Q5" s="9">
        <v>0.23</v>
      </c>
      <c r="R5" s="9">
        <v>1.4999999999999999E-2</v>
      </c>
      <c r="S5" s="9">
        <f>H5</f>
        <v>5.0000000000000001E-3</v>
      </c>
      <c r="T5" s="9" t="str">
        <f>"1/"&amp;ROUND(1/S5,0)</f>
        <v>1/200</v>
      </c>
      <c r="U5" s="9" t="s">
        <v>454</v>
      </c>
      <c r="V5" s="9">
        <v>0.09</v>
      </c>
      <c r="W5" s="9">
        <v>0.12</v>
      </c>
      <c r="X5" s="9">
        <f t="shared" ref="X5:X31" si="3">Y5-P5</f>
        <v>0.32999999999999996</v>
      </c>
      <c r="Y5" s="9">
        <v>0.6</v>
      </c>
      <c r="Z5" s="9">
        <f t="shared" ref="Z5:Z31" si="4">E5</f>
        <v>1660</v>
      </c>
      <c r="AA5" s="9">
        <f t="shared" ref="AA5:AA31" si="5">F5</f>
        <v>1659.5</v>
      </c>
      <c r="AB5" s="14">
        <f t="shared" ref="AB5:AB31" si="6">AA5+Q5</f>
        <v>1659.73</v>
      </c>
      <c r="AC5" s="9"/>
    </row>
    <row r="6" spans="2:29">
      <c r="B6" t="s">
        <v>9</v>
      </c>
      <c r="C6">
        <v>100</v>
      </c>
      <c r="D6">
        <v>1659.9590000000001</v>
      </c>
      <c r="E6">
        <f t="shared" ref="E6:E31" si="7">ROUND(D6,2)</f>
        <v>1659.96</v>
      </c>
      <c r="F6">
        <f>ROUND(F5-(C6-C5)*H5,2)</f>
        <v>1659.05</v>
      </c>
      <c r="G6">
        <f t="shared" si="0"/>
        <v>0.91000000000008185</v>
      </c>
      <c r="H6">
        <v>5.0000000000000001E-3</v>
      </c>
      <c r="J6" s="9"/>
      <c r="K6" s="10">
        <f t="shared" si="1"/>
        <v>100</v>
      </c>
      <c r="L6" s="9">
        <f t="shared" si="2"/>
        <v>0.18</v>
      </c>
      <c r="M6" s="9">
        <f t="shared" ref="M6:M11" si="8">M5</f>
        <v>0.14000000000000001</v>
      </c>
      <c r="N6" s="9">
        <f t="shared" ref="N6:N11" si="9">ROUND(L6/W6,2)</f>
        <v>1.5</v>
      </c>
      <c r="O6" s="9">
        <f t="shared" ref="O6:O11" si="10">ROUND(M6/V6,2)</f>
        <v>1.56</v>
      </c>
      <c r="P6" s="9">
        <f>P5</f>
        <v>0.27</v>
      </c>
      <c r="Q6" s="9">
        <f>Q5</f>
        <v>0.23</v>
      </c>
      <c r="R6" s="9">
        <v>1.4999999999999999E-2</v>
      </c>
      <c r="S6" s="9">
        <f t="shared" ref="S6:S11" si="11">H6</f>
        <v>5.0000000000000001E-3</v>
      </c>
      <c r="T6" s="9" t="str">
        <f t="shared" ref="T6:T11" si="12">"1/"&amp;ROUND(1/S6,0)</f>
        <v>1/200</v>
      </c>
      <c r="U6" s="9" t="str">
        <f>U5</f>
        <v>U60</v>
      </c>
      <c r="V6" s="9">
        <f>V5</f>
        <v>0.09</v>
      </c>
      <c r="W6" s="9">
        <f>W5</f>
        <v>0.12</v>
      </c>
      <c r="X6" s="9">
        <f t="shared" si="3"/>
        <v>0.32999999999999996</v>
      </c>
      <c r="Y6" s="9">
        <f>Y5</f>
        <v>0.6</v>
      </c>
      <c r="Z6" s="9">
        <f t="shared" si="4"/>
        <v>1659.96</v>
      </c>
      <c r="AA6" s="9">
        <f t="shared" si="5"/>
        <v>1659.05</v>
      </c>
      <c r="AB6" s="14">
        <f t="shared" si="6"/>
        <v>1659.28</v>
      </c>
      <c r="AC6" s="9"/>
    </row>
    <row r="7" spans="2:29">
      <c r="B7" t="s">
        <v>11</v>
      </c>
      <c r="C7">
        <v>200</v>
      </c>
      <c r="D7">
        <v>1659.1089999999999</v>
      </c>
      <c r="E7">
        <f t="shared" si="7"/>
        <v>1659.11</v>
      </c>
      <c r="F7">
        <f>ROUND(F6-(C7-C6)*H6,2)</f>
        <v>1658.55</v>
      </c>
      <c r="G7">
        <f t="shared" si="0"/>
        <v>0.55999999999994543</v>
      </c>
      <c r="H7">
        <v>5.0000000000000001E-3</v>
      </c>
      <c r="J7" s="9"/>
      <c r="K7" s="10">
        <f t="shared" si="1"/>
        <v>200</v>
      </c>
      <c r="L7" s="9">
        <f t="shared" si="2"/>
        <v>0.18</v>
      </c>
      <c r="M7" s="9">
        <f t="shared" si="8"/>
        <v>0.14000000000000001</v>
      </c>
      <c r="N7" s="9">
        <f t="shared" si="9"/>
        <v>1.5</v>
      </c>
      <c r="O7" s="9">
        <f t="shared" si="10"/>
        <v>1.56</v>
      </c>
      <c r="P7" s="9">
        <f t="shared" ref="P7:Q11" si="13">P6</f>
        <v>0.27</v>
      </c>
      <c r="Q7" s="9">
        <f t="shared" si="13"/>
        <v>0.23</v>
      </c>
      <c r="R7" s="9">
        <v>1.4999999999999999E-2</v>
      </c>
      <c r="S7" s="9">
        <f t="shared" si="11"/>
        <v>5.0000000000000001E-3</v>
      </c>
      <c r="T7" s="9" t="str">
        <f t="shared" si="12"/>
        <v>1/200</v>
      </c>
      <c r="U7" s="9" t="str">
        <f t="shared" ref="U7:U31" si="14">U6</f>
        <v>U60</v>
      </c>
      <c r="V7" s="9">
        <f t="shared" ref="V7:V31" si="15">V6</f>
        <v>0.09</v>
      </c>
      <c r="W7" s="9">
        <f t="shared" ref="W7:W31" si="16">W6</f>
        <v>0.12</v>
      </c>
      <c r="X7" s="9">
        <f t="shared" si="3"/>
        <v>0.32999999999999996</v>
      </c>
      <c r="Y7" s="9">
        <f t="shared" ref="Y7:Y31" si="17">Y6</f>
        <v>0.6</v>
      </c>
      <c r="Z7" s="9">
        <f t="shared" si="4"/>
        <v>1659.11</v>
      </c>
      <c r="AA7" s="9">
        <f t="shared" si="5"/>
        <v>1658.55</v>
      </c>
      <c r="AB7" s="14">
        <f t="shared" si="6"/>
        <v>1658.78</v>
      </c>
      <c r="AC7" s="9"/>
    </row>
    <row r="8" spans="2:29">
      <c r="B8" t="s">
        <v>414</v>
      </c>
      <c r="C8">
        <v>300</v>
      </c>
      <c r="D8">
        <v>1658.3689999999999</v>
      </c>
      <c r="E8">
        <f t="shared" si="7"/>
        <v>1658.37</v>
      </c>
      <c r="F8">
        <f t="shared" ref="F8" si="18">ROUND(F7-(C8-C7)*H7,2)</f>
        <v>1658.05</v>
      </c>
      <c r="G8">
        <f t="shared" si="0"/>
        <v>0.31999999999993634</v>
      </c>
      <c r="H8">
        <v>5.0000000000000001E-3</v>
      </c>
      <c r="J8" s="9"/>
      <c r="K8" s="10">
        <f t="shared" si="1"/>
        <v>300</v>
      </c>
      <c r="L8" s="9">
        <f t="shared" si="2"/>
        <v>0.18</v>
      </c>
      <c r="M8" s="9">
        <f t="shared" si="8"/>
        <v>0.14000000000000001</v>
      </c>
      <c r="N8" s="9">
        <f t="shared" si="9"/>
        <v>1.5</v>
      </c>
      <c r="O8" s="9">
        <f t="shared" si="10"/>
        <v>1.56</v>
      </c>
      <c r="P8" s="9">
        <f t="shared" si="13"/>
        <v>0.27</v>
      </c>
      <c r="Q8" s="9">
        <f t="shared" si="13"/>
        <v>0.23</v>
      </c>
      <c r="R8" s="9">
        <v>1.4999999999999999E-2</v>
      </c>
      <c r="S8" s="9">
        <f t="shared" si="11"/>
        <v>5.0000000000000001E-3</v>
      </c>
      <c r="T8" s="9" t="str">
        <f t="shared" si="12"/>
        <v>1/200</v>
      </c>
      <c r="U8" s="9" t="str">
        <f t="shared" si="14"/>
        <v>U60</v>
      </c>
      <c r="V8" s="9">
        <f t="shared" si="15"/>
        <v>0.09</v>
      </c>
      <c r="W8" s="9">
        <f t="shared" si="16"/>
        <v>0.12</v>
      </c>
      <c r="X8" s="9">
        <f t="shared" si="3"/>
        <v>0.32999999999999996</v>
      </c>
      <c r="Y8" s="9">
        <f t="shared" si="17"/>
        <v>0.6</v>
      </c>
      <c r="Z8" s="9">
        <f t="shared" si="4"/>
        <v>1658.37</v>
      </c>
      <c r="AA8" s="9">
        <f t="shared" si="5"/>
        <v>1658.05</v>
      </c>
      <c r="AB8" s="14">
        <f t="shared" si="6"/>
        <v>1658.28</v>
      </c>
      <c r="AC8" s="9"/>
    </row>
    <row r="9" spans="2:29">
      <c r="B9" t="s">
        <v>415</v>
      </c>
      <c r="C9">
        <v>400</v>
      </c>
      <c r="D9">
        <v>1657.6790000000001</v>
      </c>
      <c r="E9">
        <f t="shared" si="7"/>
        <v>1657.68</v>
      </c>
      <c r="F9">
        <f>ROUND(F8-(C9-C8)*H8,2)</f>
        <v>1657.55</v>
      </c>
      <c r="G9">
        <f t="shared" si="0"/>
        <v>0.13000000000010914</v>
      </c>
      <c r="H9">
        <v>7.0000000000000001E-3</v>
      </c>
      <c r="J9" s="9"/>
      <c r="K9" s="10">
        <f t="shared" si="1"/>
        <v>400</v>
      </c>
      <c r="L9" s="9">
        <f t="shared" si="2"/>
        <v>0.18</v>
      </c>
      <c r="M9" s="9">
        <f t="shared" si="8"/>
        <v>0.14000000000000001</v>
      </c>
      <c r="N9" s="9">
        <f t="shared" si="9"/>
        <v>1.64</v>
      </c>
      <c r="O9" s="9">
        <f t="shared" si="10"/>
        <v>1.56</v>
      </c>
      <c r="P9" s="9">
        <v>0.25</v>
      </c>
      <c r="Q9" s="9">
        <v>2.1000000000000001E-2</v>
      </c>
      <c r="R9" s="9">
        <v>1.4999999999999999E-2</v>
      </c>
      <c r="S9" s="9">
        <f t="shared" si="11"/>
        <v>7.0000000000000001E-3</v>
      </c>
      <c r="T9" s="9" t="str">
        <f t="shared" si="12"/>
        <v>1/143</v>
      </c>
      <c r="U9" s="9" t="str">
        <f t="shared" si="14"/>
        <v>U60</v>
      </c>
      <c r="V9" s="9">
        <f t="shared" si="15"/>
        <v>0.09</v>
      </c>
      <c r="W9" s="9">
        <v>0.11</v>
      </c>
      <c r="X9" s="9">
        <f t="shared" si="3"/>
        <v>0.35</v>
      </c>
      <c r="Y9" s="9">
        <f t="shared" si="17"/>
        <v>0.6</v>
      </c>
      <c r="Z9" s="9">
        <f t="shared" si="4"/>
        <v>1657.68</v>
      </c>
      <c r="AA9" s="9">
        <f t="shared" si="5"/>
        <v>1657.55</v>
      </c>
      <c r="AB9" s="14">
        <f t="shared" si="6"/>
        <v>1657.5709999999999</v>
      </c>
      <c r="AC9" s="9"/>
    </row>
    <row r="10" spans="2:29">
      <c r="B10" t="s">
        <v>15</v>
      </c>
      <c r="C10">
        <v>500</v>
      </c>
      <c r="D10">
        <v>1657.079</v>
      </c>
      <c r="E10">
        <f t="shared" si="7"/>
        <v>1657.08</v>
      </c>
      <c r="F10">
        <f t="shared" ref="F10:F31" si="19">ROUND(F9-(C10-C9)*H9,2)</f>
        <v>1656.85</v>
      </c>
      <c r="G10">
        <f t="shared" si="0"/>
        <v>0.23000000000001819</v>
      </c>
      <c r="H10">
        <v>7.0000000000000001E-3</v>
      </c>
      <c r="J10" s="9"/>
      <c r="K10" s="10">
        <f t="shared" si="1"/>
        <v>500</v>
      </c>
      <c r="L10" s="9">
        <f t="shared" si="2"/>
        <v>0.18</v>
      </c>
      <c r="M10" s="9">
        <f t="shared" si="8"/>
        <v>0.14000000000000001</v>
      </c>
      <c r="N10" s="9">
        <f t="shared" si="9"/>
        <v>1.64</v>
      </c>
      <c r="O10" s="9">
        <f t="shared" si="10"/>
        <v>1.56</v>
      </c>
      <c r="P10" s="9">
        <f t="shared" si="13"/>
        <v>0.25</v>
      </c>
      <c r="Q10" s="9">
        <f t="shared" si="13"/>
        <v>2.1000000000000001E-2</v>
      </c>
      <c r="R10" s="9">
        <v>1.4999999999999999E-2</v>
      </c>
      <c r="S10" s="9">
        <f t="shared" si="11"/>
        <v>7.0000000000000001E-3</v>
      </c>
      <c r="T10" s="9" t="str">
        <f t="shared" si="12"/>
        <v>1/143</v>
      </c>
      <c r="U10" s="9" t="str">
        <f t="shared" si="14"/>
        <v>U60</v>
      </c>
      <c r="V10" s="9">
        <f t="shared" si="15"/>
        <v>0.09</v>
      </c>
      <c r="W10" s="9">
        <f t="shared" si="16"/>
        <v>0.11</v>
      </c>
      <c r="X10" s="9">
        <f t="shared" si="3"/>
        <v>0.35</v>
      </c>
      <c r="Y10" s="9">
        <f t="shared" si="17"/>
        <v>0.6</v>
      </c>
      <c r="Z10" s="9">
        <f t="shared" si="4"/>
        <v>1657.08</v>
      </c>
      <c r="AA10" s="9">
        <f t="shared" si="5"/>
        <v>1656.85</v>
      </c>
      <c r="AB10" s="14">
        <f t="shared" si="6"/>
        <v>1656.8709999999999</v>
      </c>
      <c r="AC10" s="9"/>
    </row>
    <row r="11" spans="2:29">
      <c r="B11" t="s">
        <v>17</v>
      </c>
      <c r="C11">
        <v>600</v>
      </c>
      <c r="D11">
        <v>1656.2650000000001</v>
      </c>
      <c r="E11">
        <f t="shared" si="7"/>
        <v>1656.27</v>
      </c>
      <c r="F11">
        <f t="shared" si="19"/>
        <v>1656.15</v>
      </c>
      <c r="G11">
        <f t="shared" si="0"/>
        <v>0.11999999999989086</v>
      </c>
      <c r="H11">
        <v>7.0000000000000001E-3</v>
      </c>
      <c r="J11" s="9"/>
      <c r="K11" s="10">
        <f t="shared" si="1"/>
        <v>600</v>
      </c>
      <c r="L11" s="9">
        <f t="shared" si="2"/>
        <v>0.18</v>
      </c>
      <c r="M11" s="9">
        <f t="shared" si="8"/>
        <v>0.14000000000000001</v>
      </c>
      <c r="N11" s="9">
        <f t="shared" si="9"/>
        <v>1.64</v>
      </c>
      <c r="O11" s="9">
        <f t="shared" si="10"/>
        <v>1.56</v>
      </c>
      <c r="P11" s="9">
        <f t="shared" si="13"/>
        <v>0.25</v>
      </c>
      <c r="Q11" s="9">
        <f t="shared" si="13"/>
        <v>2.1000000000000001E-2</v>
      </c>
      <c r="R11" s="9">
        <v>1.4999999999999999E-2</v>
      </c>
      <c r="S11" s="9">
        <f t="shared" si="11"/>
        <v>7.0000000000000001E-3</v>
      </c>
      <c r="T11" s="9" t="str">
        <f t="shared" si="12"/>
        <v>1/143</v>
      </c>
      <c r="U11" s="9" t="str">
        <f t="shared" si="14"/>
        <v>U60</v>
      </c>
      <c r="V11" s="9">
        <f t="shared" si="15"/>
        <v>0.09</v>
      </c>
      <c r="W11" s="9">
        <f t="shared" si="16"/>
        <v>0.11</v>
      </c>
      <c r="X11" s="9">
        <f t="shared" si="3"/>
        <v>0.35</v>
      </c>
      <c r="Y11" s="9">
        <f t="shared" si="17"/>
        <v>0.6</v>
      </c>
      <c r="Z11" s="9">
        <f t="shared" si="4"/>
        <v>1656.27</v>
      </c>
      <c r="AA11" s="9">
        <f t="shared" si="5"/>
        <v>1656.15</v>
      </c>
      <c r="AB11" s="14">
        <f t="shared" si="6"/>
        <v>1656.171</v>
      </c>
      <c r="AC11" s="9"/>
    </row>
    <row r="12" spans="2:29">
      <c r="B12" t="s">
        <v>416</v>
      </c>
      <c r="C12">
        <v>700</v>
      </c>
      <c r="D12">
        <v>1655.7370000000001</v>
      </c>
      <c r="E12">
        <f t="shared" si="7"/>
        <v>1655.74</v>
      </c>
      <c r="F12">
        <f t="shared" si="19"/>
        <v>1655.45</v>
      </c>
      <c r="G12">
        <f t="shared" si="0"/>
        <v>0.28999999999996362</v>
      </c>
      <c r="H12">
        <v>7.0000000000000001E-3</v>
      </c>
      <c r="J12" s="9"/>
      <c r="K12" s="10">
        <f t="shared" ref="K12:K31" si="20">C12</f>
        <v>700</v>
      </c>
      <c r="L12" s="9">
        <f t="shared" si="2"/>
        <v>0.18</v>
      </c>
      <c r="M12" s="9">
        <f t="shared" ref="M12" si="21">M11</f>
        <v>0.14000000000000001</v>
      </c>
      <c r="N12" s="9">
        <f t="shared" ref="N12:N31" si="22">ROUND(L12/W12,2)</f>
        <v>1.64</v>
      </c>
      <c r="O12" s="9">
        <f t="shared" ref="O12:O31" si="23">ROUND(M12/V12,2)</f>
        <v>1.56</v>
      </c>
      <c r="P12" s="9">
        <f t="shared" ref="P12:P31" si="24">P11</f>
        <v>0.25</v>
      </c>
      <c r="Q12" s="9">
        <f t="shared" ref="Q12:Q31" si="25">Q11</f>
        <v>2.1000000000000001E-2</v>
      </c>
      <c r="R12" s="9">
        <v>1.4999999999999999E-2</v>
      </c>
      <c r="S12" s="9">
        <f t="shared" ref="S12:S31" si="26">H12</f>
        <v>7.0000000000000001E-3</v>
      </c>
      <c r="T12" s="9" t="str">
        <f t="shared" ref="T12:T31" si="27">"1/"&amp;ROUND(1/S12,0)</f>
        <v>1/143</v>
      </c>
      <c r="U12" s="9" t="str">
        <f t="shared" si="14"/>
        <v>U60</v>
      </c>
      <c r="V12" s="9">
        <f t="shared" si="15"/>
        <v>0.09</v>
      </c>
      <c r="W12" s="9">
        <f t="shared" si="16"/>
        <v>0.11</v>
      </c>
      <c r="X12" s="9">
        <f t="shared" si="3"/>
        <v>0.35</v>
      </c>
      <c r="Y12" s="9">
        <f t="shared" si="17"/>
        <v>0.6</v>
      </c>
      <c r="Z12" s="9">
        <f t="shared" si="4"/>
        <v>1655.74</v>
      </c>
      <c r="AA12" s="9">
        <f t="shared" si="5"/>
        <v>1655.45</v>
      </c>
      <c r="AB12" s="14">
        <f t="shared" si="6"/>
        <v>1655.471</v>
      </c>
      <c r="AC12" s="9"/>
    </row>
    <row r="13" spans="2:29">
      <c r="B13" t="s">
        <v>21</v>
      </c>
      <c r="C13">
        <v>800</v>
      </c>
      <c r="D13">
        <v>1655.0909999999999</v>
      </c>
      <c r="E13">
        <f t="shared" si="7"/>
        <v>1655.09</v>
      </c>
      <c r="F13">
        <f t="shared" si="19"/>
        <v>1654.75</v>
      </c>
      <c r="G13">
        <f t="shared" si="0"/>
        <v>0.33999999999991815</v>
      </c>
      <c r="H13">
        <v>3.0000000000000001E-3</v>
      </c>
      <c r="J13" s="9"/>
      <c r="K13" s="10">
        <f t="shared" si="20"/>
        <v>800</v>
      </c>
      <c r="L13" s="9">
        <f t="shared" si="2"/>
        <v>0.18</v>
      </c>
      <c r="M13" s="9">
        <f t="shared" ref="M13" si="28">M12</f>
        <v>0.14000000000000001</v>
      </c>
      <c r="N13" s="9">
        <f t="shared" si="22"/>
        <v>1.2</v>
      </c>
      <c r="O13" s="9">
        <f t="shared" si="23"/>
        <v>1.17</v>
      </c>
      <c r="P13" s="9">
        <v>0.32</v>
      </c>
      <c r="Q13" s="9">
        <v>0.27</v>
      </c>
      <c r="R13" s="9">
        <v>1.4999999999999999E-2</v>
      </c>
      <c r="S13" s="9">
        <f t="shared" si="26"/>
        <v>3.0000000000000001E-3</v>
      </c>
      <c r="T13" s="9" t="str">
        <f t="shared" si="27"/>
        <v>1/333</v>
      </c>
      <c r="U13" s="9" t="str">
        <f t="shared" si="14"/>
        <v>U60</v>
      </c>
      <c r="V13" s="9">
        <v>0.12</v>
      </c>
      <c r="W13" s="9">
        <v>0.15</v>
      </c>
      <c r="X13" s="9">
        <f t="shared" si="3"/>
        <v>0.27999999999999997</v>
      </c>
      <c r="Y13" s="9">
        <f t="shared" si="17"/>
        <v>0.6</v>
      </c>
      <c r="Z13" s="9">
        <f t="shared" si="4"/>
        <v>1655.09</v>
      </c>
      <c r="AA13" s="9">
        <f t="shared" si="5"/>
        <v>1654.75</v>
      </c>
      <c r="AB13" s="14">
        <f t="shared" si="6"/>
        <v>1655.02</v>
      </c>
      <c r="AC13" s="9"/>
    </row>
    <row r="14" spans="2:29">
      <c r="B14" t="s">
        <v>417</v>
      </c>
      <c r="C14">
        <v>900</v>
      </c>
      <c r="D14">
        <v>1654.9649999999999</v>
      </c>
      <c r="E14">
        <f t="shared" si="7"/>
        <v>1654.97</v>
      </c>
      <c r="F14">
        <f t="shared" si="19"/>
        <v>1654.45</v>
      </c>
      <c r="G14">
        <f t="shared" si="0"/>
        <v>0.51999999999998181</v>
      </c>
      <c r="H14">
        <v>3.0000000000000001E-3</v>
      </c>
      <c r="J14" s="12" t="s">
        <v>517</v>
      </c>
      <c r="K14" s="10">
        <f t="shared" si="20"/>
        <v>900</v>
      </c>
      <c r="L14" s="9">
        <f t="shared" si="2"/>
        <v>0.18</v>
      </c>
      <c r="M14" s="9">
        <f t="shared" ref="M14" si="29">M13</f>
        <v>0.14000000000000001</v>
      </c>
      <c r="N14" s="9">
        <f t="shared" si="22"/>
        <v>1.2</v>
      </c>
      <c r="O14" s="9">
        <f t="shared" si="23"/>
        <v>1.17</v>
      </c>
      <c r="P14" s="9">
        <f t="shared" si="24"/>
        <v>0.32</v>
      </c>
      <c r="Q14" s="9">
        <f t="shared" si="25"/>
        <v>0.27</v>
      </c>
      <c r="R14" s="9">
        <v>1.4999999999999999E-2</v>
      </c>
      <c r="S14" s="9">
        <f t="shared" si="26"/>
        <v>3.0000000000000001E-3</v>
      </c>
      <c r="T14" s="9" t="str">
        <f t="shared" si="27"/>
        <v>1/333</v>
      </c>
      <c r="U14" s="9" t="str">
        <f t="shared" si="14"/>
        <v>U60</v>
      </c>
      <c r="V14" s="9">
        <f t="shared" si="15"/>
        <v>0.12</v>
      </c>
      <c r="W14" s="9">
        <f t="shared" si="16"/>
        <v>0.15</v>
      </c>
      <c r="X14" s="9">
        <f t="shared" si="3"/>
        <v>0.27999999999999997</v>
      </c>
      <c r="Y14" s="9">
        <f t="shared" si="17"/>
        <v>0.6</v>
      </c>
      <c r="Z14" s="9">
        <f t="shared" si="4"/>
        <v>1654.97</v>
      </c>
      <c r="AA14" s="9">
        <f t="shared" si="5"/>
        <v>1654.45</v>
      </c>
      <c r="AB14" s="14">
        <f t="shared" si="6"/>
        <v>1654.72</v>
      </c>
      <c r="AC14" s="9"/>
    </row>
    <row r="15" spans="2:29">
      <c r="B15" t="s">
        <v>26</v>
      </c>
      <c r="C15">
        <v>1000</v>
      </c>
      <c r="D15">
        <v>1654.836</v>
      </c>
      <c r="E15">
        <f t="shared" si="7"/>
        <v>1654.84</v>
      </c>
      <c r="F15">
        <f t="shared" si="19"/>
        <v>1654.15</v>
      </c>
      <c r="G15">
        <f t="shared" si="0"/>
        <v>0.6899999999998272</v>
      </c>
      <c r="H15">
        <v>3.0000000000000001E-3</v>
      </c>
      <c r="J15" s="9"/>
      <c r="K15" s="10">
        <f t="shared" si="20"/>
        <v>1000</v>
      </c>
      <c r="L15" s="9">
        <f t="shared" si="2"/>
        <v>0.18</v>
      </c>
      <c r="M15" s="9">
        <f t="shared" ref="M15" si="30">M14</f>
        <v>0.14000000000000001</v>
      </c>
      <c r="N15" s="9">
        <f t="shared" si="22"/>
        <v>1.2</v>
      </c>
      <c r="O15" s="9">
        <f t="shared" si="23"/>
        <v>1.17</v>
      </c>
      <c r="P15" s="9">
        <f t="shared" si="24"/>
        <v>0.32</v>
      </c>
      <c r="Q15" s="9">
        <f t="shared" si="25"/>
        <v>0.27</v>
      </c>
      <c r="R15" s="9">
        <v>1.4999999999999999E-2</v>
      </c>
      <c r="S15" s="9">
        <f t="shared" si="26"/>
        <v>3.0000000000000001E-3</v>
      </c>
      <c r="T15" s="9" t="str">
        <f t="shared" si="27"/>
        <v>1/333</v>
      </c>
      <c r="U15" s="9" t="str">
        <f t="shared" si="14"/>
        <v>U60</v>
      </c>
      <c r="V15" s="9">
        <f t="shared" si="15"/>
        <v>0.12</v>
      </c>
      <c r="W15" s="9">
        <f t="shared" si="16"/>
        <v>0.15</v>
      </c>
      <c r="X15" s="9">
        <f t="shared" si="3"/>
        <v>0.27999999999999997</v>
      </c>
      <c r="Y15" s="9">
        <f t="shared" si="17"/>
        <v>0.6</v>
      </c>
      <c r="Z15" s="9">
        <f t="shared" si="4"/>
        <v>1654.84</v>
      </c>
      <c r="AA15" s="9">
        <f t="shared" si="5"/>
        <v>1654.15</v>
      </c>
      <c r="AB15" s="14">
        <f t="shared" si="6"/>
        <v>1654.42</v>
      </c>
      <c r="AC15" s="9"/>
    </row>
    <row r="16" spans="2:29">
      <c r="B16" t="s">
        <v>28</v>
      </c>
      <c r="C16">
        <v>1100</v>
      </c>
      <c r="D16">
        <v>1654.558</v>
      </c>
      <c r="E16">
        <f t="shared" si="7"/>
        <v>1654.56</v>
      </c>
      <c r="F16">
        <f t="shared" si="19"/>
        <v>1653.85</v>
      </c>
      <c r="G16">
        <f t="shared" si="0"/>
        <v>0.71000000000003638</v>
      </c>
      <c r="H16">
        <v>3.0000000000000001E-3</v>
      </c>
      <c r="J16" s="9"/>
      <c r="K16" s="10">
        <f t="shared" si="20"/>
        <v>1100</v>
      </c>
      <c r="L16" s="9">
        <f t="shared" si="2"/>
        <v>0.18</v>
      </c>
      <c r="M16" s="9">
        <f t="shared" ref="M16" si="31">M15</f>
        <v>0.14000000000000001</v>
      </c>
      <c r="N16" s="9">
        <f t="shared" si="22"/>
        <v>1.2</v>
      </c>
      <c r="O16" s="9">
        <f t="shared" si="23"/>
        <v>1.17</v>
      </c>
      <c r="P16" s="9">
        <f t="shared" si="24"/>
        <v>0.32</v>
      </c>
      <c r="Q16" s="9">
        <f t="shared" si="25"/>
        <v>0.27</v>
      </c>
      <c r="R16" s="9">
        <v>1.4999999999999999E-2</v>
      </c>
      <c r="S16" s="9">
        <f t="shared" si="26"/>
        <v>3.0000000000000001E-3</v>
      </c>
      <c r="T16" s="9" t="str">
        <f t="shared" si="27"/>
        <v>1/333</v>
      </c>
      <c r="U16" s="9" t="str">
        <f t="shared" si="14"/>
        <v>U60</v>
      </c>
      <c r="V16" s="9">
        <f t="shared" si="15"/>
        <v>0.12</v>
      </c>
      <c r="W16" s="9">
        <f t="shared" si="16"/>
        <v>0.15</v>
      </c>
      <c r="X16" s="9">
        <f t="shared" si="3"/>
        <v>0.27999999999999997</v>
      </c>
      <c r="Y16" s="9">
        <f t="shared" si="17"/>
        <v>0.6</v>
      </c>
      <c r="Z16" s="9">
        <f t="shared" si="4"/>
        <v>1654.56</v>
      </c>
      <c r="AA16" s="9">
        <f t="shared" si="5"/>
        <v>1653.85</v>
      </c>
      <c r="AB16" s="14">
        <f t="shared" si="6"/>
        <v>1654.12</v>
      </c>
      <c r="AC16" s="9"/>
    </row>
    <row r="17" spans="2:29">
      <c r="B17" t="s">
        <v>418</v>
      </c>
      <c r="C17">
        <v>1200</v>
      </c>
      <c r="D17">
        <v>1654.172</v>
      </c>
      <c r="E17">
        <f t="shared" si="7"/>
        <v>1654.17</v>
      </c>
      <c r="F17">
        <f t="shared" si="19"/>
        <v>1653.55</v>
      </c>
      <c r="G17">
        <f t="shared" si="0"/>
        <v>0.62000000000011823</v>
      </c>
      <c r="H17">
        <v>3.0000000000000001E-3</v>
      </c>
      <c r="J17" s="9"/>
      <c r="K17" s="10">
        <f t="shared" si="20"/>
        <v>1200</v>
      </c>
      <c r="L17" s="9">
        <f t="shared" si="2"/>
        <v>0.18</v>
      </c>
      <c r="M17" s="9">
        <f t="shared" ref="M17" si="32">M16</f>
        <v>0.14000000000000001</v>
      </c>
      <c r="N17" s="9">
        <f t="shared" si="22"/>
        <v>1.2</v>
      </c>
      <c r="O17" s="9">
        <f t="shared" si="23"/>
        <v>1.17</v>
      </c>
      <c r="P17" s="9">
        <f t="shared" si="24"/>
        <v>0.32</v>
      </c>
      <c r="Q17" s="9">
        <f t="shared" si="25"/>
        <v>0.27</v>
      </c>
      <c r="R17" s="9">
        <v>1.4999999999999999E-2</v>
      </c>
      <c r="S17" s="9">
        <f t="shared" si="26"/>
        <v>3.0000000000000001E-3</v>
      </c>
      <c r="T17" s="9" t="str">
        <f t="shared" si="27"/>
        <v>1/333</v>
      </c>
      <c r="U17" s="9" t="str">
        <f t="shared" si="14"/>
        <v>U60</v>
      </c>
      <c r="V17" s="9">
        <f t="shared" si="15"/>
        <v>0.12</v>
      </c>
      <c r="W17" s="9">
        <f t="shared" si="16"/>
        <v>0.15</v>
      </c>
      <c r="X17" s="9">
        <f t="shared" si="3"/>
        <v>0.27999999999999997</v>
      </c>
      <c r="Y17" s="9">
        <f t="shared" si="17"/>
        <v>0.6</v>
      </c>
      <c r="Z17" s="9">
        <f t="shared" si="4"/>
        <v>1654.17</v>
      </c>
      <c r="AA17" s="9">
        <f t="shared" si="5"/>
        <v>1653.55</v>
      </c>
      <c r="AB17" s="14">
        <f t="shared" si="6"/>
        <v>1653.82</v>
      </c>
      <c r="AC17" s="9"/>
    </row>
    <row r="18" spans="2:29">
      <c r="B18" t="s">
        <v>419</v>
      </c>
      <c r="C18">
        <v>1300</v>
      </c>
      <c r="D18">
        <v>1653.7550000000001</v>
      </c>
      <c r="E18">
        <f t="shared" si="7"/>
        <v>1653.76</v>
      </c>
      <c r="F18">
        <f t="shared" si="19"/>
        <v>1653.25</v>
      </c>
      <c r="G18">
        <f t="shared" si="0"/>
        <v>0.50999999999999091</v>
      </c>
      <c r="H18">
        <v>3.0000000000000001E-3</v>
      </c>
      <c r="J18" s="9"/>
      <c r="K18" s="10">
        <f t="shared" si="20"/>
        <v>1300</v>
      </c>
      <c r="L18" s="9">
        <f t="shared" si="2"/>
        <v>0.18</v>
      </c>
      <c r="M18" s="9">
        <f t="shared" ref="M18" si="33">M17</f>
        <v>0.14000000000000001</v>
      </c>
      <c r="N18" s="9">
        <f t="shared" si="22"/>
        <v>1.2</v>
      </c>
      <c r="O18" s="9">
        <f t="shared" si="23"/>
        <v>1.17</v>
      </c>
      <c r="P18" s="9">
        <f t="shared" si="24"/>
        <v>0.32</v>
      </c>
      <c r="Q18" s="9">
        <f t="shared" si="25"/>
        <v>0.27</v>
      </c>
      <c r="R18" s="9">
        <v>1.4999999999999999E-2</v>
      </c>
      <c r="S18" s="9">
        <f t="shared" si="26"/>
        <v>3.0000000000000001E-3</v>
      </c>
      <c r="T18" s="9" t="str">
        <f t="shared" si="27"/>
        <v>1/333</v>
      </c>
      <c r="U18" s="9" t="str">
        <f t="shared" si="14"/>
        <v>U60</v>
      </c>
      <c r="V18" s="9">
        <f t="shared" si="15"/>
        <v>0.12</v>
      </c>
      <c r="W18" s="9">
        <f t="shared" si="16"/>
        <v>0.15</v>
      </c>
      <c r="X18" s="9">
        <f t="shared" si="3"/>
        <v>0.27999999999999997</v>
      </c>
      <c r="Y18" s="9">
        <f t="shared" si="17"/>
        <v>0.6</v>
      </c>
      <c r="Z18" s="9">
        <f t="shared" si="4"/>
        <v>1653.76</v>
      </c>
      <c r="AA18" s="9">
        <f t="shared" si="5"/>
        <v>1653.25</v>
      </c>
      <c r="AB18" s="14">
        <f t="shared" si="6"/>
        <v>1653.52</v>
      </c>
      <c r="AC18" s="9"/>
    </row>
    <row r="19" spans="2:29">
      <c r="B19" t="s">
        <v>420</v>
      </c>
      <c r="C19">
        <v>1400</v>
      </c>
      <c r="D19">
        <v>1653.2819999999999</v>
      </c>
      <c r="E19">
        <f t="shared" si="7"/>
        <v>1653.28</v>
      </c>
      <c r="F19">
        <f t="shared" si="19"/>
        <v>1652.95</v>
      </c>
      <c r="G19">
        <f t="shared" si="0"/>
        <v>0.32999999999992724</v>
      </c>
      <c r="H19">
        <v>3.0000000000000001E-3</v>
      </c>
      <c r="J19" s="9"/>
      <c r="K19" s="10">
        <f t="shared" si="20"/>
        <v>1400</v>
      </c>
      <c r="L19" s="9">
        <f t="shared" si="2"/>
        <v>0.18</v>
      </c>
      <c r="M19" s="9">
        <f t="shared" ref="M19" si="34">M18</f>
        <v>0.14000000000000001</v>
      </c>
      <c r="N19" s="9">
        <f t="shared" si="22"/>
        <v>1.2</v>
      </c>
      <c r="O19" s="9">
        <f t="shared" si="23"/>
        <v>1.17</v>
      </c>
      <c r="P19" s="9">
        <f t="shared" si="24"/>
        <v>0.32</v>
      </c>
      <c r="Q19" s="9">
        <f t="shared" si="25"/>
        <v>0.27</v>
      </c>
      <c r="R19" s="9">
        <v>1.4999999999999999E-2</v>
      </c>
      <c r="S19" s="9">
        <f t="shared" si="26"/>
        <v>3.0000000000000001E-3</v>
      </c>
      <c r="T19" s="9" t="str">
        <f t="shared" si="27"/>
        <v>1/333</v>
      </c>
      <c r="U19" s="9" t="str">
        <f t="shared" si="14"/>
        <v>U60</v>
      </c>
      <c r="V19" s="9">
        <f t="shared" si="15"/>
        <v>0.12</v>
      </c>
      <c r="W19" s="9">
        <f t="shared" si="16"/>
        <v>0.15</v>
      </c>
      <c r="X19" s="9">
        <f t="shared" si="3"/>
        <v>0.27999999999999997</v>
      </c>
      <c r="Y19" s="9">
        <f t="shared" si="17"/>
        <v>0.6</v>
      </c>
      <c r="Z19" s="9">
        <f t="shared" si="4"/>
        <v>1653.28</v>
      </c>
      <c r="AA19" s="9">
        <f t="shared" si="5"/>
        <v>1652.95</v>
      </c>
      <c r="AB19" s="14">
        <f t="shared" si="6"/>
        <v>1653.22</v>
      </c>
      <c r="AC19" s="9"/>
    </row>
    <row r="20" spans="2:29">
      <c r="B20" t="s">
        <v>33</v>
      </c>
      <c r="C20">
        <v>1500</v>
      </c>
      <c r="D20">
        <v>1652.8</v>
      </c>
      <c r="E20">
        <f t="shared" si="7"/>
        <v>1652.8</v>
      </c>
      <c r="F20">
        <f t="shared" si="19"/>
        <v>1652.65</v>
      </c>
      <c r="G20">
        <f t="shared" si="0"/>
        <v>0.14999999999986358</v>
      </c>
      <c r="H20">
        <v>3.0000000000000001E-3</v>
      </c>
      <c r="J20" s="9"/>
      <c r="K20" s="10">
        <f t="shared" si="20"/>
        <v>1500</v>
      </c>
      <c r="L20" s="9">
        <f t="shared" si="2"/>
        <v>0.18</v>
      </c>
      <c r="M20" s="9">
        <f t="shared" ref="M20" si="35">M19</f>
        <v>0.14000000000000001</v>
      </c>
      <c r="N20" s="9">
        <f t="shared" si="22"/>
        <v>1.2</v>
      </c>
      <c r="O20" s="9">
        <f t="shared" si="23"/>
        <v>1.17</v>
      </c>
      <c r="P20" s="9">
        <f t="shared" si="24"/>
        <v>0.32</v>
      </c>
      <c r="Q20" s="9">
        <f t="shared" si="25"/>
        <v>0.27</v>
      </c>
      <c r="R20" s="9">
        <v>1.4999999999999999E-2</v>
      </c>
      <c r="S20" s="9">
        <f t="shared" si="26"/>
        <v>3.0000000000000001E-3</v>
      </c>
      <c r="T20" s="9" t="str">
        <f t="shared" si="27"/>
        <v>1/333</v>
      </c>
      <c r="U20" s="9" t="str">
        <f t="shared" si="14"/>
        <v>U60</v>
      </c>
      <c r="V20" s="9">
        <f t="shared" si="15"/>
        <v>0.12</v>
      </c>
      <c r="W20" s="9">
        <f t="shared" si="16"/>
        <v>0.15</v>
      </c>
      <c r="X20" s="9">
        <f t="shared" si="3"/>
        <v>0.27999999999999997</v>
      </c>
      <c r="Y20" s="9">
        <f t="shared" si="17"/>
        <v>0.6</v>
      </c>
      <c r="Z20" s="9">
        <f t="shared" si="4"/>
        <v>1652.8</v>
      </c>
      <c r="AA20" s="9">
        <f t="shared" si="5"/>
        <v>1652.65</v>
      </c>
      <c r="AB20" s="14">
        <f t="shared" si="6"/>
        <v>1652.92</v>
      </c>
      <c r="AC20" s="9"/>
    </row>
    <row r="21" spans="2:29">
      <c r="B21" t="s">
        <v>35</v>
      </c>
      <c r="C21">
        <v>1600</v>
      </c>
      <c r="D21">
        <v>1652.413</v>
      </c>
      <c r="E21">
        <f t="shared" si="7"/>
        <v>1652.41</v>
      </c>
      <c r="F21">
        <f t="shared" si="19"/>
        <v>1652.35</v>
      </c>
      <c r="G21">
        <f t="shared" si="0"/>
        <v>6.0000000000172804E-2</v>
      </c>
      <c r="H21">
        <v>3.0000000000000001E-3</v>
      </c>
      <c r="J21" s="9"/>
      <c r="K21" s="10">
        <f t="shared" si="20"/>
        <v>1600</v>
      </c>
      <c r="L21" s="9">
        <f t="shared" si="2"/>
        <v>0.18</v>
      </c>
      <c r="M21" s="9">
        <f t="shared" ref="M21" si="36">M20</f>
        <v>0.14000000000000001</v>
      </c>
      <c r="N21" s="9">
        <f t="shared" si="22"/>
        <v>1.2</v>
      </c>
      <c r="O21" s="9">
        <f t="shared" si="23"/>
        <v>1.17</v>
      </c>
      <c r="P21" s="9">
        <f t="shared" si="24"/>
        <v>0.32</v>
      </c>
      <c r="Q21" s="9">
        <f t="shared" si="25"/>
        <v>0.27</v>
      </c>
      <c r="R21" s="9">
        <v>1.4999999999999999E-2</v>
      </c>
      <c r="S21" s="9">
        <f t="shared" si="26"/>
        <v>3.0000000000000001E-3</v>
      </c>
      <c r="T21" s="9" t="str">
        <f t="shared" si="27"/>
        <v>1/333</v>
      </c>
      <c r="U21" s="9" t="str">
        <f t="shared" si="14"/>
        <v>U60</v>
      </c>
      <c r="V21" s="9">
        <f t="shared" si="15"/>
        <v>0.12</v>
      </c>
      <c r="W21" s="9">
        <f t="shared" si="16"/>
        <v>0.15</v>
      </c>
      <c r="X21" s="9">
        <f t="shared" si="3"/>
        <v>0.27999999999999997</v>
      </c>
      <c r="Y21" s="9">
        <f t="shared" si="17"/>
        <v>0.6</v>
      </c>
      <c r="Z21" s="9">
        <f t="shared" si="4"/>
        <v>1652.41</v>
      </c>
      <c r="AA21" s="9">
        <f t="shared" si="5"/>
        <v>1652.35</v>
      </c>
      <c r="AB21" s="14">
        <f t="shared" si="6"/>
        <v>1652.62</v>
      </c>
      <c r="AC21" s="9"/>
    </row>
    <row r="22" spans="2:29">
      <c r="B22" t="s">
        <v>39</v>
      </c>
      <c r="C22">
        <v>1700</v>
      </c>
      <c r="D22">
        <v>1652.0830000000001</v>
      </c>
      <c r="E22">
        <f t="shared" si="7"/>
        <v>1652.08</v>
      </c>
      <c r="F22">
        <f t="shared" si="19"/>
        <v>1652.05</v>
      </c>
      <c r="G22">
        <f t="shared" si="0"/>
        <v>2.9999999999972715E-2</v>
      </c>
      <c r="H22">
        <v>3.0000000000000001E-3</v>
      </c>
      <c r="J22" s="9"/>
      <c r="K22" s="10">
        <f t="shared" si="20"/>
        <v>1700</v>
      </c>
      <c r="L22" s="9">
        <f t="shared" si="2"/>
        <v>0.18</v>
      </c>
      <c r="M22" s="9">
        <f t="shared" ref="M22" si="37">M21</f>
        <v>0.14000000000000001</v>
      </c>
      <c r="N22" s="9">
        <f t="shared" si="22"/>
        <v>1.2</v>
      </c>
      <c r="O22" s="9">
        <f t="shared" si="23"/>
        <v>1.17</v>
      </c>
      <c r="P22" s="9">
        <f t="shared" si="24"/>
        <v>0.32</v>
      </c>
      <c r="Q22" s="9">
        <f t="shared" si="25"/>
        <v>0.27</v>
      </c>
      <c r="R22" s="9">
        <v>1.4999999999999999E-2</v>
      </c>
      <c r="S22" s="9">
        <f t="shared" si="26"/>
        <v>3.0000000000000001E-3</v>
      </c>
      <c r="T22" s="9" t="str">
        <f t="shared" si="27"/>
        <v>1/333</v>
      </c>
      <c r="U22" s="9" t="str">
        <f t="shared" si="14"/>
        <v>U60</v>
      </c>
      <c r="V22" s="9">
        <f t="shared" si="15"/>
        <v>0.12</v>
      </c>
      <c r="W22" s="9">
        <f t="shared" si="16"/>
        <v>0.15</v>
      </c>
      <c r="X22" s="9">
        <f t="shared" si="3"/>
        <v>0.27999999999999997</v>
      </c>
      <c r="Y22" s="9">
        <f t="shared" si="17"/>
        <v>0.6</v>
      </c>
      <c r="Z22" s="9">
        <f t="shared" si="4"/>
        <v>1652.08</v>
      </c>
      <c r="AA22" s="9">
        <f t="shared" si="5"/>
        <v>1652.05</v>
      </c>
      <c r="AB22" s="14">
        <f t="shared" si="6"/>
        <v>1652.32</v>
      </c>
      <c r="AC22" s="9"/>
    </row>
    <row r="23" spans="2:29">
      <c r="B23" t="s">
        <v>40</v>
      </c>
      <c r="C23">
        <v>1800</v>
      </c>
      <c r="D23">
        <v>1651.8009999999999</v>
      </c>
      <c r="E23">
        <f t="shared" si="7"/>
        <v>1651.8</v>
      </c>
      <c r="F23">
        <f t="shared" si="19"/>
        <v>1651.75</v>
      </c>
      <c r="G23">
        <f t="shared" si="0"/>
        <v>4.9999999999954525E-2</v>
      </c>
      <c r="H23">
        <v>3.0000000000000001E-3</v>
      </c>
      <c r="J23" s="9"/>
      <c r="K23" s="10">
        <f t="shared" si="20"/>
        <v>1800</v>
      </c>
      <c r="L23" s="9">
        <f t="shared" si="2"/>
        <v>0.18</v>
      </c>
      <c r="M23" s="9">
        <f t="shared" ref="M23" si="38">M22</f>
        <v>0.14000000000000001</v>
      </c>
      <c r="N23" s="9">
        <f t="shared" si="22"/>
        <v>1.2</v>
      </c>
      <c r="O23" s="9">
        <f t="shared" si="23"/>
        <v>1.17</v>
      </c>
      <c r="P23" s="9">
        <f t="shared" si="24"/>
        <v>0.32</v>
      </c>
      <c r="Q23" s="9">
        <f t="shared" si="25"/>
        <v>0.27</v>
      </c>
      <c r="R23" s="9">
        <v>1.4999999999999999E-2</v>
      </c>
      <c r="S23" s="9">
        <f t="shared" si="26"/>
        <v>3.0000000000000001E-3</v>
      </c>
      <c r="T23" s="9" t="str">
        <f t="shared" si="27"/>
        <v>1/333</v>
      </c>
      <c r="U23" s="9" t="str">
        <f t="shared" si="14"/>
        <v>U60</v>
      </c>
      <c r="V23" s="9">
        <f t="shared" si="15"/>
        <v>0.12</v>
      </c>
      <c r="W23" s="9">
        <f t="shared" si="16"/>
        <v>0.15</v>
      </c>
      <c r="X23" s="9">
        <f t="shared" si="3"/>
        <v>0.27999999999999997</v>
      </c>
      <c r="Y23" s="9">
        <f t="shared" si="17"/>
        <v>0.6</v>
      </c>
      <c r="Z23" s="9">
        <f t="shared" si="4"/>
        <v>1651.8</v>
      </c>
      <c r="AA23" s="9">
        <f t="shared" si="5"/>
        <v>1651.75</v>
      </c>
      <c r="AB23" s="14">
        <f t="shared" si="6"/>
        <v>1652.02</v>
      </c>
      <c r="AC23" s="9"/>
    </row>
    <row r="24" spans="2:29">
      <c r="B24" t="s">
        <v>42</v>
      </c>
      <c r="C24">
        <v>1900</v>
      </c>
      <c r="D24">
        <v>1651.4680000000001</v>
      </c>
      <c r="E24">
        <f t="shared" si="7"/>
        <v>1651.47</v>
      </c>
      <c r="F24">
        <f t="shared" si="19"/>
        <v>1651.45</v>
      </c>
      <c r="G24">
        <f t="shared" si="0"/>
        <v>1.999999999998181E-2</v>
      </c>
      <c r="H24">
        <v>3.0000000000000001E-3</v>
      </c>
      <c r="J24" s="9"/>
      <c r="K24" s="10">
        <f t="shared" si="20"/>
        <v>1900</v>
      </c>
      <c r="L24" s="9">
        <f t="shared" si="2"/>
        <v>0.18</v>
      </c>
      <c r="M24" s="9">
        <f t="shared" ref="M24" si="39">M23</f>
        <v>0.14000000000000001</v>
      </c>
      <c r="N24" s="9">
        <f t="shared" si="22"/>
        <v>1.2</v>
      </c>
      <c r="O24" s="9">
        <f t="shared" si="23"/>
        <v>1.17</v>
      </c>
      <c r="P24" s="9">
        <f t="shared" si="24"/>
        <v>0.32</v>
      </c>
      <c r="Q24" s="9">
        <f t="shared" si="25"/>
        <v>0.27</v>
      </c>
      <c r="R24" s="9">
        <v>1.4999999999999999E-2</v>
      </c>
      <c r="S24" s="9">
        <f t="shared" si="26"/>
        <v>3.0000000000000001E-3</v>
      </c>
      <c r="T24" s="9" t="str">
        <f t="shared" si="27"/>
        <v>1/333</v>
      </c>
      <c r="U24" s="9" t="str">
        <f t="shared" si="14"/>
        <v>U60</v>
      </c>
      <c r="V24" s="9">
        <f t="shared" si="15"/>
        <v>0.12</v>
      </c>
      <c r="W24" s="9">
        <f t="shared" si="16"/>
        <v>0.15</v>
      </c>
      <c r="X24" s="9">
        <f t="shared" si="3"/>
        <v>0.27999999999999997</v>
      </c>
      <c r="Y24" s="9">
        <f t="shared" si="17"/>
        <v>0.6</v>
      </c>
      <c r="Z24" s="9">
        <f t="shared" si="4"/>
        <v>1651.47</v>
      </c>
      <c r="AA24" s="9">
        <f t="shared" si="5"/>
        <v>1651.45</v>
      </c>
      <c r="AB24" s="14">
        <f t="shared" si="6"/>
        <v>1651.72</v>
      </c>
      <c r="AC24" s="9"/>
    </row>
    <row r="25" spans="2:29">
      <c r="B25" t="s">
        <v>44</v>
      </c>
      <c r="C25">
        <v>2000</v>
      </c>
      <c r="D25">
        <v>1651.153</v>
      </c>
      <c r="E25">
        <f t="shared" si="7"/>
        <v>1651.15</v>
      </c>
      <c r="F25">
        <f t="shared" si="19"/>
        <v>1651.15</v>
      </c>
      <c r="G25">
        <f t="shared" si="0"/>
        <v>0</v>
      </c>
      <c r="H25">
        <v>3.0000000000000001E-3</v>
      </c>
      <c r="J25" s="9"/>
      <c r="K25" s="10">
        <f t="shared" si="20"/>
        <v>2000</v>
      </c>
      <c r="L25" s="9">
        <f t="shared" si="2"/>
        <v>0.18</v>
      </c>
      <c r="M25" s="9">
        <f t="shared" ref="M25" si="40">M24</f>
        <v>0.14000000000000001</v>
      </c>
      <c r="N25" s="9">
        <f t="shared" si="22"/>
        <v>1.2</v>
      </c>
      <c r="O25" s="9">
        <f t="shared" si="23"/>
        <v>1.17</v>
      </c>
      <c r="P25" s="9">
        <f t="shared" si="24"/>
        <v>0.32</v>
      </c>
      <c r="Q25" s="9">
        <f t="shared" si="25"/>
        <v>0.27</v>
      </c>
      <c r="R25" s="9">
        <v>1.4999999999999999E-2</v>
      </c>
      <c r="S25" s="9">
        <f t="shared" si="26"/>
        <v>3.0000000000000001E-3</v>
      </c>
      <c r="T25" s="9" t="str">
        <f t="shared" si="27"/>
        <v>1/333</v>
      </c>
      <c r="U25" s="9" t="str">
        <f t="shared" si="14"/>
        <v>U60</v>
      </c>
      <c r="V25" s="9">
        <f t="shared" si="15"/>
        <v>0.12</v>
      </c>
      <c r="W25" s="9">
        <f t="shared" si="16"/>
        <v>0.15</v>
      </c>
      <c r="X25" s="9">
        <f t="shared" si="3"/>
        <v>0.27999999999999997</v>
      </c>
      <c r="Y25" s="9">
        <f t="shared" si="17"/>
        <v>0.6</v>
      </c>
      <c r="Z25" s="9">
        <f t="shared" si="4"/>
        <v>1651.15</v>
      </c>
      <c r="AA25" s="9">
        <f t="shared" si="5"/>
        <v>1651.15</v>
      </c>
      <c r="AB25" s="14">
        <f t="shared" si="6"/>
        <v>1651.42</v>
      </c>
      <c r="AC25" s="9"/>
    </row>
    <row r="26" spans="2:29">
      <c r="B26" t="s">
        <v>46</v>
      </c>
      <c r="C26">
        <v>2100</v>
      </c>
      <c r="D26">
        <v>1650.88</v>
      </c>
      <c r="E26">
        <f t="shared" si="7"/>
        <v>1650.88</v>
      </c>
      <c r="F26">
        <f t="shared" si="19"/>
        <v>1650.85</v>
      </c>
      <c r="G26">
        <f t="shared" si="0"/>
        <v>3.0000000000200089E-2</v>
      </c>
      <c r="H26">
        <v>3.0000000000000001E-3</v>
      </c>
      <c r="J26" s="9"/>
      <c r="K26" s="10">
        <f t="shared" si="20"/>
        <v>2100</v>
      </c>
      <c r="L26" s="9">
        <f t="shared" si="2"/>
        <v>0.18</v>
      </c>
      <c r="M26" s="9">
        <f t="shared" ref="M26" si="41">M25</f>
        <v>0.14000000000000001</v>
      </c>
      <c r="N26" s="9">
        <f t="shared" si="22"/>
        <v>1.2</v>
      </c>
      <c r="O26" s="9">
        <f t="shared" si="23"/>
        <v>1.17</v>
      </c>
      <c r="P26" s="9">
        <f t="shared" si="24"/>
        <v>0.32</v>
      </c>
      <c r="Q26" s="9">
        <f t="shared" si="25"/>
        <v>0.27</v>
      </c>
      <c r="R26" s="9">
        <v>1.4999999999999999E-2</v>
      </c>
      <c r="S26" s="9">
        <f t="shared" si="26"/>
        <v>3.0000000000000001E-3</v>
      </c>
      <c r="T26" s="9" t="str">
        <f t="shared" si="27"/>
        <v>1/333</v>
      </c>
      <c r="U26" s="9" t="str">
        <f t="shared" si="14"/>
        <v>U60</v>
      </c>
      <c r="V26" s="9">
        <f t="shared" si="15"/>
        <v>0.12</v>
      </c>
      <c r="W26" s="9">
        <f t="shared" si="16"/>
        <v>0.15</v>
      </c>
      <c r="X26" s="9">
        <f t="shared" si="3"/>
        <v>0.27999999999999997</v>
      </c>
      <c r="Y26" s="9">
        <f t="shared" si="17"/>
        <v>0.6</v>
      </c>
      <c r="Z26" s="9">
        <f t="shared" si="4"/>
        <v>1650.88</v>
      </c>
      <c r="AA26" s="9">
        <f t="shared" si="5"/>
        <v>1650.85</v>
      </c>
      <c r="AB26" s="14">
        <f t="shared" si="6"/>
        <v>1651.12</v>
      </c>
      <c r="AC26" s="9"/>
    </row>
    <row r="27" spans="2:29">
      <c r="B27" t="s">
        <v>49</v>
      </c>
      <c r="C27">
        <v>2200</v>
      </c>
      <c r="D27">
        <v>1650.652</v>
      </c>
      <c r="E27">
        <f t="shared" si="7"/>
        <v>1650.65</v>
      </c>
      <c r="F27">
        <f t="shared" si="19"/>
        <v>1650.55</v>
      </c>
      <c r="G27">
        <f t="shared" si="0"/>
        <v>0.10000000000013642</v>
      </c>
      <c r="H27">
        <v>3.0000000000000001E-3</v>
      </c>
      <c r="J27" s="9"/>
      <c r="K27" s="10">
        <f t="shared" si="20"/>
        <v>2200</v>
      </c>
      <c r="L27" s="9">
        <f t="shared" si="2"/>
        <v>0.18</v>
      </c>
      <c r="M27" s="9">
        <f t="shared" ref="M27" si="42">M26</f>
        <v>0.14000000000000001</v>
      </c>
      <c r="N27" s="9">
        <f t="shared" si="22"/>
        <v>1.2</v>
      </c>
      <c r="O27" s="9">
        <f t="shared" si="23"/>
        <v>1.17</v>
      </c>
      <c r="P27" s="9">
        <f t="shared" si="24"/>
        <v>0.32</v>
      </c>
      <c r="Q27" s="9">
        <f t="shared" si="25"/>
        <v>0.27</v>
      </c>
      <c r="R27" s="9">
        <v>1.4999999999999999E-2</v>
      </c>
      <c r="S27" s="9">
        <f t="shared" si="26"/>
        <v>3.0000000000000001E-3</v>
      </c>
      <c r="T27" s="9" t="str">
        <f t="shared" si="27"/>
        <v>1/333</v>
      </c>
      <c r="U27" s="9" t="str">
        <f t="shared" si="14"/>
        <v>U60</v>
      </c>
      <c r="V27" s="9">
        <f t="shared" si="15"/>
        <v>0.12</v>
      </c>
      <c r="W27" s="9">
        <f t="shared" si="16"/>
        <v>0.15</v>
      </c>
      <c r="X27" s="9">
        <f t="shared" si="3"/>
        <v>0.27999999999999997</v>
      </c>
      <c r="Y27" s="9">
        <f t="shared" si="17"/>
        <v>0.6</v>
      </c>
      <c r="Z27" s="9">
        <f t="shared" si="4"/>
        <v>1650.65</v>
      </c>
      <c r="AA27" s="9">
        <f t="shared" si="5"/>
        <v>1650.55</v>
      </c>
      <c r="AB27" s="14">
        <f t="shared" si="6"/>
        <v>1650.82</v>
      </c>
      <c r="AC27" s="9"/>
    </row>
    <row r="28" spans="2:29">
      <c r="B28" t="s">
        <v>51</v>
      </c>
      <c r="C28">
        <v>2300</v>
      </c>
      <c r="D28">
        <v>1650.45</v>
      </c>
      <c r="E28">
        <f t="shared" si="7"/>
        <v>1650.45</v>
      </c>
      <c r="F28">
        <f t="shared" si="19"/>
        <v>1650.25</v>
      </c>
      <c r="G28">
        <f t="shared" si="0"/>
        <v>0.20000000000004547</v>
      </c>
      <c r="H28">
        <v>3.0000000000000001E-3</v>
      </c>
      <c r="J28" s="9"/>
      <c r="K28" s="10">
        <f t="shared" si="20"/>
        <v>2300</v>
      </c>
      <c r="L28" s="9">
        <f t="shared" si="2"/>
        <v>0.18</v>
      </c>
      <c r="M28" s="9">
        <f t="shared" ref="M28" si="43">M27</f>
        <v>0.14000000000000001</v>
      </c>
      <c r="N28" s="9">
        <f t="shared" si="22"/>
        <v>1.2</v>
      </c>
      <c r="O28" s="9">
        <f t="shared" si="23"/>
        <v>1.17</v>
      </c>
      <c r="P28" s="9">
        <f t="shared" si="24"/>
        <v>0.32</v>
      </c>
      <c r="Q28" s="9">
        <f t="shared" si="25"/>
        <v>0.27</v>
      </c>
      <c r="R28" s="9">
        <v>1.4999999999999999E-2</v>
      </c>
      <c r="S28" s="9">
        <f t="shared" si="26"/>
        <v>3.0000000000000001E-3</v>
      </c>
      <c r="T28" s="9" t="str">
        <f t="shared" si="27"/>
        <v>1/333</v>
      </c>
      <c r="U28" s="9" t="str">
        <f t="shared" si="14"/>
        <v>U60</v>
      </c>
      <c r="V28" s="9">
        <f t="shared" si="15"/>
        <v>0.12</v>
      </c>
      <c r="W28" s="9">
        <f t="shared" si="16"/>
        <v>0.15</v>
      </c>
      <c r="X28" s="9">
        <f t="shared" si="3"/>
        <v>0.27999999999999997</v>
      </c>
      <c r="Y28" s="9">
        <f t="shared" si="17"/>
        <v>0.6</v>
      </c>
      <c r="Z28" s="9">
        <f t="shared" si="4"/>
        <v>1650.45</v>
      </c>
      <c r="AA28" s="9">
        <f t="shared" si="5"/>
        <v>1650.25</v>
      </c>
      <c r="AB28" s="14">
        <f t="shared" si="6"/>
        <v>1650.52</v>
      </c>
      <c r="AC28" s="9"/>
    </row>
    <row r="29" spans="2:29">
      <c r="B29" t="s">
        <v>57</v>
      </c>
      <c r="C29">
        <v>2400</v>
      </c>
      <c r="D29">
        <v>1650.432</v>
      </c>
      <c r="E29">
        <f t="shared" si="7"/>
        <v>1650.43</v>
      </c>
      <c r="F29">
        <f t="shared" si="19"/>
        <v>1649.95</v>
      </c>
      <c r="G29">
        <f t="shared" si="0"/>
        <v>0.48000000000001819</v>
      </c>
      <c r="H29">
        <v>3.0000000000000001E-3</v>
      </c>
      <c r="J29" s="9"/>
      <c r="K29" s="10">
        <f t="shared" si="20"/>
        <v>2400</v>
      </c>
      <c r="L29" s="9">
        <f t="shared" si="2"/>
        <v>0.18</v>
      </c>
      <c r="M29" s="9">
        <f t="shared" ref="M29" si="44">M28</f>
        <v>0.14000000000000001</v>
      </c>
      <c r="N29" s="9">
        <f t="shared" si="22"/>
        <v>1.2</v>
      </c>
      <c r="O29" s="9">
        <f t="shared" si="23"/>
        <v>1.17</v>
      </c>
      <c r="P29" s="9">
        <f t="shared" si="24"/>
        <v>0.32</v>
      </c>
      <c r="Q29" s="9">
        <f t="shared" si="25"/>
        <v>0.27</v>
      </c>
      <c r="R29" s="9">
        <v>1.4999999999999999E-2</v>
      </c>
      <c r="S29" s="9">
        <f t="shared" si="26"/>
        <v>3.0000000000000001E-3</v>
      </c>
      <c r="T29" s="9" t="str">
        <f t="shared" si="27"/>
        <v>1/333</v>
      </c>
      <c r="U29" s="9" t="str">
        <f t="shared" si="14"/>
        <v>U60</v>
      </c>
      <c r="V29" s="9">
        <f t="shared" si="15"/>
        <v>0.12</v>
      </c>
      <c r="W29" s="9">
        <f t="shared" si="16"/>
        <v>0.15</v>
      </c>
      <c r="X29" s="9">
        <f t="shared" si="3"/>
        <v>0.27999999999999997</v>
      </c>
      <c r="Y29" s="9">
        <f t="shared" si="17"/>
        <v>0.6</v>
      </c>
      <c r="Z29" s="9">
        <f t="shared" si="4"/>
        <v>1650.43</v>
      </c>
      <c r="AA29" s="9">
        <f t="shared" si="5"/>
        <v>1649.95</v>
      </c>
      <c r="AB29" s="14">
        <f t="shared" si="6"/>
        <v>1650.22</v>
      </c>
      <c r="AC29" s="9"/>
    </row>
    <row r="30" spans="2:29">
      <c r="B30" t="s">
        <v>59</v>
      </c>
      <c r="C30">
        <v>2500</v>
      </c>
      <c r="D30">
        <v>1650.0650000000001</v>
      </c>
      <c r="E30">
        <f t="shared" si="7"/>
        <v>1650.07</v>
      </c>
      <c r="F30">
        <f t="shared" si="19"/>
        <v>1649.65</v>
      </c>
      <c r="G30">
        <f t="shared" si="0"/>
        <v>0.41999999999984539</v>
      </c>
      <c r="H30">
        <v>3.0000000000000001E-3</v>
      </c>
      <c r="J30" s="9"/>
      <c r="K30" s="10">
        <f t="shared" si="20"/>
        <v>2500</v>
      </c>
      <c r="L30" s="9">
        <f t="shared" si="2"/>
        <v>0.18</v>
      </c>
      <c r="M30" s="9">
        <f t="shared" ref="M30" si="45">M29</f>
        <v>0.14000000000000001</v>
      </c>
      <c r="N30" s="9">
        <f t="shared" si="22"/>
        <v>1.2</v>
      </c>
      <c r="O30" s="9">
        <f t="shared" si="23"/>
        <v>1.17</v>
      </c>
      <c r="P30" s="9">
        <f t="shared" si="24"/>
        <v>0.32</v>
      </c>
      <c r="Q30" s="9">
        <f t="shared" si="25"/>
        <v>0.27</v>
      </c>
      <c r="R30" s="9">
        <v>1.4999999999999999E-2</v>
      </c>
      <c r="S30" s="9">
        <f t="shared" si="26"/>
        <v>3.0000000000000001E-3</v>
      </c>
      <c r="T30" s="9" t="str">
        <f t="shared" si="27"/>
        <v>1/333</v>
      </c>
      <c r="U30" s="9" t="str">
        <f t="shared" si="14"/>
        <v>U60</v>
      </c>
      <c r="V30" s="9">
        <f t="shared" si="15"/>
        <v>0.12</v>
      </c>
      <c r="W30" s="9">
        <f t="shared" si="16"/>
        <v>0.15</v>
      </c>
      <c r="X30" s="9">
        <f t="shared" si="3"/>
        <v>0.27999999999999997</v>
      </c>
      <c r="Y30" s="9">
        <f t="shared" si="17"/>
        <v>0.6</v>
      </c>
      <c r="Z30" s="9">
        <f t="shared" si="4"/>
        <v>1650.07</v>
      </c>
      <c r="AA30" s="9">
        <f t="shared" si="5"/>
        <v>1649.65</v>
      </c>
      <c r="AB30" s="14">
        <f t="shared" si="6"/>
        <v>1649.92</v>
      </c>
      <c r="AC30" s="9"/>
    </row>
    <row r="31" spans="2:29">
      <c r="B31" t="s">
        <v>440</v>
      </c>
      <c r="C31">
        <v>2545</v>
      </c>
      <c r="D31">
        <v>1649.7329999999999</v>
      </c>
      <c r="E31">
        <f t="shared" si="7"/>
        <v>1649.73</v>
      </c>
      <c r="F31">
        <f t="shared" si="19"/>
        <v>1649.52</v>
      </c>
      <c r="G31">
        <f t="shared" si="0"/>
        <v>0.21000000000003638</v>
      </c>
      <c r="H31">
        <v>3.0000000000000001E-3</v>
      </c>
      <c r="J31" s="12" t="s">
        <v>518</v>
      </c>
      <c r="K31" s="10">
        <f t="shared" si="20"/>
        <v>2545</v>
      </c>
      <c r="L31" s="9">
        <f t="shared" si="2"/>
        <v>0.18</v>
      </c>
      <c r="M31" s="9">
        <f t="shared" ref="M31" si="46">M30</f>
        <v>0.14000000000000001</v>
      </c>
      <c r="N31" s="9">
        <f t="shared" si="22"/>
        <v>1.2</v>
      </c>
      <c r="O31" s="9">
        <f t="shared" si="23"/>
        <v>1.17</v>
      </c>
      <c r="P31" s="9">
        <f t="shared" si="24"/>
        <v>0.32</v>
      </c>
      <c r="Q31" s="9">
        <f t="shared" si="25"/>
        <v>0.27</v>
      </c>
      <c r="R31" s="9">
        <v>1.4999999999999999E-2</v>
      </c>
      <c r="S31" s="9">
        <f t="shared" si="26"/>
        <v>3.0000000000000001E-3</v>
      </c>
      <c r="T31" s="9" t="str">
        <f t="shared" si="27"/>
        <v>1/333</v>
      </c>
      <c r="U31" s="9" t="str">
        <f t="shared" si="14"/>
        <v>U60</v>
      </c>
      <c r="V31" s="9">
        <f t="shared" si="15"/>
        <v>0.12</v>
      </c>
      <c r="W31" s="9">
        <f t="shared" si="16"/>
        <v>0.15</v>
      </c>
      <c r="X31" s="9">
        <f t="shared" si="3"/>
        <v>0.27999999999999997</v>
      </c>
      <c r="Y31" s="9">
        <f t="shared" si="17"/>
        <v>0.6</v>
      </c>
      <c r="Z31" s="9">
        <f t="shared" si="4"/>
        <v>1649.73</v>
      </c>
      <c r="AA31" s="9">
        <f t="shared" si="5"/>
        <v>1649.52</v>
      </c>
      <c r="AB31" s="14">
        <f t="shared" si="6"/>
        <v>1649.79</v>
      </c>
      <c r="AC31" s="9"/>
    </row>
    <row r="34" spans="11:28">
      <c r="K34" s="43" t="s">
        <v>336</v>
      </c>
      <c r="L34" s="43" t="s">
        <v>337</v>
      </c>
      <c r="M34" s="43"/>
      <c r="N34" s="43" t="s">
        <v>338</v>
      </c>
      <c r="O34" s="43"/>
      <c r="P34" s="43" t="s">
        <v>339</v>
      </c>
      <c r="Q34" s="43"/>
      <c r="R34" s="9" t="s">
        <v>340</v>
      </c>
      <c r="S34" s="9" t="s">
        <v>289</v>
      </c>
      <c r="T34" s="9" t="s">
        <v>863</v>
      </c>
      <c r="U34" s="43" t="s">
        <v>786</v>
      </c>
      <c r="V34" s="43"/>
      <c r="W34" s="43" t="s">
        <v>793</v>
      </c>
      <c r="X34" s="43"/>
      <c r="Y34" s="43" t="s">
        <v>794</v>
      </c>
      <c r="Z34" s="43"/>
      <c r="AA34" s="9" t="s">
        <v>789</v>
      </c>
      <c r="AB34" s="9" t="s">
        <v>790</v>
      </c>
    </row>
    <row r="35" spans="11:28" ht="15.6">
      <c r="K35" s="43"/>
      <c r="L35" s="9" t="s">
        <v>349</v>
      </c>
      <c r="M35" s="9" t="s">
        <v>348</v>
      </c>
      <c r="N35" s="9" t="s">
        <v>351</v>
      </c>
      <c r="O35" s="9" t="s">
        <v>352</v>
      </c>
      <c r="P35" s="9" t="s">
        <v>353</v>
      </c>
      <c r="Q35" s="9" t="s">
        <v>354</v>
      </c>
      <c r="R35" s="9" t="s">
        <v>309</v>
      </c>
      <c r="S35" s="9" t="s">
        <v>308</v>
      </c>
      <c r="T35" s="9" t="s">
        <v>864</v>
      </c>
      <c r="U35" s="9" t="s">
        <v>787</v>
      </c>
      <c r="V35" s="9" t="s">
        <v>788</v>
      </c>
      <c r="W35" s="9" t="s">
        <v>798</v>
      </c>
      <c r="X35" s="9" t="s">
        <v>799</v>
      </c>
      <c r="Y35" s="9" t="s">
        <v>800</v>
      </c>
      <c r="Z35" s="9" t="s">
        <v>801</v>
      </c>
      <c r="AA35" s="9" t="s">
        <v>792</v>
      </c>
      <c r="AB35" s="9" t="s">
        <v>791</v>
      </c>
    </row>
    <row r="36" spans="11:28" ht="16.2">
      <c r="K36" s="9" t="s">
        <v>356</v>
      </c>
      <c r="L36" s="9" t="s">
        <v>358</v>
      </c>
      <c r="M36" s="9" t="s">
        <v>358</v>
      </c>
      <c r="N36" s="9" t="s">
        <v>357</v>
      </c>
      <c r="O36" s="9" t="s">
        <v>357</v>
      </c>
      <c r="P36" s="9" t="s">
        <v>307</v>
      </c>
      <c r="Q36" s="9" t="s">
        <v>307</v>
      </c>
      <c r="R36" s="9"/>
      <c r="S36" s="9"/>
      <c r="T36" s="9" t="s">
        <v>795</v>
      </c>
      <c r="U36" s="9" t="s">
        <v>796</v>
      </c>
      <c r="V36" s="9" t="s">
        <v>796</v>
      </c>
      <c r="W36" s="9" t="s">
        <v>797</v>
      </c>
      <c r="X36" s="9"/>
      <c r="Y36" s="9" t="s">
        <v>797</v>
      </c>
      <c r="Z36" s="9"/>
      <c r="AA36" s="9" t="s">
        <v>797</v>
      </c>
      <c r="AB36" s="9" t="s">
        <v>797</v>
      </c>
    </row>
    <row r="37" spans="11:28">
      <c r="K37" s="10">
        <f>K5</f>
        <v>10</v>
      </c>
      <c r="L37" s="9">
        <f>L5</f>
        <v>0.18</v>
      </c>
      <c r="M37" s="9">
        <f t="shared" ref="M37:R37" si="47">M5</f>
        <v>0.14000000000000001</v>
      </c>
      <c r="N37" s="9">
        <f t="shared" si="47"/>
        <v>1.5</v>
      </c>
      <c r="O37" s="9">
        <f t="shared" si="47"/>
        <v>1.56</v>
      </c>
      <c r="P37" s="9">
        <f t="shared" si="47"/>
        <v>0.27</v>
      </c>
      <c r="Q37" s="9">
        <f t="shared" si="47"/>
        <v>0.23</v>
      </c>
      <c r="R37" s="9">
        <f t="shared" si="47"/>
        <v>1.4999999999999999E-2</v>
      </c>
      <c r="S37" s="9" t="str">
        <f>T5</f>
        <v>1/200</v>
      </c>
      <c r="T37" s="9" t="str">
        <f>U5</f>
        <v>U60</v>
      </c>
      <c r="U37" s="9">
        <f>W5</f>
        <v>0.12</v>
      </c>
      <c r="V37" s="9">
        <f>V5</f>
        <v>0.09</v>
      </c>
      <c r="W37" s="9">
        <v>0.88300000000000001</v>
      </c>
      <c r="X37" s="9">
        <v>0.80100000000000005</v>
      </c>
      <c r="Y37" s="13">
        <f>U37/W37</f>
        <v>0.13590033975084936</v>
      </c>
      <c r="Z37" s="13">
        <f>V37/X37</f>
        <v>0.11235955056179774</v>
      </c>
      <c r="AA37" s="9">
        <f>X5</f>
        <v>0.32999999999999996</v>
      </c>
      <c r="AB37" s="9">
        <f>Y5</f>
        <v>0.6</v>
      </c>
    </row>
    <row r="38" spans="11:28">
      <c r="K38" s="10">
        <f t="shared" ref="K38:R40" si="48">K7</f>
        <v>200</v>
      </c>
      <c r="L38" s="9">
        <f t="shared" si="48"/>
        <v>0.18</v>
      </c>
      <c r="M38" s="9">
        <f t="shared" si="48"/>
        <v>0.14000000000000001</v>
      </c>
      <c r="N38" s="9">
        <f t="shared" si="48"/>
        <v>1.5</v>
      </c>
      <c r="O38" s="9">
        <f t="shared" si="48"/>
        <v>1.56</v>
      </c>
      <c r="P38" s="9">
        <f t="shared" si="48"/>
        <v>0.27</v>
      </c>
      <c r="Q38" s="9">
        <f t="shared" si="48"/>
        <v>0.23</v>
      </c>
      <c r="R38" s="9">
        <f t="shared" si="48"/>
        <v>1.4999999999999999E-2</v>
      </c>
      <c r="S38" s="9" t="str">
        <f t="shared" ref="S38:T38" si="49">T7</f>
        <v>1/200</v>
      </c>
      <c r="T38" s="9" t="str">
        <f t="shared" si="49"/>
        <v>U60</v>
      </c>
      <c r="U38" s="9">
        <f>W7</f>
        <v>0.12</v>
      </c>
      <c r="V38" s="9">
        <f>V7</f>
        <v>0.09</v>
      </c>
      <c r="W38" s="9">
        <v>0.88300000000000001</v>
      </c>
      <c r="X38" s="9">
        <v>0.80100000000000005</v>
      </c>
      <c r="Y38" s="13">
        <f t="shared" ref="Y38:Y52" si="50">U38/W38</f>
        <v>0.13590033975084936</v>
      </c>
      <c r="Z38" s="13">
        <f t="shared" ref="Z38:Z52" si="51">V38/X38</f>
        <v>0.11235955056179774</v>
      </c>
      <c r="AA38" s="9">
        <f t="shared" ref="AA38:AB38" si="52">X7</f>
        <v>0.32999999999999996</v>
      </c>
      <c r="AB38" s="9">
        <f t="shared" si="52"/>
        <v>0.6</v>
      </c>
    </row>
    <row r="39" spans="11:28">
      <c r="K39" s="10">
        <f t="shared" si="48"/>
        <v>300</v>
      </c>
      <c r="L39" s="9">
        <f t="shared" si="48"/>
        <v>0.18</v>
      </c>
      <c r="M39" s="9">
        <f t="shared" si="48"/>
        <v>0.14000000000000001</v>
      </c>
      <c r="N39" s="9">
        <f t="shared" si="48"/>
        <v>1.5</v>
      </c>
      <c r="O39" s="9">
        <f t="shared" si="48"/>
        <v>1.56</v>
      </c>
      <c r="P39" s="9">
        <f t="shared" si="48"/>
        <v>0.27</v>
      </c>
      <c r="Q39" s="9">
        <f t="shared" si="48"/>
        <v>0.23</v>
      </c>
      <c r="R39" s="9">
        <f t="shared" si="48"/>
        <v>1.4999999999999999E-2</v>
      </c>
      <c r="S39" s="9" t="str">
        <f t="shared" ref="S39:T39" si="53">T8</f>
        <v>1/200</v>
      </c>
      <c r="T39" s="9" t="str">
        <f t="shared" si="53"/>
        <v>U60</v>
      </c>
      <c r="U39" s="9">
        <f>W8</f>
        <v>0.12</v>
      </c>
      <c r="V39" s="9">
        <f>V8</f>
        <v>0.09</v>
      </c>
      <c r="W39" s="9">
        <v>0.88300000000000001</v>
      </c>
      <c r="X39" s="9">
        <v>0.80100000000000005</v>
      </c>
      <c r="Y39" s="13">
        <f t="shared" si="50"/>
        <v>0.13590033975084936</v>
      </c>
      <c r="Z39" s="13">
        <f t="shared" si="51"/>
        <v>0.11235955056179774</v>
      </c>
      <c r="AA39" s="9">
        <f t="shared" ref="AA39:AB39" si="54">X8</f>
        <v>0.32999999999999996</v>
      </c>
      <c r="AB39" s="9">
        <f t="shared" si="54"/>
        <v>0.6</v>
      </c>
    </row>
    <row r="40" spans="11:28">
      <c r="K40" s="10">
        <f t="shared" si="48"/>
        <v>400</v>
      </c>
      <c r="L40" s="9">
        <f t="shared" si="48"/>
        <v>0.18</v>
      </c>
      <c r="M40" s="9">
        <f t="shared" si="48"/>
        <v>0.14000000000000001</v>
      </c>
      <c r="N40" s="9">
        <f t="shared" si="48"/>
        <v>1.64</v>
      </c>
      <c r="O40" s="9">
        <f t="shared" si="48"/>
        <v>1.56</v>
      </c>
      <c r="P40" s="9">
        <f t="shared" si="48"/>
        <v>0.25</v>
      </c>
      <c r="Q40" s="9">
        <f t="shared" si="48"/>
        <v>2.1000000000000001E-2</v>
      </c>
      <c r="R40" s="9">
        <f t="shared" si="48"/>
        <v>1.4999999999999999E-2</v>
      </c>
      <c r="S40" s="9" t="str">
        <f t="shared" ref="S40:T40" si="55">T9</f>
        <v>1/143</v>
      </c>
      <c r="T40" s="9" t="str">
        <f t="shared" si="55"/>
        <v>U60</v>
      </c>
      <c r="U40" s="9">
        <f>W9</f>
        <v>0.11</v>
      </c>
      <c r="V40" s="9">
        <f>V9</f>
        <v>0.09</v>
      </c>
      <c r="W40" s="9">
        <v>0.84199999999999997</v>
      </c>
      <c r="X40" s="9">
        <v>0.76</v>
      </c>
      <c r="Y40" s="13">
        <f t="shared" si="50"/>
        <v>0.1306413301662708</v>
      </c>
      <c r="Z40" s="13">
        <f t="shared" si="51"/>
        <v>0.11842105263157894</v>
      </c>
      <c r="AA40" s="9">
        <f t="shared" ref="AA40:AB40" si="56">X9</f>
        <v>0.35</v>
      </c>
      <c r="AB40" s="9">
        <f t="shared" si="56"/>
        <v>0.6</v>
      </c>
    </row>
    <row r="41" spans="11:28">
      <c r="K41" s="10">
        <f t="shared" ref="K41:R43" si="57">K11</f>
        <v>600</v>
      </c>
      <c r="L41" s="9">
        <f t="shared" si="57"/>
        <v>0.18</v>
      </c>
      <c r="M41" s="9">
        <f t="shared" si="57"/>
        <v>0.14000000000000001</v>
      </c>
      <c r="N41" s="9">
        <f t="shared" si="57"/>
        <v>1.64</v>
      </c>
      <c r="O41" s="9">
        <f t="shared" si="57"/>
        <v>1.56</v>
      </c>
      <c r="P41" s="9">
        <f t="shared" si="57"/>
        <v>0.25</v>
      </c>
      <c r="Q41" s="9">
        <f t="shared" si="57"/>
        <v>2.1000000000000001E-2</v>
      </c>
      <c r="R41" s="9">
        <f t="shared" si="57"/>
        <v>1.4999999999999999E-2</v>
      </c>
      <c r="S41" s="9" t="str">
        <f t="shared" ref="S41:T41" si="58">T11</f>
        <v>1/143</v>
      </c>
      <c r="T41" s="9" t="str">
        <f t="shared" si="58"/>
        <v>U60</v>
      </c>
      <c r="U41" s="9">
        <f>W11</f>
        <v>0.11</v>
      </c>
      <c r="V41" s="9">
        <f>V11</f>
        <v>0.09</v>
      </c>
      <c r="W41" s="9">
        <v>0.84199999999999997</v>
      </c>
      <c r="X41" s="9">
        <v>0.76</v>
      </c>
      <c r="Y41" s="13">
        <f t="shared" si="50"/>
        <v>0.1306413301662708</v>
      </c>
      <c r="Z41" s="13">
        <f t="shared" si="51"/>
        <v>0.11842105263157894</v>
      </c>
      <c r="AA41" s="9">
        <f t="shared" ref="AA41:AB41" si="59">X11</f>
        <v>0.35</v>
      </c>
      <c r="AB41" s="9">
        <f t="shared" si="59"/>
        <v>0.6</v>
      </c>
    </row>
    <row r="42" spans="11:28">
      <c r="K42" s="10">
        <f t="shared" si="57"/>
        <v>700</v>
      </c>
      <c r="L42" s="9">
        <f t="shared" si="57"/>
        <v>0.18</v>
      </c>
      <c r="M42" s="9">
        <f t="shared" si="57"/>
        <v>0.14000000000000001</v>
      </c>
      <c r="N42" s="9">
        <f t="shared" si="57"/>
        <v>1.64</v>
      </c>
      <c r="O42" s="9">
        <f t="shared" si="57"/>
        <v>1.56</v>
      </c>
      <c r="P42" s="9">
        <f t="shared" si="57"/>
        <v>0.25</v>
      </c>
      <c r="Q42" s="9">
        <f t="shared" si="57"/>
        <v>2.1000000000000001E-2</v>
      </c>
      <c r="R42" s="9">
        <f t="shared" si="57"/>
        <v>1.4999999999999999E-2</v>
      </c>
      <c r="S42" s="9" t="str">
        <f t="shared" ref="S42:T42" si="60">T12</f>
        <v>1/143</v>
      </c>
      <c r="T42" s="9" t="str">
        <f t="shared" si="60"/>
        <v>U60</v>
      </c>
      <c r="U42" s="9">
        <f>W12</f>
        <v>0.11</v>
      </c>
      <c r="V42" s="9">
        <f>V12</f>
        <v>0.09</v>
      </c>
      <c r="W42" s="9">
        <v>0.84199999999999997</v>
      </c>
      <c r="X42" s="9">
        <v>0.76</v>
      </c>
      <c r="Y42" s="13">
        <f t="shared" si="50"/>
        <v>0.1306413301662708</v>
      </c>
      <c r="Z42" s="13">
        <f t="shared" si="51"/>
        <v>0.11842105263157894</v>
      </c>
      <c r="AA42" s="9">
        <f t="shared" ref="AA42:AB42" si="61">X12</f>
        <v>0.35</v>
      </c>
      <c r="AB42" s="9">
        <f t="shared" si="61"/>
        <v>0.6</v>
      </c>
    </row>
    <row r="43" spans="11:28">
      <c r="K43" s="10">
        <f t="shared" si="57"/>
        <v>800</v>
      </c>
      <c r="L43" s="9">
        <f t="shared" si="57"/>
        <v>0.18</v>
      </c>
      <c r="M43" s="9">
        <f t="shared" si="57"/>
        <v>0.14000000000000001</v>
      </c>
      <c r="N43" s="9">
        <f t="shared" si="57"/>
        <v>1.2</v>
      </c>
      <c r="O43" s="9">
        <f t="shared" si="57"/>
        <v>1.17</v>
      </c>
      <c r="P43" s="9">
        <f t="shared" si="57"/>
        <v>0.32</v>
      </c>
      <c r="Q43" s="9">
        <f t="shared" si="57"/>
        <v>0.27</v>
      </c>
      <c r="R43" s="9">
        <f t="shared" si="57"/>
        <v>1.4999999999999999E-2</v>
      </c>
      <c r="S43" s="9" t="str">
        <f t="shared" ref="S43:T43" si="62">T13</f>
        <v>1/333</v>
      </c>
      <c r="T43" s="9" t="str">
        <f t="shared" si="62"/>
        <v>U60</v>
      </c>
      <c r="U43" s="9">
        <f>W13</f>
        <v>0.15</v>
      </c>
      <c r="V43" s="9">
        <f>V13</f>
        <v>0.12</v>
      </c>
      <c r="W43" s="9">
        <v>0.98399999999999999</v>
      </c>
      <c r="X43" s="9">
        <v>0.88300000000000001</v>
      </c>
      <c r="Y43" s="13">
        <f t="shared" si="50"/>
        <v>0.1524390243902439</v>
      </c>
      <c r="Z43" s="13">
        <f t="shared" si="51"/>
        <v>0.13590033975084936</v>
      </c>
      <c r="AA43" s="9">
        <f t="shared" ref="AA43:AB43" si="63">X13</f>
        <v>0.27999999999999997</v>
      </c>
      <c r="AB43" s="9">
        <f t="shared" si="63"/>
        <v>0.6</v>
      </c>
    </row>
    <row r="44" spans="11:28">
      <c r="K44" s="10">
        <f t="shared" ref="K44:R44" si="64">K15</f>
        <v>1000</v>
      </c>
      <c r="L44" s="9">
        <f t="shared" si="64"/>
        <v>0.18</v>
      </c>
      <c r="M44" s="9">
        <f t="shared" si="64"/>
        <v>0.14000000000000001</v>
      </c>
      <c r="N44" s="9">
        <f t="shared" si="64"/>
        <v>1.2</v>
      </c>
      <c r="O44" s="9">
        <f t="shared" si="64"/>
        <v>1.17</v>
      </c>
      <c r="P44" s="9">
        <f t="shared" si="64"/>
        <v>0.32</v>
      </c>
      <c r="Q44" s="9">
        <f t="shared" si="64"/>
        <v>0.27</v>
      </c>
      <c r="R44" s="9">
        <f t="shared" si="64"/>
        <v>1.4999999999999999E-2</v>
      </c>
      <c r="S44" s="9" t="str">
        <f t="shared" ref="S44:T44" si="65">T15</f>
        <v>1/333</v>
      </c>
      <c r="T44" s="9" t="str">
        <f t="shared" si="65"/>
        <v>U60</v>
      </c>
      <c r="U44" s="9">
        <f>W15</f>
        <v>0.15</v>
      </c>
      <c r="V44" s="9">
        <f>V15</f>
        <v>0.12</v>
      </c>
      <c r="W44" s="9">
        <v>0.98399999999999999</v>
      </c>
      <c r="X44" s="9">
        <v>0.88300000000000001</v>
      </c>
      <c r="Y44" s="13">
        <f t="shared" si="50"/>
        <v>0.1524390243902439</v>
      </c>
      <c r="Z44" s="13">
        <f t="shared" si="51"/>
        <v>0.13590033975084936</v>
      </c>
      <c r="AA44" s="9">
        <f t="shared" ref="AA44:AB44" si="66">X15</f>
        <v>0.27999999999999997</v>
      </c>
      <c r="AB44" s="9">
        <f t="shared" si="66"/>
        <v>0.6</v>
      </c>
    </row>
    <row r="45" spans="11:28">
      <c r="K45" s="10">
        <f t="shared" ref="K45:R45" si="67">K17</f>
        <v>1200</v>
      </c>
      <c r="L45" s="9">
        <f t="shared" si="67"/>
        <v>0.18</v>
      </c>
      <c r="M45" s="9">
        <f t="shared" si="67"/>
        <v>0.14000000000000001</v>
      </c>
      <c r="N45" s="9">
        <f t="shared" si="67"/>
        <v>1.2</v>
      </c>
      <c r="O45" s="9">
        <f t="shared" si="67"/>
        <v>1.17</v>
      </c>
      <c r="P45" s="9">
        <f t="shared" si="67"/>
        <v>0.32</v>
      </c>
      <c r="Q45" s="9">
        <f t="shared" si="67"/>
        <v>0.27</v>
      </c>
      <c r="R45" s="9">
        <f t="shared" si="67"/>
        <v>1.4999999999999999E-2</v>
      </c>
      <c r="S45" s="9" t="str">
        <f t="shared" ref="S45:T45" si="68">T17</f>
        <v>1/333</v>
      </c>
      <c r="T45" s="9" t="str">
        <f t="shared" si="68"/>
        <v>U60</v>
      </c>
      <c r="U45" s="9">
        <f>W17</f>
        <v>0.15</v>
      </c>
      <c r="V45" s="9">
        <f>V17</f>
        <v>0.12</v>
      </c>
      <c r="W45" s="9">
        <v>0.98399999999999999</v>
      </c>
      <c r="X45" s="9">
        <v>0.88300000000000001</v>
      </c>
      <c r="Y45" s="13">
        <f t="shared" si="50"/>
        <v>0.1524390243902439</v>
      </c>
      <c r="Z45" s="13">
        <f t="shared" si="51"/>
        <v>0.13590033975084936</v>
      </c>
      <c r="AA45" s="9">
        <f t="shared" ref="AA45:AB45" si="69">X17</f>
        <v>0.27999999999999997</v>
      </c>
      <c r="AB45" s="9">
        <f t="shared" si="69"/>
        <v>0.6</v>
      </c>
    </row>
    <row r="46" spans="11:28">
      <c r="K46" s="10">
        <f t="shared" ref="K46:R46" si="70">K19</f>
        <v>1400</v>
      </c>
      <c r="L46" s="9">
        <f t="shared" si="70"/>
        <v>0.18</v>
      </c>
      <c r="M46" s="9">
        <f t="shared" si="70"/>
        <v>0.14000000000000001</v>
      </c>
      <c r="N46" s="9">
        <f t="shared" si="70"/>
        <v>1.2</v>
      </c>
      <c r="O46" s="9">
        <f t="shared" si="70"/>
        <v>1.17</v>
      </c>
      <c r="P46" s="9">
        <f t="shared" si="70"/>
        <v>0.32</v>
      </c>
      <c r="Q46" s="9">
        <f t="shared" si="70"/>
        <v>0.27</v>
      </c>
      <c r="R46" s="9">
        <f t="shared" si="70"/>
        <v>1.4999999999999999E-2</v>
      </c>
      <c r="S46" s="9" t="str">
        <f t="shared" ref="S46:T46" si="71">T19</f>
        <v>1/333</v>
      </c>
      <c r="T46" s="9" t="str">
        <f t="shared" si="71"/>
        <v>U60</v>
      </c>
      <c r="U46" s="9">
        <f>W19</f>
        <v>0.15</v>
      </c>
      <c r="V46" s="9">
        <f>V19</f>
        <v>0.12</v>
      </c>
      <c r="W46" s="9">
        <v>0.98399999999999999</v>
      </c>
      <c r="X46" s="9">
        <v>0.88300000000000001</v>
      </c>
      <c r="Y46" s="13">
        <f t="shared" si="50"/>
        <v>0.1524390243902439</v>
      </c>
      <c r="Z46" s="13">
        <f t="shared" si="51"/>
        <v>0.13590033975084936</v>
      </c>
      <c r="AA46" s="9">
        <f t="shared" ref="AA46:AB46" si="72">X19</f>
        <v>0.27999999999999997</v>
      </c>
      <c r="AB46" s="9">
        <f t="shared" si="72"/>
        <v>0.6</v>
      </c>
    </row>
    <row r="47" spans="11:28">
      <c r="K47" s="10">
        <f t="shared" ref="K47:R47" si="73">K21</f>
        <v>1600</v>
      </c>
      <c r="L47" s="9">
        <f t="shared" si="73"/>
        <v>0.18</v>
      </c>
      <c r="M47" s="9">
        <f t="shared" si="73"/>
        <v>0.14000000000000001</v>
      </c>
      <c r="N47" s="9">
        <f t="shared" si="73"/>
        <v>1.2</v>
      </c>
      <c r="O47" s="9">
        <f t="shared" si="73"/>
        <v>1.17</v>
      </c>
      <c r="P47" s="9">
        <f t="shared" si="73"/>
        <v>0.32</v>
      </c>
      <c r="Q47" s="9">
        <f t="shared" si="73"/>
        <v>0.27</v>
      </c>
      <c r="R47" s="9">
        <f t="shared" si="73"/>
        <v>1.4999999999999999E-2</v>
      </c>
      <c r="S47" s="9" t="str">
        <f t="shared" ref="S47:T47" si="74">T21</f>
        <v>1/333</v>
      </c>
      <c r="T47" s="9" t="str">
        <f t="shared" si="74"/>
        <v>U60</v>
      </c>
      <c r="U47" s="9">
        <f>W21</f>
        <v>0.15</v>
      </c>
      <c r="V47" s="9">
        <f>V21</f>
        <v>0.12</v>
      </c>
      <c r="W47" s="9">
        <v>0.98399999999999999</v>
      </c>
      <c r="X47" s="9">
        <v>0.88300000000000001</v>
      </c>
      <c r="Y47" s="13">
        <f t="shared" si="50"/>
        <v>0.1524390243902439</v>
      </c>
      <c r="Z47" s="13">
        <f t="shared" si="51"/>
        <v>0.13590033975084936</v>
      </c>
      <c r="AA47" s="9">
        <f t="shared" ref="AA47:AB47" si="75">X21</f>
        <v>0.27999999999999997</v>
      </c>
      <c r="AB47" s="9">
        <f t="shared" si="75"/>
        <v>0.6</v>
      </c>
    </row>
    <row r="48" spans="11:28">
      <c r="K48" s="10">
        <f t="shared" ref="K48:R48" si="76">K23</f>
        <v>1800</v>
      </c>
      <c r="L48" s="9">
        <f t="shared" si="76"/>
        <v>0.18</v>
      </c>
      <c r="M48" s="9">
        <f t="shared" si="76"/>
        <v>0.14000000000000001</v>
      </c>
      <c r="N48" s="9">
        <f t="shared" si="76"/>
        <v>1.2</v>
      </c>
      <c r="O48" s="9">
        <f t="shared" si="76"/>
        <v>1.17</v>
      </c>
      <c r="P48" s="9">
        <f t="shared" si="76"/>
        <v>0.32</v>
      </c>
      <c r="Q48" s="9">
        <f t="shared" si="76"/>
        <v>0.27</v>
      </c>
      <c r="R48" s="9">
        <f t="shared" si="76"/>
        <v>1.4999999999999999E-2</v>
      </c>
      <c r="S48" s="9" t="str">
        <f t="shared" ref="S48:T48" si="77">T23</f>
        <v>1/333</v>
      </c>
      <c r="T48" s="9" t="str">
        <f t="shared" si="77"/>
        <v>U60</v>
      </c>
      <c r="U48" s="9">
        <f>W23</f>
        <v>0.15</v>
      </c>
      <c r="V48" s="9">
        <f>V23</f>
        <v>0.12</v>
      </c>
      <c r="W48" s="9">
        <v>0.98399999999999999</v>
      </c>
      <c r="X48" s="9">
        <v>0.88300000000000001</v>
      </c>
      <c r="Y48" s="13">
        <f t="shared" si="50"/>
        <v>0.1524390243902439</v>
      </c>
      <c r="Z48" s="13">
        <f t="shared" si="51"/>
        <v>0.13590033975084936</v>
      </c>
      <c r="AA48" s="9">
        <f t="shared" ref="AA48:AB48" si="78">X23</f>
        <v>0.27999999999999997</v>
      </c>
      <c r="AB48" s="9">
        <f t="shared" si="78"/>
        <v>0.6</v>
      </c>
    </row>
    <row r="49" spans="7:28">
      <c r="K49" s="10">
        <f t="shared" ref="K49:R49" si="79">K25</f>
        <v>2000</v>
      </c>
      <c r="L49" s="9">
        <f t="shared" si="79"/>
        <v>0.18</v>
      </c>
      <c r="M49" s="9">
        <f t="shared" si="79"/>
        <v>0.14000000000000001</v>
      </c>
      <c r="N49" s="9">
        <f t="shared" si="79"/>
        <v>1.2</v>
      </c>
      <c r="O49" s="9">
        <f t="shared" si="79"/>
        <v>1.17</v>
      </c>
      <c r="P49" s="9">
        <f t="shared" si="79"/>
        <v>0.32</v>
      </c>
      <c r="Q49" s="9">
        <f t="shared" si="79"/>
        <v>0.27</v>
      </c>
      <c r="R49" s="9">
        <f t="shared" si="79"/>
        <v>1.4999999999999999E-2</v>
      </c>
      <c r="S49" s="9" t="str">
        <f t="shared" ref="S49:T49" si="80">T25</f>
        <v>1/333</v>
      </c>
      <c r="T49" s="9" t="str">
        <f t="shared" si="80"/>
        <v>U60</v>
      </c>
      <c r="U49" s="9">
        <f>W25</f>
        <v>0.15</v>
      </c>
      <c r="V49" s="9">
        <f>V25</f>
        <v>0.12</v>
      </c>
      <c r="W49" s="9">
        <v>0.98399999999999999</v>
      </c>
      <c r="X49" s="9">
        <v>0.88300000000000001</v>
      </c>
      <c r="Y49" s="13">
        <f t="shared" si="50"/>
        <v>0.1524390243902439</v>
      </c>
      <c r="Z49" s="13">
        <f t="shared" si="51"/>
        <v>0.13590033975084936</v>
      </c>
      <c r="AA49" s="9">
        <f t="shared" ref="AA49:AB49" si="81">X25</f>
        <v>0.27999999999999997</v>
      </c>
      <c r="AB49" s="9">
        <f t="shared" si="81"/>
        <v>0.6</v>
      </c>
    </row>
    <row r="50" spans="7:28">
      <c r="K50" s="10">
        <f t="shared" ref="K50:R50" si="82">K27</f>
        <v>2200</v>
      </c>
      <c r="L50" s="9">
        <f t="shared" si="82"/>
        <v>0.18</v>
      </c>
      <c r="M50" s="9">
        <f t="shared" si="82"/>
        <v>0.14000000000000001</v>
      </c>
      <c r="N50" s="9">
        <f t="shared" si="82"/>
        <v>1.2</v>
      </c>
      <c r="O50" s="9">
        <f t="shared" si="82"/>
        <v>1.17</v>
      </c>
      <c r="P50" s="9">
        <f t="shared" si="82"/>
        <v>0.32</v>
      </c>
      <c r="Q50" s="9">
        <f t="shared" si="82"/>
        <v>0.27</v>
      </c>
      <c r="R50" s="9">
        <f t="shared" si="82"/>
        <v>1.4999999999999999E-2</v>
      </c>
      <c r="S50" s="9" t="str">
        <f t="shared" ref="S50:T50" si="83">T27</f>
        <v>1/333</v>
      </c>
      <c r="T50" s="9" t="str">
        <f t="shared" si="83"/>
        <v>U60</v>
      </c>
      <c r="U50" s="9">
        <f>W27</f>
        <v>0.15</v>
      </c>
      <c r="V50" s="9">
        <f>V27</f>
        <v>0.12</v>
      </c>
      <c r="W50" s="9">
        <v>0.98399999999999999</v>
      </c>
      <c r="X50" s="9">
        <v>0.88300000000000001</v>
      </c>
      <c r="Y50" s="13">
        <f t="shared" si="50"/>
        <v>0.1524390243902439</v>
      </c>
      <c r="Z50" s="13">
        <f t="shared" si="51"/>
        <v>0.13590033975084936</v>
      </c>
      <c r="AA50" s="9">
        <f t="shared" ref="AA50:AB50" si="84">X27</f>
        <v>0.27999999999999997</v>
      </c>
      <c r="AB50" s="9">
        <f t="shared" si="84"/>
        <v>0.6</v>
      </c>
    </row>
    <row r="51" spans="7:28">
      <c r="K51" s="10">
        <f t="shared" ref="K51:R51" si="85">K29</f>
        <v>2400</v>
      </c>
      <c r="L51" s="9">
        <f t="shared" si="85"/>
        <v>0.18</v>
      </c>
      <c r="M51" s="9">
        <f t="shared" si="85"/>
        <v>0.14000000000000001</v>
      </c>
      <c r="N51" s="9">
        <f t="shared" si="85"/>
        <v>1.2</v>
      </c>
      <c r="O51" s="9">
        <f t="shared" si="85"/>
        <v>1.17</v>
      </c>
      <c r="P51" s="9">
        <f t="shared" si="85"/>
        <v>0.32</v>
      </c>
      <c r="Q51" s="9">
        <f t="shared" si="85"/>
        <v>0.27</v>
      </c>
      <c r="R51" s="9">
        <f t="shared" si="85"/>
        <v>1.4999999999999999E-2</v>
      </c>
      <c r="S51" s="9" t="str">
        <f t="shared" ref="S51:T51" si="86">T29</f>
        <v>1/333</v>
      </c>
      <c r="T51" s="9" t="str">
        <f t="shared" si="86"/>
        <v>U60</v>
      </c>
      <c r="U51" s="9">
        <f>W29</f>
        <v>0.15</v>
      </c>
      <c r="V51" s="9">
        <f>V29</f>
        <v>0.12</v>
      </c>
      <c r="W51" s="9">
        <v>0.98399999999999999</v>
      </c>
      <c r="X51" s="9">
        <v>0.88300000000000001</v>
      </c>
      <c r="Y51" s="13">
        <f t="shared" si="50"/>
        <v>0.1524390243902439</v>
      </c>
      <c r="Z51" s="13">
        <f t="shared" si="51"/>
        <v>0.13590033975084936</v>
      </c>
      <c r="AA51" s="9">
        <f t="shared" ref="AA51:AB51" si="87">X29</f>
        <v>0.27999999999999997</v>
      </c>
      <c r="AB51" s="9">
        <f t="shared" si="87"/>
        <v>0.6</v>
      </c>
    </row>
    <row r="52" spans="7:28">
      <c r="K52" s="10">
        <f>K31</f>
        <v>2545</v>
      </c>
      <c r="L52" s="9">
        <f t="shared" ref="L52:R52" si="88">L31</f>
        <v>0.18</v>
      </c>
      <c r="M52" s="9">
        <f t="shared" si="88"/>
        <v>0.14000000000000001</v>
      </c>
      <c r="N52" s="9">
        <f t="shared" si="88"/>
        <v>1.2</v>
      </c>
      <c r="O52" s="9">
        <f t="shared" si="88"/>
        <v>1.17</v>
      </c>
      <c r="P52" s="9">
        <f t="shared" si="88"/>
        <v>0.32</v>
      </c>
      <c r="Q52" s="9">
        <f t="shared" si="88"/>
        <v>0.27</v>
      </c>
      <c r="R52" s="9">
        <f t="shared" si="88"/>
        <v>1.4999999999999999E-2</v>
      </c>
      <c r="S52" s="9" t="str">
        <f t="shared" ref="S52:T52" si="89">T31</f>
        <v>1/333</v>
      </c>
      <c r="T52" s="9" t="str">
        <f t="shared" si="89"/>
        <v>U60</v>
      </c>
      <c r="U52" s="9">
        <f>W31</f>
        <v>0.15</v>
      </c>
      <c r="V52" s="9">
        <f>V31</f>
        <v>0.12</v>
      </c>
      <c r="W52" s="9">
        <v>0.98399999999999999</v>
      </c>
      <c r="X52" s="9">
        <v>0.88300000000000001</v>
      </c>
      <c r="Y52" s="13">
        <f t="shared" si="50"/>
        <v>0.1524390243902439</v>
      </c>
      <c r="Z52" s="13">
        <f t="shared" si="51"/>
        <v>0.13590033975084936</v>
      </c>
      <c r="AA52" s="9">
        <f t="shared" ref="AA52:AB52" si="90">X31</f>
        <v>0.27999999999999997</v>
      </c>
      <c r="AB52" s="9">
        <f t="shared" si="90"/>
        <v>0.6</v>
      </c>
    </row>
    <row r="55" spans="7:28">
      <c r="K55" t="s">
        <v>336</v>
      </c>
      <c r="L55" t="s">
        <v>773</v>
      </c>
      <c r="M55" t="s">
        <v>774</v>
      </c>
      <c r="N55" t="s">
        <v>776</v>
      </c>
      <c r="O55" t="s">
        <v>775</v>
      </c>
    </row>
    <row r="56" spans="7:28">
      <c r="K56" s="23">
        <f t="shared" ref="K56:K62" si="91">K5</f>
        <v>10</v>
      </c>
      <c r="L56">
        <f t="shared" ref="L56:L62" si="92">N56+Y5</f>
        <v>1660.1</v>
      </c>
      <c r="M56" s="3">
        <f t="shared" ref="M56:M62" si="93">AB5</f>
        <v>1659.73</v>
      </c>
      <c r="N56">
        <f t="shared" ref="N56:N62" si="94">AA5</f>
        <v>1659.5</v>
      </c>
      <c r="O56">
        <f t="shared" ref="O56:O62" si="95">E5</f>
        <v>1660</v>
      </c>
      <c r="P56">
        <f>干渠!W328</f>
        <v>1659.92</v>
      </c>
    </row>
    <row r="57" spans="7:28">
      <c r="G57" s="12" t="s">
        <v>516</v>
      </c>
      <c r="H57" s="12">
        <v>50</v>
      </c>
      <c r="K57" s="23">
        <f t="shared" si="91"/>
        <v>100</v>
      </c>
      <c r="L57">
        <f t="shared" si="92"/>
        <v>1659.6499999999999</v>
      </c>
      <c r="M57" s="3">
        <f t="shared" si="93"/>
        <v>1659.28</v>
      </c>
      <c r="N57">
        <f t="shared" si="94"/>
        <v>1659.05</v>
      </c>
      <c r="O57">
        <f t="shared" si="95"/>
        <v>1659.96</v>
      </c>
      <c r="V57">
        <f>P5*1.25+0.2</f>
        <v>0.53750000000000009</v>
      </c>
    </row>
    <row r="58" spans="7:28">
      <c r="G58" s="12" t="s">
        <v>517</v>
      </c>
      <c r="H58" s="12">
        <v>900</v>
      </c>
      <c r="K58" s="23">
        <f t="shared" si="91"/>
        <v>200</v>
      </c>
      <c r="L58">
        <f t="shared" si="92"/>
        <v>1659.1499999999999</v>
      </c>
      <c r="M58" s="3">
        <f t="shared" si="93"/>
        <v>1658.78</v>
      </c>
      <c r="N58">
        <f t="shared" si="94"/>
        <v>1658.55</v>
      </c>
      <c r="O58">
        <f t="shared" si="95"/>
        <v>1659.11</v>
      </c>
    </row>
    <row r="59" spans="7:28">
      <c r="G59" s="12" t="s">
        <v>518</v>
      </c>
      <c r="H59" s="12">
        <v>2545</v>
      </c>
      <c r="K59" s="23">
        <f t="shared" si="91"/>
        <v>300</v>
      </c>
      <c r="L59">
        <f t="shared" si="92"/>
        <v>1658.6499999999999</v>
      </c>
      <c r="M59" s="3">
        <f t="shared" si="93"/>
        <v>1658.28</v>
      </c>
      <c r="N59">
        <f t="shared" si="94"/>
        <v>1658.05</v>
      </c>
      <c r="O59">
        <f t="shared" si="95"/>
        <v>1658.37</v>
      </c>
    </row>
    <row r="60" spans="7:28">
      <c r="K60" s="23">
        <f t="shared" si="91"/>
        <v>400</v>
      </c>
      <c r="L60">
        <f t="shared" si="92"/>
        <v>1658.1499999999999</v>
      </c>
      <c r="M60" s="3">
        <f t="shared" si="93"/>
        <v>1657.5709999999999</v>
      </c>
      <c r="N60">
        <f t="shared" si="94"/>
        <v>1657.55</v>
      </c>
      <c r="O60">
        <f t="shared" si="95"/>
        <v>1657.68</v>
      </c>
    </row>
    <row r="61" spans="7:28">
      <c r="K61" s="23">
        <f t="shared" si="91"/>
        <v>500</v>
      </c>
      <c r="L61">
        <f t="shared" si="92"/>
        <v>1657.4499999999998</v>
      </c>
      <c r="M61" s="3">
        <f t="shared" si="93"/>
        <v>1656.8709999999999</v>
      </c>
      <c r="N61">
        <f t="shared" si="94"/>
        <v>1656.85</v>
      </c>
      <c r="O61">
        <f t="shared" si="95"/>
        <v>1657.08</v>
      </c>
    </row>
    <row r="62" spans="7:28">
      <c r="K62" s="23">
        <f t="shared" si="91"/>
        <v>600</v>
      </c>
      <c r="L62">
        <f t="shared" si="92"/>
        <v>1656.75</v>
      </c>
      <c r="M62" s="3">
        <f t="shared" si="93"/>
        <v>1656.171</v>
      </c>
      <c r="N62">
        <f t="shared" si="94"/>
        <v>1656.15</v>
      </c>
      <c r="O62">
        <f t="shared" si="95"/>
        <v>1656.27</v>
      </c>
    </row>
    <row r="63" spans="7:28">
      <c r="K63" s="23"/>
      <c r="M63" s="3"/>
    </row>
    <row r="64" spans="7:28">
      <c r="K64" s="23">
        <f t="shared" ref="K64:K69" si="96">K12</f>
        <v>700</v>
      </c>
      <c r="L64">
        <f t="shared" ref="L64:L69" si="97">N64+Y12</f>
        <v>1656.05</v>
      </c>
      <c r="M64" s="3">
        <f t="shared" ref="M64:M69" si="98">AB12</f>
        <v>1655.471</v>
      </c>
      <c r="N64">
        <f t="shared" ref="N64:N69" si="99">AA12</f>
        <v>1655.45</v>
      </c>
      <c r="O64">
        <f t="shared" ref="O64:O69" si="100">E12</f>
        <v>1655.74</v>
      </c>
    </row>
    <row r="65" spans="11:15">
      <c r="K65" s="23">
        <f t="shared" si="96"/>
        <v>800</v>
      </c>
      <c r="L65">
        <f t="shared" si="97"/>
        <v>1655.35</v>
      </c>
      <c r="M65" s="3">
        <f t="shared" si="98"/>
        <v>1655.02</v>
      </c>
      <c r="N65">
        <f t="shared" si="99"/>
        <v>1654.75</v>
      </c>
      <c r="O65">
        <f t="shared" si="100"/>
        <v>1655.09</v>
      </c>
    </row>
    <row r="66" spans="11:15">
      <c r="K66" s="23">
        <f t="shared" si="96"/>
        <v>900</v>
      </c>
      <c r="L66">
        <f t="shared" si="97"/>
        <v>1655.05</v>
      </c>
      <c r="M66" s="3">
        <f t="shared" si="98"/>
        <v>1654.72</v>
      </c>
      <c r="N66">
        <f t="shared" si="99"/>
        <v>1654.45</v>
      </c>
      <c r="O66">
        <f t="shared" si="100"/>
        <v>1654.97</v>
      </c>
    </row>
    <row r="67" spans="11:15">
      <c r="K67" s="23">
        <f t="shared" si="96"/>
        <v>1000</v>
      </c>
      <c r="L67">
        <f t="shared" si="97"/>
        <v>1654.75</v>
      </c>
      <c r="M67" s="3">
        <f t="shared" si="98"/>
        <v>1654.42</v>
      </c>
      <c r="N67">
        <f t="shared" si="99"/>
        <v>1654.15</v>
      </c>
      <c r="O67">
        <f t="shared" si="100"/>
        <v>1654.84</v>
      </c>
    </row>
    <row r="68" spans="11:15">
      <c r="K68" s="23">
        <f t="shared" si="96"/>
        <v>1100</v>
      </c>
      <c r="L68">
        <f t="shared" si="97"/>
        <v>1654.4499999999998</v>
      </c>
      <c r="M68" s="3">
        <f t="shared" si="98"/>
        <v>1654.12</v>
      </c>
      <c r="N68">
        <f t="shared" si="99"/>
        <v>1653.85</v>
      </c>
      <c r="O68">
        <f t="shared" si="100"/>
        <v>1654.56</v>
      </c>
    </row>
    <row r="69" spans="11:15">
      <c r="K69" s="23">
        <f t="shared" si="96"/>
        <v>1200</v>
      </c>
      <c r="L69">
        <f t="shared" si="97"/>
        <v>1654.1499999999999</v>
      </c>
      <c r="M69" s="3">
        <f t="shared" si="98"/>
        <v>1653.82</v>
      </c>
      <c r="N69">
        <f t="shared" si="99"/>
        <v>1653.55</v>
      </c>
      <c r="O69">
        <f t="shared" si="100"/>
        <v>1654.17</v>
      </c>
    </row>
    <row r="70" spans="11:15">
      <c r="K70" s="23"/>
      <c r="M70" s="3"/>
    </row>
    <row r="71" spans="11:15">
      <c r="K71" s="23">
        <f t="shared" ref="K71:K76" si="101">K18</f>
        <v>1300</v>
      </c>
      <c r="L71">
        <f t="shared" ref="L71:L76" si="102">N71+Y18</f>
        <v>1653.85</v>
      </c>
      <c r="M71" s="3">
        <f t="shared" ref="M71:M76" si="103">AB18</f>
        <v>1653.52</v>
      </c>
      <c r="N71">
        <f t="shared" ref="N71:N76" si="104">AA18</f>
        <v>1653.25</v>
      </c>
      <c r="O71">
        <f t="shared" ref="O71:O76" si="105">E18</f>
        <v>1653.76</v>
      </c>
    </row>
    <row r="72" spans="11:15">
      <c r="K72" s="23">
        <f t="shared" si="101"/>
        <v>1400</v>
      </c>
      <c r="L72">
        <f t="shared" si="102"/>
        <v>1653.55</v>
      </c>
      <c r="M72" s="3">
        <f t="shared" si="103"/>
        <v>1653.22</v>
      </c>
      <c r="N72">
        <f t="shared" si="104"/>
        <v>1652.95</v>
      </c>
      <c r="O72">
        <f t="shared" si="105"/>
        <v>1653.28</v>
      </c>
    </row>
    <row r="73" spans="11:15">
      <c r="K73" s="23">
        <f t="shared" si="101"/>
        <v>1500</v>
      </c>
      <c r="L73">
        <f t="shared" si="102"/>
        <v>1653.25</v>
      </c>
      <c r="M73" s="3">
        <f t="shared" si="103"/>
        <v>1652.92</v>
      </c>
      <c r="N73">
        <f t="shared" si="104"/>
        <v>1652.65</v>
      </c>
      <c r="O73">
        <f t="shared" si="105"/>
        <v>1652.8</v>
      </c>
    </row>
    <row r="74" spans="11:15">
      <c r="K74" s="23">
        <f t="shared" si="101"/>
        <v>1600</v>
      </c>
      <c r="L74">
        <f t="shared" si="102"/>
        <v>1652.9499999999998</v>
      </c>
      <c r="M74" s="3">
        <f t="shared" si="103"/>
        <v>1652.62</v>
      </c>
      <c r="N74">
        <f t="shared" si="104"/>
        <v>1652.35</v>
      </c>
      <c r="O74">
        <f t="shared" si="105"/>
        <v>1652.41</v>
      </c>
    </row>
    <row r="75" spans="11:15">
      <c r="K75" s="23">
        <f t="shared" si="101"/>
        <v>1700</v>
      </c>
      <c r="L75">
        <f t="shared" si="102"/>
        <v>1652.6499999999999</v>
      </c>
      <c r="M75" s="3">
        <f t="shared" si="103"/>
        <v>1652.32</v>
      </c>
      <c r="N75">
        <f t="shared" si="104"/>
        <v>1652.05</v>
      </c>
      <c r="O75">
        <f t="shared" si="105"/>
        <v>1652.08</v>
      </c>
    </row>
    <row r="76" spans="11:15">
      <c r="K76" s="23">
        <f t="shared" si="101"/>
        <v>1800</v>
      </c>
      <c r="L76">
        <f t="shared" si="102"/>
        <v>1652.35</v>
      </c>
      <c r="M76" s="3">
        <f t="shared" si="103"/>
        <v>1652.02</v>
      </c>
      <c r="N76">
        <f t="shared" si="104"/>
        <v>1651.75</v>
      </c>
      <c r="O76">
        <f t="shared" si="105"/>
        <v>1651.8</v>
      </c>
    </row>
    <row r="77" spans="11:15">
      <c r="K77" s="23"/>
      <c r="M77" s="3"/>
    </row>
    <row r="78" spans="11:15">
      <c r="K78" s="23">
        <f t="shared" ref="K78:K83" si="106">K24</f>
        <v>1900</v>
      </c>
      <c r="L78">
        <f t="shared" ref="L78:L83" si="107">N78+Y24</f>
        <v>1652.05</v>
      </c>
      <c r="M78" s="3">
        <f t="shared" ref="M78:M83" si="108">AB24</f>
        <v>1651.72</v>
      </c>
      <c r="N78">
        <f t="shared" ref="N78:N83" si="109">AA24</f>
        <v>1651.45</v>
      </c>
      <c r="O78">
        <f t="shared" ref="O78:O83" si="110">E24</f>
        <v>1651.47</v>
      </c>
    </row>
    <row r="79" spans="11:15">
      <c r="K79" s="23">
        <f t="shared" si="106"/>
        <v>2000</v>
      </c>
      <c r="L79">
        <f t="shared" si="107"/>
        <v>1651.75</v>
      </c>
      <c r="M79" s="3">
        <f t="shared" si="108"/>
        <v>1651.42</v>
      </c>
      <c r="N79">
        <f t="shared" si="109"/>
        <v>1651.15</v>
      </c>
      <c r="O79">
        <f t="shared" si="110"/>
        <v>1651.15</v>
      </c>
    </row>
    <row r="80" spans="11:15">
      <c r="K80" s="23">
        <f t="shared" si="106"/>
        <v>2100</v>
      </c>
      <c r="L80">
        <f t="shared" si="107"/>
        <v>1651.4499999999998</v>
      </c>
      <c r="M80" s="3">
        <f t="shared" si="108"/>
        <v>1651.12</v>
      </c>
      <c r="N80">
        <f t="shared" si="109"/>
        <v>1650.85</v>
      </c>
      <c r="O80">
        <f t="shared" si="110"/>
        <v>1650.88</v>
      </c>
    </row>
    <row r="81" spans="11:15">
      <c r="K81" s="23">
        <f t="shared" si="106"/>
        <v>2200</v>
      </c>
      <c r="L81">
        <f t="shared" si="107"/>
        <v>1651.1499999999999</v>
      </c>
      <c r="M81" s="3">
        <f t="shared" si="108"/>
        <v>1650.82</v>
      </c>
      <c r="N81">
        <f t="shared" si="109"/>
        <v>1650.55</v>
      </c>
      <c r="O81">
        <f t="shared" si="110"/>
        <v>1650.65</v>
      </c>
    </row>
    <row r="82" spans="11:15">
      <c r="K82" s="23">
        <f t="shared" si="106"/>
        <v>2300</v>
      </c>
      <c r="L82">
        <f t="shared" si="107"/>
        <v>1650.85</v>
      </c>
      <c r="M82" s="3">
        <f t="shared" si="108"/>
        <v>1650.52</v>
      </c>
      <c r="N82">
        <f t="shared" si="109"/>
        <v>1650.25</v>
      </c>
      <c r="O82">
        <f t="shared" si="110"/>
        <v>1650.45</v>
      </c>
    </row>
    <row r="83" spans="11:15">
      <c r="K83" s="23">
        <f t="shared" si="106"/>
        <v>2400</v>
      </c>
      <c r="L83">
        <f t="shared" si="107"/>
        <v>1650.55</v>
      </c>
      <c r="M83" s="3">
        <f t="shared" si="108"/>
        <v>1650.22</v>
      </c>
      <c r="N83">
        <f t="shared" si="109"/>
        <v>1649.95</v>
      </c>
      <c r="O83">
        <f t="shared" si="110"/>
        <v>1650.43</v>
      </c>
    </row>
    <row r="84" spans="11:15">
      <c r="K84" s="23">
        <f>K31</f>
        <v>2545</v>
      </c>
      <c r="L84">
        <f>N84+Y31</f>
        <v>1650.12</v>
      </c>
      <c r="M84" s="3">
        <f>AB31</f>
        <v>1649.79</v>
      </c>
      <c r="N84">
        <f>AA31</f>
        <v>1649.52</v>
      </c>
      <c r="O84">
        <f>E31</f>
        <v>1649.73</v>
      </c>
    </row>
    <row r="85" spans="11:15">
      <c r="K85" s="23"/>
    </row>
    <row r="86" spans="11:15">
      <c r="K86" s="23"/>
    </row>
    <row r="87" spans="11:15">
      <c r="K87" s="23"/>
    </row>
    <row r="88" spans="11:15">
      <c r="K88" s="23"/>
    </row>
    <row r="89" spans="11:15">
      <c r="K89" s="23"/>
    </row>
    <row r="90" spans="11:15">
      <c r="K90" s="23"/>
    </row>
    <row r="91" spans="11:15">
      <c r="K91" s="23"/>
    </row>
    <row r="92" spans="11:15">
      <c r="K92" s="23"/>
    </row>
    <row r="93" spans="11:15">
      <c r="K93" s="23"/>
    </row>
    <row r="94" spans="11:15">
      <c r="K94" s="23"/>
    </row>
    <row r="95" spans="11:15">
      <c r="K95" s="23"/>
    </row>
    <row r="96" spans="11:15">
      <c r="K96" s="23"/>
    </row>
    <row r="97" spans="11:11">
      <c r="K97" s="23"/>
    </row>
    <row r="98" spans="11:11">
      <c r="K98" s="23"/>
    </row>
    <row r="99" spans="11:11">
      <c r="K99" s="23"/>
    </row>
    <row r="100" spans="11:11">
      <c r="K100" s="23"/>
    </row>
    <row r="101" spans="11:11">
      <c r="K101" s="23"/>
    </row>
    <row r="102" spans="11:11">
      <c r="K102" s="23"/>
    </row>
    <row r="103" spans="11:11">
      <c r="K103" s="23"/>
    </row>
    <row r="104" spans="11:11">
      <c r="K104" s="23"/>
    </row>
    <row r="105" spans="11:11">
      <c r="K105" s="23"/>
    </row>
    <row r="106" spans="11:11">
      <c r="K106" s="23"/>
    </row>
  </sheetData>
  <mergeCells count="16">
    <mergeCell ref="AA1:AA2"/>
    <mergeCell ref="AB1:AB2"/>
    <mergeCell ref="AC1:AC2"/>
    <mergeCell ref="J1:J2"/>
    <mergeCell ref="K1:K2"/>
    <mergeCell ref="L1:M1"/>
    <mergeCell ref="N1:O1"/>
    <mergeCell ref="P1:Q1"/>
    <mergeCell ref="Z1:Z2"/>
    <mergeCell ref="W34:X34"/>
    <mergeCell ref="Y34:Z34"/>
    <mergeCell ref="K34:K35"/>
    <mergeCell ref="L34:M34"/>
    <mergeCell ref="N34:O34"/>
    <mergeCell ref="P34:Q34"/>
    <mergeCell ref="U34:V3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52"/>
  <sheetViews>
    <sheetView topLeftCell="A73" workbookViewId="0">
      <selection activeCell="I31" sqref="I31"/>
    </sheetView>
  </sheetViews>
  <sheetFormatPr defaultRowHeight="14.4"/>
  <cols>
    <col min="1" max="2" width="11.33203125" bestFit="1" customWidth="1"/>
    <col min="4" max="4" width="9"/>
    <col min="15" max="15" width="11.33203125" bestFit="1" customWidth="1"/>
  </cols>
  <sheetData>
    <row r="1" spans="1:20">
      <c r="G1" t="s">
        <v>293</v>
      </c>
      <c r="K1" t="s">
        <v>292</v>
      </c>
    </row>
    <row r="2" spans="1:20">
      <c r="G2" t="s">
        <v>298</v>
      </c>
      <c r="H2" t="s">
        <v>401</v>
      </c>
      <c r="I2" t="s">
        <v>296</v>
      </c>
      <c r="J2" t="s">
        <v>470</v>
      </c>
    </row>
    <row r="3" spans="1:20">
      <c r="A3">
        <f>A4+A100</f>
        <v>144</v>
      </c>
      <c r="G3">
        <v>0.87</v>
      </c>
      <c r="H3">
        <v>0.88</v>
      </c>
      <c r="I3">
        <v>0.87</v>
      </c>
      <c r="J3">
        <f>ROUND(G3*H3*I3,2)</f>
        <v>0.67</v>
      </c>
      <c r="K3">
        <v>0.217</v>
      </c>
    </row>
    <row r="4" spans="1:20">
      <c r="A4" s="1">
        <f>15+13+15+12+6</f>
        <v>61</v>
      </c>
    </row>
    <row r="5" spans="1:20">
      <c r="A5" t="s">
        <v>456</v>
      </c>
      <c r="B5" t="s">
        <v>458</v>
      </c>
      <c r="C5" t="s">
        <v>607</v>
      </c>
      <c r="E5" t="s">
        <v>457</v>
      </c>
      <c r="F5" t="s">
        <v>468</v>
      </c>
      <c r="G5" t="s">
        <v>293</v>
      </c>
    </row>
    <row r="6" spans="1:20">
      <c r="A6" t="s">
        <v>459</v>
      </c>
      <c r="E6">
        <f>支渠!E3</f>
        <v>13100</v>
      </c>
      <c r="F6">
        <f>支渠!F3</f>
        <v>13103</v>
      </c>
    </row>
    <row r="7" spans="1:20">
      <c r="A7" t="s">
        <v>460</v>
      </c>
      <c r="B7" s="27">
        <v>100</v>
      </c>
      <c r="C7" s="27">
        <v>1650</v>
      </c>
      <c r="D7" s="1">
        <f>C22+C37+C54+C68+C76</f>
        <v>81131</v>
      </c>
      <c r="E7">
        <f>ROUND(F7*0.88,-1)</f>
        <v>1510</v>
      </c>
      <c r="F7">
        <v>1720</v>
      </c>
      <c r="G7">
        <f>J3</f>
        <v>0.67</v>
      </c>
      <c r="H7">
        <f>ROUND($K$3*E7/$G$7/10000,2)</f>
        <v>0.05</v>
      </c>
      <c r="I7" t="s">
        <v>716</v>
      </c>
      <c r="J7">
        <f>ROUNDUP(C7/300,0)</f>
        <v>6</v>
      </c>
      <c r="K7" t="s">
        <v>620</v>
      </c>
      <c r="M7" s="9" t="s">
        <v>696</v>
      </c>
      <c r="N7" s="43" t="s">
        <v>697</v>
      </c>
      <c r="O7" s="43"/>
      <c r="P7" s="9" t="s">
        <v>700</v>
      </c>
      <c r="Q7" s="9" t="s">
        <v>698</v>
      </c>
      <c r="R7" s="9" t="s">
        <v>699</v>
      </c>
      <c r="T7" s="15"/>
    </row>
    <row r="8" spans="1:20">
      <c r="A8" t="s">
        <v>461</v>
      </c>
      <c r="B8" s="27">
        <v>650</v>
      </c>
      <c r="C8" s="27">
        <v>1475</v>
      </c>
      <c r="D8" s="1"/>
      <c r="E8">
        <v>1150</v>
      </c>
      <c r="M8" s="9"/>
      <c r="N8" s="25"/>
      <c r="O8" s="9"/>
      <c r="P8" s="9"/>
      <c r="Q8" s="9"/>
      <c r="R8" s="9"/>
      <c r="T8" s="15"/>
    </row>
    <row r="9" spans="1:20">
      <c r="A9" t="s">
        <v>462</v>
      </c>
      <c r="B9" s="27">
        <v>1200</v>
      </c>
      <c r="C9" s="27">
        <v>1159</v>
      </c>
      <c r="D9" s="1"/>
      <c r="E9">
        <f t="shared" ref="E9:E14" si="0">ROUND(F9*0.88,-1)</f>
        <v>1200</v>
      </c>
      <c r="F9">
        <v>1360</v>
      </c>
      <c r="G9">
        <f>G7</f>
        <v>0.67</v>
      </c>
      <c r="H9">
        <f t="shared" ref="H9:H14" si="1">ROUND($K$3*E9/$G$7/10000,2)</f>
        <v>0.04</v>
      </c>
      <c r="I9" t="s">
        <v>716</v>
      </c>
      <c r="J9">
        <f>ROUNDUP(C9/250,0)</f>
        <v>5</v>
      </c>
      <c r="M9" s="9">
        <v>1</v>
      </c>
      <c r="N9" s="40" t="s">
        <v>705</v>
      </c>
      <c r="O9" s="9" t="str">
        <f>A7</f>
        <v>1-1-1斗渠</v>
      </c>
      <c r="P9" s="10">
        <f>B7</f>
        <v>100</v>
      </c>
      <c r="Q9" s="9" t="s">
        <v>701</v>
      </c>
      <c r="R9" s="9" t="str">
        <f>I7</f>
        <v>U50</v>
      </c>
      <c r="T9" s="15"/>
    </row>
    <row r="10" spans="1:20">
      <c r="A10" t="s">
        <v>463</v>
      </c>
      <c r="B10" s="27">
        <v>1900</v>
      </c>
      <c r="C10" s="27">
        <v>1142</v>
      </c>
      <c r="D10" s="1"/>
      <c r="E10">
        <f t="shared" si="0"/>
        <v>970</v>
      </c>
      <c r="F10">
        <v>1100</v>
      </c>
      <c r="G10">
        <f t="shared" ref="G10:G15" si="2">G9</f>
        <v>0.67</v>
      </c>
      <c r="H10">
        <f t="shared" si="1"/>
        <v>0.03</v>
      </c>
      <c r="I10" t="s">
        <v>638</v>
      </c>
      <c r="J10">
        <f t="shared" ref="J10:J73" si="3">ROUNDUP(C10/250,0)</f>
        <v>5</v>
      </c>
      <c r="M10" s="9">
        <v>2</v>
      </c>
      <c r="N10" s="42"/>
      <c r="O10" s="9" t="str">
        <f t="shared" ref="O10:P16" si="4">A9</f>
        <v>1-1-3斗渠</v>
      </c>
      <c r="P10" s="10">
        <f t="shared" si="4"/>
        <v>1200</v>
      </c>
      <c r="Q10" s="9" t="str">
        <f>Q9</f>
        <v>U80</v>
      </c>
      <c r="R10" s="9" t="str">
        <f t="shared" ref="R10:R16" si="5">I9</f>
        <v>U50</v>
      </c>
      <c r="T10" s="15"/>
    </row>
    <row r="11" spans="1:20">
      <c r="A11" t="s">
        <v>464</v>
      </c>
      <c r="B11" s="27">
        <v>2400</v>
      </c>
      <c r="C11" s="27">
        <v>1226</v>
      </c>
      <c r="D11" s="1"/>
      <c r="E11">
        <f t="shared" si="0"/>
        <v>1180</v>
      </c>
      <c r="F11">
        <v>1340</v>
      </c>
      <c r="G11">
        <f t="shared" si="2"/>
        <v>0.67</v>
      </c>
      <c r="H11">
        <f t="shared" si="1"/>
        <v>0.04</v>
      </c>
      <c r="I11" t="s">
        <v>638</v>
      </c>
      <c r="J11">
        <f t="shared" si="3"/>
        <v>5</v>
      </c>
      <c r="M11" s="9">
        <v>3</v>
      </c>
      <c r="N11" s="42"/>
      <c r="O11" s="9" t="str">
        <f t="shared" si="4"/>
        <v>1-1-4斗渠</v>
      </c>
      <c r="P11" s="10">
        <f t="shared" si="4"/>
        <v>1900</v>
      </c>
      <c r="Q11" s="9" t="str">
        <f t="shared" ref="Q11:Q40" si="6">Q10</f>
        <v>U80</v>
      </c>
      <c r="R11" s="9" t="str">
        <f t="shared" si="5"/>
        <v>U50</v>
      </c>
      <c r="T11" s="15"/>
    </row>
    <row r="12" spans="1:20">
      <c r="A12" t="s">
        <v>465</v>
      </c>
      <c r="B12" s="27">
        <v>2950</v>
      </c>
      <c r="C12" s="27">
        <v>1250</v>
      </c>
      <c r="D12" s="1"/>
      <c r="E12">
        <f t="shared" si="0"/>
        <v>1300</v>
      </c>
      <c r="F12">
        <v>1480</v>
      </c>
      <c r="G12">
        <f t="shared" si="2"/>
        <v>0.67</v>
      </c>
      <c r="H12">
        <f t="shared" si="1"/>
        <v>0.04</v>
      </c>
      <c r="I12" t="s">
        <v>638</v>
      </c>
      <c r="J12">
        <f t="shared" si="3"/>
        <v>5</v>
      </c>
      <c r="M12" s="9">
        <v>4</v>
      </c>
      <c r="N12" s="42"/>
      <c r="O12" s="9" t="str">
        <f t="shared" si="4"/>
        <v>1-1-5斗渠</v>
      </c>
      <c r="P12" s="10">
        <f t="shared" si="4"/>
        <v>2400</v>
      </c>
      <c r="Q12" s="9" t="str">
        <f t="shared" si="6"/>
        <v>U80</v>
      </c>
      <c r="R12" s="9" t="str">
        <f t="shared" si="5"/>
        <v>U50</v>
      </c>
      <c r="T12" s="15"/>
    </row>
    <row r="13" spans="1:20">
      <c r="A13" t="s">
        <v>466</v>
      </c>
      <c r="B13" s="27">
        <v>3100</v>
      </c>
      <c r="C13" s="27">
        <v>749</v>
      </c>
      <c r="D13" s="1"/>
      <c r="E13">
        <f t="shared" si="0"/>
        <v>1760</v>
      </c>
      <c r="F13">
        <v>2000</v>
      </c>
      <c r="G13">
        <f t="shared" si="2"/>
        <v>0.67</v>
      </c>
      <c r="H13">
        <f t="shared" si="1"/>
        <v>0.06</v>
      </c>
      <c r="I13" t="s">
        <v>638</v>
      </c>
      <c r="J13">
        <f t="shared" si="3"/>
        <v>3</v>
      </c>
      <c r="M13" s="9">
        <v>5</v>
      </c>
      <c r="N13" s="42"/>
      <c r="O13" s="9" t="str">
        <f t="shared" si="4"/>
        <v>1-1-6斗渠</v>
      </c>
      <c r="P13" s="10">
        <f t="shared" si="4"/>
        <v>2950</v>
      </c>
      <c r="Q13" s="9" t="str">
        <f t="shared" si="6"/>
        <v>U80</v>
      </c>
      <c r="R13" s="9" t="str">
        <f t="shared" si="5"/>
        <v>U50</v>
      </c>
      <c r="T13" s="15"/>
    </row>
    <row r="14" spans="1:20">
      <c r="A14" t="s">
        <v>467</v>
      </c>
      <c r="B14" s="27">
        <v>3500</v>
      </c>
      <c r="C14" s="27">
        <v>1274</v>
      </c>
      <c r="D14" s="1"/>
      <c r="E14">
        <f t="shared" si="0"/>
        <v>2600</v>
      </c>
      <c r="F14">
        <v>2950</v>
      </c>
      <c r="G14">
        <f t="shared" si="2"/>
        <v>0.67</v>
      </c>
      <c r="H14">
        <f t="shared" si="1"/>
        <v>0.08</v>
      </c>
      <c r="I14" t="s">
        <v>638</v>
      </c>
      <c r="J14">
        <f t="shared" si="3"/>
        <v>6</v>
      </c>
      <c r="M14" s="9">
        <v>6</v>
      </c>
      <c r="N14" s="42"/>
      <c r="O14" s="9" t="str">
        <f t="shared" si="4"/>
        <v>1-1-7斗渠</v>
      </c>
      <c r="P14" s="10">
        <f t="shared" si="4"/>
        <v>3100</v>
      </c>
      <c r="Q14" s="9" t="str">
        <f t="shared" si="6"/>
        <v>U80</v>
      </c>
      <c r="R14" s="9" t="str">
        <f t="shared" si="5"/>
        <v>U50</v>
      </c>
      <c r="T14" s="15"/>
    </row>
    <row r="15" spans="1:20">
      <c r="A15" t="s">
        <v>718</v>
      </c>
      <c r="B15" s="27">
        <v>3700</v>
      </c>
      <c r="C15" s="27">
        <v>905</v>
      </c>
      <c r="D15" s="1"/>
      <c r="F15">
        <f>F6-F7-F9-F10-F11-F12-F13-F14</f>
        <v>1153</v>
      </c>
      <c r="G15">
        <f t="shared" si="2"/>
        <v>0.67</v>
      </c>
      <c r="H15">
        <f>ROUND($K$3*E21/$G$7/10000,2)</f>
        <v>0.08</v>
      </c>
      <c r="I15" t="s">
        <v>638</v>
      </c>
      <c r="J15">
        <f t="shared" si="3"/>
        <v>4</v>
      </c>
      <c r="M15" s="9">
        <v>7</v>
      </c>
      <c r="N15" s="42"/>
      <c r="O15" s="9" t="str">
        <f t="shared" si="4"/>
        <v>1-1-8斗渠</v>
      </c>
      <c r="P15" s="10">
        <f t="shared" si="4"/>
        <v>3500</v>
      </c>
      <c r="Q15" s="9" t="str">
        <f t="shared" si="6"/>
        <v>U80</v>
      </c>
      <c r="R15" s="9" t="str">
        <f t="shared" si="5"/>
        <v>U50</v>
      </c>
      <c r="T15" s="15"/>
    </row>
    <row r="16" spans="1:20">
      <c r="A16" t="s">
        <v>719</v>
      </c>
      <c r="B16" s="27">
        <v>4000</v>
      </c>
      <c r="C16" s="27">
        <v>1274</v>
      </c>
      <c r="D16" s="1"/>
      <c r="J16">
        <f t="shared" si="3"/>
        <v>6</v>
      </c>
      <c r="M16" s="9">
        <v>8</v>
      </c>
      <c r="N16" s="41"/>
      <c r="O16" s="9" t="str">
        <f t="shared" si="4"/>
        <v>1-1-9斗渠</v>
      </c>
      <c r="P16" s="10">
        <f t="shared" si="4"/>
        <v>3700</v>
      </c>
      <c r="Q16" s="9" t="str">
        <f t="shared" si="6"/>
        <v>U80</v>
      </c>
      <c r="R16" s="9" t="str">
        <f t="shared" si="5"/>
        <v>U50</v>
      </c>
      <c r="T16" s="15"/>
    </row>
    <row r="17" spans="1:20">
      <c r="A17" t="s">
        <v>720</v>
      </c>
      <c r="B17" s="27">
        <v>4400</v>
      </c>
      <c r="C17" s="27">
        <v>2311</v>
      </c>
      <c r="D17" s="1"/>
      <c r="J17">
        <f t="shared" si="3"/>
        <v>10</v>
      </c>
      <c r="M17" s="9"/>
      <c r="N17" s="26"/>
      <c r="O17" s="9"/>
      <c r="P17" s="10"/>
      <c r="Q17" s="9"/>
      <c r="R17" s="9"/>
      <c r="T17" s="15"/>
    </row>
    <row r="18" spans="1:20">
      <c r="A18" t="s">
        <v>721</v>
      </c>
      <c r="B18" s="27">
        <v>5000</v>
      </c>
      <c r="C18" s="27">
        <v>2491</v>
      </c>
      <c r="D18" s="1"/>
      <c r="J18">
        <f t="shared" si="3"/>
        <v>10</v>
      </c>
      <c r="M18" s="9"/>
      <c r="N18" s="26"/>
      <c r="O18" s="9"/>
      <c r="P18" s="10"/>
      <c r="Q18" s="9"/>
      <c r="R18" s="9"/>
      <c r="T18" s="15"/>
    </row>
    <row r="19" spans="1:20">
      <c r="A19" t="s">
        <v>722</v>
      </c>
      <c r="B19" s="27">
        <v>5650</v>
      </c>
      <c r="C19" s="27">
        <v>2666</v>
      </c>
      <c r="D19" s="1"/>
      <c r="J19">
        <f t="shared" si="3"/>
        <v>11</v>
      </c>
      <c r="M19" s="9"/>
      <c r="N19" s="26"/>
      <c r="O19" s="9"/>
      <c r="P19" s="10"/>
      <c r="Q19" s="9"/>
      <c r="R19" s="9"/>
      <c r="T19" s="15"/>
    </row>
    <row r="20" spans="1:20">
      <c r="A20" t="s">
        <v>723</v>
      </c>
      <c r="B20" s="27">
        <v>6450</v>
      </c>
      <c r="C20" s="27">
        <v>2144</v>
      </c>
      <c r="D20" s="1"/>
      <c r="J20">
        <f t="shared" si="3"/>
        <v>9</v>
      </c>
      <c r="M20" s="9"/>
      <c r="N20" s="26"/>
      <c r="O20" s="9"/>
      <c r="P20" s="10"/>
      <c r="Q20" s="9"/>
      <c r="R20" s="9"/>
      <c r="T20" s="10">
        <v>3700</v>
      </c>
    </row>
    <row r="21" spans="1:20">
      <c r="A21" t="s">
        <v>724</v>
      </c>
      <c r="B21" s="27">
        <v>6803</v>
      </c>
      <c r="C21" s="27">
        <v>2388</v>
      </c>
      <c r="D21" s="1"/>
      <c r="E21">
        <f>E6-E7-E9-E10-E11-E12-E13-E14</f>
        <v>2580</v>
      </c>
      <c r="J21">
        <f t="shared" si="3"/>
        <v>10</v>
      </c>
      <c r="M21" s="9"/>
      <c r="N21" s="26"/>
      <c r="O21" s="9"/>
      <c r="P21" s="10"/>
      <c r="Q21" s="9"/>
      <c r="R21" s="9"/>
      <c r="T21" s="10">
        <v>3300</v>
      </c>
    </row>
    <row r="22" spans="1:20">
      <c r="B22" s="27"/>
      <c r="C22" s="27">
        <f>SUM(C7:C21)</f>
        <v>24104</v>
      </c>
      <c r="J22">
        <f>SUM(J9:J21)</f>
        <v>89</v>
      </c>
      <c r="K22">
        <f>15+13+15+12+6</f>
        <v>61</v>
      </c>
      <c r="M22" s="9"/>
      <c r="N22" s="26"/>
      <c r="O22" s="9"/>
      <c r="P22" s="10"/>
      <c r="Q22" s="9"/>
      <c r="R22" s="9"/>
      <c r="T22" s="10">
        <v>0</v>
      </c>
    </row>
    <row r="23" spans="1:20">
      <c r="A23" t="s">
        <v>370</v>
      </c>
      <c r="B23" s="27"/>
      <c r="C23" s="27"/>
      <c r="D23" s="1"/>
      <c r="E23">
        <f>支渠!E4</f>
        <v>19420</v>
      </c>
      <c r="M23" s="9">
        <v>9</v>
      </c>
      <c r="N23" s="40" t="s">
        <v>706</v>
      </c>
      <c r="O23" s="9" t="str">
        <f t="shared" ref="O23:P30" si="7">A24</f>
        <v>1-2-1斗渠</v>
      </c>
      <c r="P23" s="10">
        <f t="shared" si="7"/>
        <v>100</v>
      </c>
      <c r="Q23" s="9" t="s">
        <v>702</v>
      </c>
      <c r="R23" s="9" t="str">
        <f>I24</f>
        <v>U50</v>
      </c>
      <c r="T23" s="10">
        <v>2610</v>
      </c>
    </row>
    <row r="24" spans="1:20">
      <c r="A24" t="s">
        <v>484</v>
      </c>
      <c r="B24" s="27">
        <v>100</v>
      </c>
      <c r="C24" s="27">
        <v>947</v>
      </c>
      <c r="D24" s="1"/>
      <c r="E24">
        <f>ROUND(G24*1.1,-1)</f>
        <v>1850</v>
      </c>
      <c r="F24">
        <v>1118954</v>
      </c>
      <c r="G24">
        <f>F24/667</f>
        <v>1677.5922038980509</v>
      </c>
      <c r="H24">
        <f>ROUND($K$3*E24/$G$7/10000,2)</f>
        <v>0.06</v>
      </c>
      <c r="I24" t="s">
        <v>638</v>
      </c>
      <c r="J24">
        <f t="shared" si="3"/>
        <v>4</v>
      </c>
      <c r="M24" s="9">
        <v>10</v>
      </c>
      <c r="N24" s="42"/>
      <c r="O24" s="9" t="str">
        <f t="shared" si="7"/>
        <v>1-2-2斗渠</v>
      </c>
      <c r="P24" s="10">
        <f t="shared" si="7"/>
        <v>800</v>
      </c>
      <c r="Q24" s="9" t="str">
        <f t="shared" si="6"/>
        <v>U100</v>
      </c>
      <c r="R24" s="9" t="str">
        <f t="shared" ref="R24:R30" si="8">I25</f>
        <v>U50</v>
      </c>
      <c r="T24" s="15"/>
    </row>
    <row r="25" spans="1:20">
      <c r="A25" t="s">
        <v>485</v>
      </c>
      <c r="B25" s="27">
        <v>800</v>
      </c>
      <c r="C25" s="27">
        <v>1405</v>
      </c>
      <c r="D25" s="1"/>
      <c r="E25">
        <f t="shared" ref="E25:E30" si="9">ROUND(G25*1.1,-1)</f>
        <v>2920</v>
      </c>
      <c r="F25">
        <v>1769303</v>
      </c>
      <c r="G25">
        <f t="shared" ref="G25:G72" si="10">F25/667</f>
        <v>2652.6281859070464</v>
      </c>
      <c r="H25">
        <f t="shared" ref="H25:H119" si="11">ROUND($K$3*E25/$G$7/10000,2)</f>
        <v>0.09</v>
      </c>
      <c r="I25" t="s">
        <v>638</v>
      </c>
      <c r="J25">
        <f t="shared" si="3"/>
        <v>6</v>
      </c>
      <c r="M25" s="9">
        <v>11</v>
      </c>
      <c r="N25" s="42"/>
      <c r="O25" s="9" t="str">
        <f t="shared" si="7"/>
        <v>1-2-3斗渠</v>
      </c>
      <c r="P25" s="10">
        <f t="shared" si="7"/>
        <v>1400</v>
      </c>
      <c r="Q25" s="9" t="str">
        <f t="shared" si="6"/>
        <v>U100</v>
      </c>
      <c r="R25" s="9" t="str">
        <f t="shared" si="8"/>
        <v>U50</v>
      </c>
      <c r="T25" s="15"/>
    </row>
    <row r="26" spans="1:20">
      <c r="A26" t="s">
        <v>486</v>
      </c>
      <c r="B26" s="27">
        <v>1400</v>
      </c>
      <c r="C26" s="27">
        <v>1489</v>
      </c>
      <c r="D26" s="1"/>
      <c r="E26">
        <f t="shared" si="9"/>
        <v>3130</v>
      </c>
      <c r="F26">
        <v>1900519</v>
      </c>
      <c r="G26">
        <f t="shared" si="10"/>
        <v>2849.3538230884556</v>
      </c>
      <c r="H26">
        <f t="shared" si="11"/>
        <v>0.1</v>
      </c>
      <c r="I26" t="s">
        <v>638</v>
      </c>
      <c r="J26">
        <f t="shared" si="3"/>
        <v>6</v>
      </c>
      <c r="M26" s="9">
        <v>12</v>
      </c>
      <c r="N26" s="42"/>
      <c r="O26" s="9" t="str">
        <f t="shared" si="7"/>
        <v>1-2-4斗渠</v>
      </c>
      <c r="P26" s="10">
        <f t="shared" si="7"/>
        <v>1950</v>
      </c>
      <c r="Q26" s="9" t="str">
        <f t="shared" si="6"/>
        <v>U100</v>
      </c>
      <c r="R26" s="9" t="str">
        <f t="shared" si="8"/>
        <v>U50</v>
      </c>
      <c r="T26" s="15"/>
    </row>
    <row r="27" spans="1:20">
      <c r="A27" t="s">
        <v>487</v>
      </c>
      <c r="B27" s="27">
        <v>1950</v>
      </c>
      <c r="C27" s="27">
        <v>1377</v>
      </c>
      <c r="D27" s="1"/>
      <c r="E27">
        <f t="shared" si="9"/>
        <v>3610</v>
      </c>
      <c r="F27">
        <v>2188545</v>
      </c>
      <c r="G27">
        <f t="shared" si="10"/>
        <v>3281.176911544228</v>
      </c>
      <c r="H27">
        <f t="shared" si="11"/>
        <v>0.12</v>
      </c>
      <c r="I27" t="s">
        <v>638</v>
      </c>
      <c r="J27">
        <f t="shared" si="3"/>
        <v>6</v>
      </c>
      <c r="M27" s="9">
        <v>13</v>
      </c>
      <c r="N27" s="42"/>
      <c r="O27" s="9" t="str">
        <f t="shared" si="7"/>
        <v>1-2-5斗渠</v>
      </c>
      <c r="P27" s="10">
        <f t="shared" si="7"/>
        <v>2600</v>
      </c>
      <c r="Q27" s="9" t="str">
        <f t="shared" si="6"/>
        <v>U100</v>
      </c>
      <c r="R27" s="9" t="str">
        <f t="shared" si="8"/>
        <v>U50</v>
      </c>
    </row>
    <row r="28" spans="1:20">
      <c r="A28" t="s">
        <v>488</v>
      </c>
      <c r="B28" s="27">
        <v>2600</v>
      </c>
      <c r="C28" s="27">
        <v>1751</v>
      </c>
      <c r="D28" s="1"/>
      <c r="E28">
        <f t="shared" si="9"/>
        <v>1980</v>
      </c>
      <c r="F28">
        <v>1199716</v>
      </c>
      <c r="G28">
        <f t="shared" si="10"/>
        <v>1798.6746626686656</v>
      </c>
      <c r="H28">
        <f t="shared" si="11"/>
        <v>0.06</v>
      </c>
      <c r="I28" t="s">
        <v>638</v>
      </c>
      <c r="J28">
        <f t="shared" si="3"/>
        <v>8</v>
      </c>
      <c r="M28" s="9">
        <v>14</v>
      </c>
      <c r="N28" s="42"/>
      <c r="O28" s="9" t="str">
        <f t="shared" si="7"/>
        <v>1-2-6斗渠</v>
      </c>
      <c r="P28" s="10">
        <f t="shared" si="7"/>
        <v>3250</v>
      </c>
      <c r="Q28" s="9" t="s">
        <v>701</v>
      </c>
      <c r="R28" s="9" t="str">
        <f t="shared" si="8"/>
        <v>U50</v>
      </c>
    </row>
    <row r="29" spans="1:20">
      <c r="A29" t="s">
        <v>489</v>
      </c>
      <c r="B29" s="27">
        <v>3250</v>
      </c>
      <c r="C29" s="27">
        <v>1729</v>
      </c>
      <c r="D29" s="1"/>
      <c r="E29">
        <f t="shared" si="9"/>
        <v>1720</v>
      </c>
      <c r="F29">
        <v>1042838</v>
      </c>
      <c r="G29">
        <f t="shared" si="10"/>
        <v>1563.4752623688155</v>
      </c>
      <c r="H29">
        <f t="shared" si="11"/>
        <v>0.06</v>
      </c>
      <c r="I29" t="s">
        <v>638</v>
      </c>
      <c r="J29">
        <f t="shared" si="3"/>
        <v>7</v>
      </c>
      <c r="M29" s="9">
        <v>15</v>
      </c>
      <c r="N29" s="42"/>
      <c r="O29" s="9" t="str">
        <f t="shared" si="7"/>
        <v>1-2-7斗渠</v>
      </c>
      <c r="P29" s="10">
        <f t="shared" si="7"/>
        <v>3750</v>
      </c>
      <c r="Q29" s="9" t="str">
        <f t="shared" si="6"/>
        <v>U80</v>
      </c>
      <c r="R29" s="9" t="str">
        <f t="shared" si="8"/>
        <v>U50</v>
      </c>
    </row>
    <row r="30" spans="1:20">
      <c r="A30" t="s">
        <v>490</v>
      </c>
      <c r="B30" s="27">
        <v>3750</v>
      </c>
      <c r="C30" s="27">
        <v>2265</v>
      </c>
      <c r="D30" s="1"/>
      <c r="E30">
        <f t="shared" si="9"/>
        <v>1370</v>
      </c>
      <c r="F30">
        <v>828485</v>
      </c>
      <c r="G30">
        <f t="shared" si="10"/>
        <v>1242.1064467766116</v>
      </c>
      <c r="H30">
        <f t="shared" si="11"/>
        <v>0.04</v>
      </c>
      <c r="I30" t="s">
        <v>638</v>
      </c>
      <c r="J30">
        <f t="shared" si="3"/>
        <v>10</v>
      </c>
      <c r="M30" s="9">
        <v>16</v>
      </c>
      <c r="N30" s="41"/>
      <c r="O30" s="9" t="str">
        <f t="shared" si="7"/>
        <v>1-2-8斗渠</v>
      </c>
      <c r="P30" s="10">
        <f t="shared" si="7"/>
        <v>4700</v>
      </c>
      <c r="Q30" s="9" t="str">
        <f t="shared" si="6"/>
        <v>U80</v>
      </c>
      <c r="R30" s="9" t="str">
        <f t="shared" si="8"/>
        <v>U50</v>
      </c>
    </row>
    <row r="31" spans="1:20">
      <c r="A31" t="s">
        <v>491</v>
      </c>
      <c r="B31" s="27">
        <v>4700</v>
      </c>
      <c r="C31" s="27">
        <v>1724</v>
      </c>
      <c r="D31" s="1"/>
      <c r="E31">
        <f>E23-E24-E25-E26-E27-E28-E29-E30</f>
        <v>2840</v>
      </c>
      <c r="G31">
        <f t="shared" si="10"/>
        <v>0</v>
      </c>
      <c r="H31">
        <f t="shared" si="11"/>
        <v>0.09</v>
      </c>
      <c r="I31" t="s">
        <v>638</v>
      </c>
      <c r="J31">
        <f t="shared" si="3"/>
        <v>7</v>
      </c>
      <c r="M31" s="9">
        <v>17</v>
      </c>
      <c r="N31" s="40" t="s">
        <v>707</v>
      </c>
      <c r="O31" s="9" t="str">
        <f>A39</f>
        <v>1-3-1斗渠</v>
      </c>
      <c r="P31" s="10">
        <f>B39</f>
        <v>50</v>
      </c>
      <c r="Q31" s="9" t="s">
        <v>701</v>
      </c>
      <c r="R31" s="9" t="str">
        <f>I39</f>
        <v>U50</v>
      </c>
    </row>
    <row r="32" spans="1:20">
      <c r="A32" t="s">
        <v>725</v>
      </c>
      <c r="B32" s="27">
        <v>5650</v>
      </c>
      <c r="C32" s="27">
        <v>1939</v>
      </c>
      <c r="D32" s="1"/>
      <c r="J32">
        <f t="shared" si="3"/>
        <v>8</v>
      </c>
      <c r="M32" s="9"/>
      <c r="N32" s="42"/>
      <c r="O32" s="9"/>
      <c r="P32" s="10"/>
      <c r="Q32" s="9"/>
      <c r="R32" s="9"/>
    </row>
    <row r="33" spans="1:18">
      <c r="A33" t="s">
        <v>726</v>
      </c>
      <c r="B33" s="27">
        <v>6200</v>
      </c>
      <c r="C33" s="27">
        <v>2077</v>
      </c>
      <c r="D33" s="1"/>
      <c r="J33">
        <f t="shared" si="3"/>
        <v>9</v>
      </c>
      <c r="M33" s="9"/>
      <c r="N33" s="42"/>
      <c r="O33" s="9"/>
      <c r="P33" s="10"/>
      <c r="Q33" s="9"/>
      <c r="R33" s="9"/>
    </row>
    <row r="34" spans="1:18">
      <c r="A34" t="s">
        <v>727</v>
      </c>
      <c r="B34" s="27">
        <v>6550</v>
      </c>
      <c r="C34" s="27">
        <v>1656</v>
      </c>
      <c r="D34" s="1"/>
      <c r="J34">
        <f t="shared" si="3"/>
        <v>7</v>
      </c>
      <c r="M34" s="9"/>
      <c r="N34" s="42"/>
      <c r="O34" s="9"/>
      <c r="P34" s="10"/>
      <c r="Q34" s="9"/>
      <c r="R34" s="9"/>
    </row>
    <row r="35" spans="1:18">
      <c r="A35" t="s">
        <v>728</v>
      </c>
      <c r="B35" s="27">
        <v>6900</v>
      </c>
      <c r="C35" s="27">
        <v>1356</v>
      </c>
      <c r="D35" s="1"/>
      <c r="J35">
        <f t="shared" si="3"/>
        <v>6</v>
      </c>
      <c r="M35" s="9">
        <v>18</v>
      </c>
      <c r="N35" s="42"/>
      <c r="O35" s="9" t="str">
        <f>A40</f>
        <v>1-3-2斗渠</v>
      </c>
      <c r="P35" s="10">
        <f>B40</f>
        <v>650</v>
      </c>
      <c r="Q35" s="9" t="str">
        <f>Q31</f>
        <v>U80</v>
      </c>
      <c r="R35" s="9" t="str">
        <f>I40</f>
        <v>U50</v>
      </c>
    </row>
    <row r="36" spans="1:18">
      <c r="A36" t="s">
        <v>729</v>
      </c>
      <c r="B36" s="27">
        <v>7244</v>
      </c>
      <c r="C36" s="27">
        <v>945</v>
      </c>
      <c r="D36" s="1"/>
      <c r="J36">
        <f t="shared" si="3"/>
        <v>4</v>
      </c>
      <c r="M36" s="9"/>
      <c r="N36" s="42"/>
      <c r="O36" s="9"/>
      <c r="P36" s="10"/>
      <c r="Q36" s="9"/>
      <c r="R36" s="9"/>
    </row>
    <row r="37" spans="1:18">
      <c r="B37" s="27"/>
      <c r="C37" s="27">
        <f>SUM(C24:C36)</f>
        <v>20660</v>
      </c>
      <c r="D37" s="1"/>
      <c r="J37">
        <f>SUM(J24:J36)</f>
        <v>88</v>
      </c>
      <c r="M37" s="9"/>
      <c r="N37" s="42"/>
      <c r="O37" s="9"/>
      <c r="P37" s="10"/>
      <c r="Q37" s="9"/>
      <c r="R37" s="9"/>
    </row>
    <row r="38" spans="1:18">
      <c r="A38" t="s">
        <v>371</v>
      </c>
      <c r="B38" s="27"/>
      <c r="C38" s="27"/>
      <c r="D38" s="1"/>
      <c r="E38">
        <f>支渠!E5</f>
        <v>10930</v>
      </c>
      <c r="M38" s="9">
        <v>19</v>
      </c>
      <c r="N38" s="42"/>
      <c r="O38" s="9" t="str">
        <f t="shared" ref="O38:P42" si="12">A41</f>
        <v>1-3-3斗渠</v>
      </c>
      <c r="P38" s="10">
        <f t="shared" si="12"/>
        <v>1200</v>
      </c>
      <c r="Q38" s="9" t="str">
        <f>Q35</f>
        <v>U80</v>
      </c>
      <c r="R38" s="9" t="str">
        <f t="shared" ref="R38:R42" si="13">I41</f>
        <v>U50</v>
      </c>
    </row>
    <row r="39" spans="1:18">
      <c r="A39" t="s">
        <v>492</v>
      </c>
      <c r="B39" s="27">
        <v>50</v>
      </c>
      <c r="C39" s="27">
        <v>1101</v>
      </c>
      <c r="D39" s="1"/>
      <c r="E39">
        <f>ROUND(G39*1.15,-1)</f>
        <v>1510</v>
      </c>
      <c r="F39">
        <v>874851</v>
      </c>
      <c r="G39">
        <f t="shared" si="10"/>
        <v>1311.6206896551723</v>
      </c>
      <c r="H39">
        <f t="shared" si="11"/>
        <v>0.05</v>
      </c>
      <c r="I39" t="s">
        <v>638</v>
      </c>
      <c r="J39">
        <f t="shared" si="3"/>
        <v>5</v>
      </c>
      <c r="M39" s="9">
        <v>20</v>
      </c>
      <c r="N39" s="42"/>
      <c r="O39" s="9" t="str">
        <f t="shared" si="12"/>
        <v>1-3-4斗渠</v>
      </c>
      <c r="P39" s="10">
        <f t="shared" si="12"/>
        <v>1700</v>
      </c>
      <c r="Q39" s="9" t="str">
        <f t="shared" si="6"/>
        <v>U80</v>
      </c>
      <c r="R39" s="9" t="str">
        <f t="shared" si="13"/>
        <v>U50</v>
      </c>
    </row>
    <row r="40" spans="1:18">
      <c r="A40" t="s">
        <v>493</v>
      </c>
      <c r="B40" s="27">
        <v>650</v>
      </c>
      <c r="C40" s="27">
        <v>1207</v>
      </c>
      <c r="D40" s="1"/>
      <c r="E40">
        <f t="shared" ref="E40:E44" si="14">ROUND(G40*1.15,-1)</f>
        <v>1530</v>
      </c>
      <c r="F40">
        <v>889505</v>
      </c>
      <c r="G40">
        <f t="shared" si="10"/>
        <v>1333.5907046476761</v>
      </c>
      <c r="H40">
        <f t="shared" si="11"/>
        <v>0.05</v>
      </c>
      <c r="I40" t="s">
        <v>638</v>
      </c>
      <c r="J40">
        <f t="shared" si="3"/>
        <v>5</v>
      </c>
      <c r="M40" s="9">
        <v>21</v>
      </c>
      <c r="N40" s="42"/>
      <c r="O40" s="9" t="str">
        <f t="shared" si="12"/>
        <v>1-3-5斗渠</v>
      </c>
      <c r="P40" s="10">
        <f t="shared" si="12"/>
        <v>2000</v>
      </c>
      <c r="Q40" s="9" t="str">
        <f t="shared" si="6"/>
        <v>U80</v>
      </c>
      <c r="R40" s="9" t="str">
        <f t="shared" si="13"/>
        <v>U50</v>
      </c>
    </row>
    <row r="41" spans="1:18">
      <c r="A41" t="s">
        <v>494</v>
      </c>
      <c r="B41" s="27">
        <v>1200</v>
      </c>
      <c r="C41" s="27">
        <v>1261</v>
      </c>
      <c r="D41" s="1"/>
      <c r="E41">
        <f t="shared" si="14"/>
        <v>2020</v>
      </c>
      <c r="F41">
        <v>1174421</v>
      </c>
      <c r="G41">
        <f t="shared" si="10"/>
        <v>1760.7511244377811</v>
      </c>
      <c r="H41">
        <f t="shared" si="11"/>
        <v>7.0000000000000007E-2</v>
      </c>
      <c r="I41" t="s">
        <v>638</v>
      </c>
      <c r="J41">
        <f t="shared" si="3"/>
        <v>6</v>
      </c>
      <c r="M41" s="9">
        <v>22</v>
      </c>
      <c r="N41" s="42"/>
      <c r="O41" s="9" t="str">
        <f t="shared" si="12"/>
        <v>1-3-6斗渠</v>
      </c>
      <c r="P41" s="10">
        <f t="shared" si="12"/>
        <v>2150</v>
      </c>
      <c r="Q41" s="9" t="s">
        <v>703</v>
      </c>
      <c r="R41" s="9" t="str">
        <f t="shared" si="13"/>
        <v>U50</v>
      </c>
    </row>
    <row r="42" spans="1:18">
      <c r="A42" t="s">
        <v>495</v>
      </c>
      <c r="B42" s="27">
        <v>1700</v>
      </c>
      <c r="C42" s="27">
        <v>1441</v>
      </c>
      <c r="D42" s="1"/>
      <c r="E42">
        <f t="shared" si="14"/>
        <v>1750</v>
      </c>
      <c r="F42">
        <v>1017650</v>
      </c>
      <c r="G42">
        <f t="shared" si="10"/>
        <v>1525.7121439280361</v>
      </c>
      <c r="H42">
        <f t="shared" si="11"/>
        <v>0.06</v>
      </c>
      <c r="I42" t="s">
        <v>638</v>
      </c>
      <c r="J42">
        <f t="shared" si="3"/>
        <v>6</v>
      </c>
      <c r="M42" s="9">
        <v>23</v>
      </c>
      <c r="N42" s="41"/>
      <c r="O42" s="9" t="str">
        <f t="shared" si="12"/>
        <v>1-3-7斗渠</v>
      </c>
      <c r="P42" s="10">
        <f t="shared" si="12"/>
        <v>2500</v>
      </c>
      <c r="Q42" s="9" t="str">
        <f>Q41</f>
        <v>U60</v>
      </c>
      <c r="R42" s="9" t="str">
        <f t="shared" si="13"/>
        <v>U50</v>
      </c>
    </row>
    <row r="43" spans="1:18">
      <c r="A43" t="s">
        <v>496</v>
      </c>
      <c r="B43" s="27">
        <v>2000</v>
      </c>
      <c r="C43" s="27">
        <v>874</v>
      </c>
      <c r="D43" s="1"/>
      <c r="E43">
        <f t="shared" si="14"/>
        <v>980</v>
      </c>
      <c r="F43">
        <v>569322</v>
      </c>
      <c r="G43">
        <f t="shared" si="10"/>
        <v>853.55622188905545</v>
      </c>
      <c r="H43">
        <f t="shared" si="11"/>
        <v>0.03</v>
      </c>
      <c r="I43" t="s">
        <v>638</v>
      </c>
      <c r="J43">
        <f t="shared" si="3"/>
        <v>4</v>
      </c>
      <c r="M43" s="9">
        <v>24</v>
      </c>
      <c r="N43" s="40" t="s">
        <v>708</v>
      </c>
      <c r="O43" s="9" t="str">
        <f t="shared" ref="O43:P46" si="15">A56</f>
        <v>1-4-1斗渠</v>
      </c>
      <c r="P43" s="10">
        <f t="shared" si="15"/>
        <v>50</v>
      </c>
      <c r="Q43" s="9" t="s">
        <v>701</v>
      </c>
      <c r="R43" s="9" t="str">
        <f>I56</f>
        <v>U50</v>
      </c>
    </row>
    <row r="44" spans="1:18">
      <c r="A44" t="s">
        <v>497</v>
      </c>
      <c r="B44" s="27">
        <v>2150</v>
      </c>
      <c r="C44" s="27">
        <v>1459</v>
      </c>
      <c r="D44" s="1"/>
      <c r="E44">
        <f t="shared" si="14"/>
        <v>1220</v>
      </c>
      <c r="F44">
        <v>710114</v>
      </c>
      <c r="G44">
        <f t="shared" si="10"/>
        <v>1064.6386806596702</v>
      </c>
      <c r="H44">
        <f t="shared" si="11"/>
        <v>0.04</v>
      </c>
      <c r="I44" t="s">
        <v>638</v>
      </c>
      <c r="J44">
        <f t="shared" si="3"/>
        <v>6</v>
      </c>
      <c r="M44" s="9">
        <v>25</v>
      </c>
      <c r="N44" s="42"/>
      <c r="O44" s="9" t="str">
        <f t="shared" si="15"/>
        <v>1-4-2斗渠</v>
      </c>
      <c r="P44" s="10">
        <f t="shared" si="15"/>
        <v>650</v>
      </c>
      <c r="Q44" s="9" t="str">
        <f>Q43</f>
        <v>U80</v>
      </c>
      <c r="R44" s="9" t="str">
        <f>I57</f>
        <v>U50</v>
      </c>
    </row>
    <row r="45" spans="1:18">
      <c r="A45" t="s">
        <v>498</v>
      </c>
      <c r="B45" s="27">
        <v>2500</v>
      </c>
      <c r="C45" s="27">
        <v>1508</v>
      </c>
      <c r="D45" s="1"/>
      <c r="E45">
        <f>E38-E39-E40-E41-E42-E43-E44</f>
        <v>1920</v>
      </c>
      <c r="G45">
        <f t="shared" si="10"/>
        <v>0</v>
      </c>
      <c r="H45">
        <f t="shared" si="11"/>
        <v>0.06</v>
      </c>
      <c r="I45" t="s">
        <v>638</v>
      </c>
      <c r="J45">
        <f t="shared" si="3"/>
        <v>7</v>
      </c>
      <c r="M45" s="9">
        <v>26</v>
      </c>
      <c r="N45" s="42"/>
      <c r="O45" s="9" t="str">
        <f t="shared" si="15"/>
        <v>1-4-3斗渠</v>
      </c>
      <c r="P45" s="10">
        <f t="shared" si="15"/>
        <v>1450</v>
      </c>
      <c r="Q45" s="9" t="str">
        <f t="shared" ref="Q45:Q59" si="16">Q44</f>
        <v>U80</v>
      </c>
      <c r="R45" s="9" t="str">
        <f>I58</f>
        <v>U50</v>
      </c>
    </row>
    <row r="46" spans="1:18">
      <c r="A46" t="s">
        <v>730</v>
      </c>
      <c r="B46" s="27">
        <v>2850</v>
      </c>
      <c r="C46" s="27">
        <v>1550</v>
      </c>
      <c r="D46" s="1"/>
      <c r="J46">
        <f t="shared" si="3"/>
        <v>7</v>
      </c>
      <c r="M46" s="9">
        <v>27</v>
      </c>
      <c r="N46" s="42"/>
      <c r="O46" s="9" t="str">
        <f t="shared" si="15"/>
        <v>1-4-4斗渠</v>
      </c>
      <c r="P46" s="10">
        <f t="shared" si="15"/>
        <v>2100</v>
      </c>
      <c r="Q46" s="9" t="str">
        <f t="shared" si="16"/>
        <v>U80</v>
      </c>
      <c r="R46" s="9" t="str">
        <f>I59</f>
        <v>U50</v>
      </c>
    </row>
    <row r="47" spans="1:18">
      <c r="A47" t="s">
        <v>731</v>
      </c>
      <c r="B47" s="27">
        <v>3150</v>
      </c>
      <c r="C47" s="27">
        <v>713</v>
      </c>
      <c r="D47" s="1"/>
      <c r="J47">
        <f t="shared" si="3"/>
        <v>3</v>
      </c>
      <c r="M47" s="9"/>
      <c r="N47" s="42"/>
      <c r="O47" s="9"/>
      <c r="P47" s="10"/>
      <c r="Q47" s="9"/>
      <c r="R47" s="9"/>
    </row>
    <row r="48" spans="1:18">
      <c r="A48" t="s">
        <v>732</v>
      </c>
      <c r="B48" s="27">
        <v>3450</v>
      </c>
      <c r="C48" s="27">
        <v>1347</v>
      </c>
      <c r="D48" s="1"/>
      <c r="J48">
        <f t="shared" si="3"/>
        <v>6</v>
      </c>
      <c r="M48" s="9"/>
      <c r="N48" s="42"/>
      <c r="O48" s="9"/>
      <c r="P48" s="10"/>
      <c r="Q48" s="9"/>
      <c r="R48" s="9"/>
    </row>
    <row r="49" spans="1:18">
      <c r="A49" t="s">
        <v>733</v>
      </c>
      <c r="B49" s="27">
        <v>3700</v>
      </c>
      <c r="C49" s="27">
        <v>485</v>
      </c>
      <c r="D49" s="1"/>
      <c r="J49">
        <f t="shared" si="3"/>
        <v>2</v>
      </c>
      <c r="M49" s="9"/>
      <c r="N49" s="42"/>
      <c r="O49" s="9"/>
      <c r="P49" s="10"/>
      <c r="Q49" s="9"/>
      <c r="R49" s="9"/>
    </row>
    <row r="50" spans="1:18">
      <c r="A50" t="s">
        <v>734</v>
      </c>
      <c r="B50" s="27">
        <v>3900</v>
      </c>
      <c r="C50" s="27">
        <v>1155</v>
      </c>
      <c r="D50" s="1"/>
      <c r="J50">
        <f t="shared" si="3"/>
        <v>5</v>
      </c>
      <c r="M50" s="9"/>
      <c r="N50" s="42"/>
      <c r="O50" s="9"/>
      <c r="P50" s="10"/>
      <c r="Q50" s="9"/>
      <c r="R50" s="9"/>
    </row>
    <row r="51" spans="1:18">
      <c r="A51" t="s">
        <v>735</v>
      </c>
      <c r="B51" s="27">
        <v>4200</v>
      </c>
      <c r="C51" s="27">
        <v>1127</v>
      </c>
      <c r="D51" s="1"/>
      <c r="J51">
        <f t="shared" si="3"/>
        <v>5</v>
      </c>
      <c r="M51" s="9"/>
      <c r="N51" s="42"/>
      <c r="O51" s="9"/>
      <c r="P51" s="10"/>
      <c r="Q51" s="9"/>
      <c r="R51" s="9"/>
    </row>
    <row r="52" spans="1:18">
      <c r="A52" t="s">
        <v>736</v>
      </c>
      <c r="B52" s="27">
        <v>4600</v>
      </c>
      <c r="C52" s="27">
        <v>1010</v>
      </c>
      <c r="D52" s="1"/>
      <c r="J52">
        <f t="shared" si="3"/>
        <v>5</v>
      </c>
      <c r="M52" s="9"/>
      <c r="N52" s="42"/>
      <c r="O52" s="9"/>
      <c r="P52" s="10"/>
      <c r="Q52" s="9"/>
      <c r="R52" s="9"/>
    </row>
    <row r="53" spans="1:18">
      <c r="A53" t="s">
        <v>737</v>
      </c>
      <c r="B53" s="27">
        <v>4900</v>
      </c>
      <c r="C53" s="27">
        <v>1088</v>
      </c>
      <c r="D53" s="1"/>
      <c r="J53">
        <f t="shared" si="3"/>
        <v>5</v>
      </c>
      <c r="M53" s="9"/>
      <c r="N53" s="42"/>
      <c r="O53" s="9"/>
      <c r="P53" s="10"/>
      <c r="Q53" s="9"/>
      <c r="R53" s="9"/>
    </row>
    <row r="54" spans="1:18">
      <c r="B54" s="27"/>
      <c r="C54" s="27">
        <f>SUM(C39:C53)</f>
        <v>17326</v>
      </c>
      <c r="D54" s="1"/>
      <c r="J54">
        <f>SUM(J39:J53)</f>
        <v>77</v>
      </c>
      <c r="M54" s="9"/>
      <c r="N54" s="42"/>
      <c r="O54" s="9"/>
      <c r="P54" s="10"/>
      <c r="Q54" s="9"/>
      <c r="R54" s="9"/>
    </row>
    <row r="55" spans="1:18">
      <c r="A55" t="s">
        <v>372</v>
      </c>
      <c r="B55" s="27"/>
      <c r="C55" s="27"/>
      <c r="D55" s="1"/>
      <c r="E55">
        <f>支渠!E6</f>
        <v>9210</v>
      </c>
      <c r="M55" s="9">
        <v>28</v>
      </c>
      <c r="N55" s="42"/>
      <c r="O55" s="9" t="str">
        <f t="shared" ref="O55:P59" si="17">A60</f>
        <v>1-4-5斗渠</v>
      </c>
      <c r="P55" s="10">
        <f t="shared" si="17"/>
        <v>2600</v>
      </c>
      <c r="Q55" s="9" t="str">
        <f>Q46</f>
        <v>U80</v>
      </c>
      <c r="R55" s="9" t="str">
        <f t="shared" ref="R55:R59" si="18">I60</f>
        <v>U50</v>
      </c>
    </row>
    <row r="56" spans="1:18">
      <c r="A56" t="s">
        <v>507</v>
      </c>
      <c r="B56" s="27">
        <v>50</v>
      </c>
      <c r="C56" s="27">
        <v>1050</v>
      </c>
      <c r="D56" s="1"/>
      <c r="E56">
        <f>ROUND(G56,-1)</f>
        <v>1820</v>
      </c>
      <c r="F56">
        <v>1215690</v>
      </c>
      <c r="G56">
        <f t="shared" si="10"/>
        <v>1822.6236881559221</v>
      </c>
      <c r="H56">
        <f t="shared" si="11"/>
        <v>0.06</v>
      </c>
      <c r="I56" t="s">
        <v>638</v>
      </c>
      <c r="J56">
        <f t="shared" si="3"/>
        <v>5</v>
      </c>
      <c r="M56" s="9">
        <v>29</v>
      </c>
      <c r="N56" s="42"/>
      <c r="O56" s="9" t="str">
        <f t="shared" si="17"/>
        <v>1-4-6斗渠</v>
      </c>
      <c r="P56" s="10">
        <f t="shared" si="17"/>
        <v>3050</v>
      </c>
      <c r="Q56" s="9" t="s">
        <v>704</v>
      </c>
      <c r="R56" s="9" t="str">
        <f t="shared" si="18"/>
        <v>U50</v>
      </c>
    </row>
    <row r="57" spans="1:18">
      <c r="A57" t="s">
        <v>508</v>
      </c>
      <c r="B57" s="27">
        <v>650</v>
      </c>
      <c r="C57" s="27">
        <v>1007</v>
      </c>
      <c r="D57" s="1"/>
      <c r="E57">
        <f t="shared" ref="E57:E63" si="19">ROUND(G57,-1)</f>
        <v>1320</v>
      </c>
      <c r="F57">
        <v>880711</v>
      </c>
      <c r="G57">
        <f t="shared" si="10"/>
        <v>1320.4062968515743</v>
      </c>
      <c r="H57">
        <f t="shared" si="11"/>
        <v>0.04</v>
      </c>
      <c r="I57" t="s">
        <v>638</v>
      </c>
      <c r="J57">
        <f t="shared" si="3"/>
        <v>5</v>
      </c>
      <c r="M57" s="9">
        <v>30</v>
      </c>
      <c r="N57" s="42"/>
      <c r="O57" s="9" t="str">
        <f t="shared" si="17"/>
        <v>1-4-7斗渠</v>
      </c>
      <c r="P57" s="10">
        <f t="shared" si="17"/>
        <v>3450</v>
      </c>
      <c r="Q57" s="9" t="str">
        <f t="shared" si="16"/>
        <v>U60</v>
      </c>
      <c r="R57" s="9" t="str">
        <f t="shared" si="18"/>
        <v>U50</v>
      </c>
    </row>
    <row r="58" spans="1:18">
      <c r="A58" t="s">
        <v>509</v>
      </c>
      <c r="B58" s="27">
        <v>1450</v>
      </c>
      <c r="C58" s="27">
        <v>1232</v>
      </c>
      <c r="D58" s="1"/>
      <c r="E58">
        <f t="shared" si="19"/>
        <v>1440</v>
      </c>
      <c r="F58">
        <v>959195</v>
      </c>
      <c r="G58">
        <f t="shared" si="10"/>
        <v>1438.0734632683659</v>
      </c>
      <c r="H58">
        <f t="shared" si="11"/>
        <v>0.05</v>
      </c>
      <c r="I58" t="s">
        <v>638</v>
      </c>
      <c r="J58">
        <f t="shared" si="3"/>
        <v>5</v>
      </c>
      <c r="M58" s="9">
        <v>31</v>
      </c>
      <c r="N58" s="42"/>
      <c r="O58" s="9" t="str">
        <f t="shared" si="17"/>
        <v>1-4-8斗渠</v>
      </c>
      <c r="P58" s="10">
        <f t="shared" si="17"/>
        <v>3850</v>
      </c>
      <c r="Q58" s="9" t="str">
        <f t="shared" si="16"/>
        <v>U60</v>
      </c>
      <c r="R58" s="9" t="str">
        <f t="shared" si="18"/>
        <v>U50</v>
      </c>
    </row>
    <row r="59" spans="1:18">
      <c r="A59" t="s">
        <v>510</v>
      </c>
      <c r="B59" s="27">
        <v>2100</v>
      </c>
      <c r="C59" s="27">
        <v>1193</v>
      </c>
      <c r="D59" s="1"/>
      <c r="E59">
        <f t="shared" si="19"/>
        <v>920</v>
      </c>
      <c r="F59">
        <v>614266</v>
      </c>
      <c r="G59">
        <f t="shared" si="10"/>
        <v>920.93853073463265</v>
      </c>
      <c r="H59">
        <f t="shared" si="11"/>
        <v>0.03</v>
      </c>
      <c r="I59" t="s">
        <v>638</v>
      </c>
      <c r="J59">
        <f t="shared" si="3"/>
        <v>5</v>
      </c>
      <c r="M59" s="9">
        <v>32</v>
      </c>
      <c r="N59" s="41"/>
      <c r="O59" s="9" t="str">
        <f t="shared" si="17"/>
        <v>1-4-9斗渠</v>
      </c>
      <c r="P59" s="10">
        <f t="shared" si="17"/>
        <v>4150</v>
      </c>
      <c r="Q59" s="9" t="str">
        <f t="shared" si="16"/>
        <v>U60</v>
      </c>
      <c r="R59" s="9" t="str">
        <f t="shared" si="18"/>
        <v>U50</v>
      </c>
    </row>
    <row r="60" spans="1:18">
      <c r="A60" t="s">
        <v>511</v>
      </c>
      <c r="B60" s="27">
        <v>2600</v>
      </c>
      <c r="C60" s="27">
        <v>1264</v>
      </c>
      <c r="D60" s="1"/>
      <c r="E60">
        <f t="shared" si="19"/>
        <v>1080</v>
      </c>
      <c r="F60">
        <v>719843</v>
      </c>
      <c r="G60">
        <f t="shared" si="10"/>
        <v>1079.2248875562218</v>
      </c>
      <c r="H60">
        <f t="shared" si="11"/>
        <v>0.03</v>
      </c>
      <c r="I60" t="s">
        <v>638</v>
      </c>
      <c r="J60">
        <f t="shared" si="3"/>
        <v>6</v>
      </c>
      <c r="M60" s="9">
        <v>33</v>
      </c>
      <c r="N60" s="40" t="s">
        <v>709</v>
      </c>
      <c r="O60" s="9" t="str">
        <f t="shared" ref="O60:P62" si="20">A70</f>
        <v>1-5-1斗渠</v>
      </c>
      <c r="P60" s="10">
        <f t="shared" si="20"/>
        <v>50</v>
      </c>
      <c r="Q60" s="9" t="s">
        <v>704</v>
      </c>
      <c r="R60" s="9" t="str">
        <f>I70</f>
        <v>U50</v>
      </c>
    </row>
    <row r="61" spans="1:18">
      <c r="A61" t="s">
        <v>512</v>
      </c>
      <c r="B61" s="27">
        <v>3050</v>
      </c>
      <c r="C61" s="27">
        <v>1675</v>
      </c>
      <c r="D61" s="1"/>
      <c r="E61">
        <f t="shared" si="19"/>
        <v>830</v>
      </c>
      <c r="F61">
        <v>552669</v>
      </c>
      <c r="G61">
        <f t="shared" si="10"/>
        <v>828.58920539730138</v>
      </c>
      <c r="H61">
        <f t="shared" si="11"/>
        <v>0.03</v>
      </c>
      <c r="I61" t="s">
        <v>638</v>
      </c>
      <c r="J61">
        <f t="shared" si="3"/>
        <v>7</v>
      </c>
      <c r="M61" s="9">
        <v>34</v>
      </c>
      <c r="N61" s="42"/>
      <c r="O61" s="9" t="str">
        <f t="shared" si="20"/>
        <v>1-5-2斗渠</v>
      </c>
      <c r="P61" s="10">
        <f t="shared" si="20"/>
        <v>450</v>
      </c>
      <c r="Q61" s="9" t="str">
        <f>Q60</f>
        <v>U60</v>
      </c>
      <c r="R61" s="9" t="str">
        <f t="shared" ref="R61:R62" si="21">I71</f>
        <v>U50</v>
      </c>
    </row>
    <row r="62" spans="1:18">
      <c r="A62" t="s">
        <v>513</v>
      </c>
      <c r="B62" s="27">
        <v>3450</v>
      </c>
      <c r="C62" s="27">
        <v>1525</v>
      </c>
      <c r="D62" s="1"/>
      <c r="E62">
        <f t="shared" si="19"/>
        <v>640</v>
      </c>
      <c r="F62">
        <v>425408</v>
      </c>
      <c r="G62">
        <f t="shared" si="10"/>
        <v>637.79310344827582</v>
      </c>
      <c r="H62">
        <f t="shared" si="11"/>
        <v>0.02</v>
      </c>
      <c r="I62" t="s">
        <v>638</v>
      </c>
      <c r="J62">
        <f t="shared" si="3"/>
        <v>7</v>
      </c>
      <c r="M62" s="9">
        <v>35</v>
      </c>
      <c r="N62" s="41"/>
      <c r="O62" s="9" t="str">
        <f t="shared" si="20"/>
        <v>1-5-3斗渠</v>
      </c>
      <c r="P62" s="10">
        <f t="shared" si="20"/>
        <v>900</v>
      </c>
      <c r="Q62" s="9" t="str">
        <f t="shared" ref="Q62:Q142" si="22">Q61</f>
        <v>U60</v>
      </c>
      <c r="R62" s="9" t="str">
        <f t="shared" si="21"/>
        <v>U50</v>
      </c>
    </row>
    <row r="63" spans="1:18">
      <c r="A63" t="s">
        <v>514</v>
      </c>
      <c r="B63" s="27">
        <v>3850</v>
      </c>
      <c r="C63" s="27">
        <v>1164</v>
      </c>
      <c r="D63" s="1"/>
      <c r="E63">
        <f t="shared" si="19"/>
        <v>400</v>
      </c>
      <c r="F63">
        <v>269206</v>
      </c>
      <c r="G63">
        <f t="shared" si="10"/>
        <v>403.60719640179911</v>
      </c>
      <c r="H63">
        <f t="shared" si="11"/>
        <v>0.01</v>
      </c>
      <c r="I63" t="s">
        <v>638</v>
      </c>
      <c r="J63">
        <f t="shared" si="3"/>
        <v>5</v>
      </c>
      <c r="M63" s="9">
        <v>36</v>
      </c>
      <c r="N63" s="40" t="s">
        <v>710</v>
      </c>
      <c r="O63" s="9" t="str">
        <f>A78</f>
        <v>2-1-1斗渠</v>
      </c>
      <c r="P63" s="10" t="e">
        <f>#REF!</f>
        <v>#REF!</v>
      </c>
      <c r="Q63" s="9" t="s">
        <v>701</v>
      </c>
      <c r="R63" s="9" t="str">
        <f>I78</f>
        <v>U50</v>
      </c>
    </row>
    <row r="64" spans="1:18">
      <c r="A64" t="s">
        <v>515</v>
      </c>
      <c r="B64" s="27">
        <v>4150</v>
      </c>
      <c r="C64" s="27">
        <v>924</v>
      </c>
      <c r="D64" s="1"/>
      <c r="E64">
        <f>E55-E56-E57-E58-E59-E60-E61-E62-E63</f>
        <v>760</v>
      </c>
      <c r="G64">
        <f t="shared" si="10"/>
        <v>0</v>
      </c>
      <c r="H64">
        <f t="shared" si="11"/>
        <v>0.02</v>
      </c>
      <c r="I64" t="s">
        <v>638</v>
      </c>
      <c r="J64">
        <f t="shared" si="3"/>
        <v>4</v>
      </c>
      <c r="M64" s="9">
        <v>37</v>
      </c>
      <c r="N64" s="42"/>
      <c r="O64" s="9" t="str">
        <f>A79</f>
        <v>2-1-2斗渠</v>
      </c>
      <c r="P64" s="10" t="e">
        <f>#REF!</f>
        <v>#REF!</v>
      </c>
      <c r="Q64" s="9" t="str">
        <f t="shared" si="22"/>
        <v>U80</v>
      </c>
      <c r="R64" s="9" t="str">
        <f>I79</f>
        <v>U50</v>
      </c>
    </row>
    <row r="65" spans="1:18">
      <c r="A65" t="s">
        <v>738</v>
      </c>
      <c r="B65" s="27">
        <v>4500</v>
      </c>
      <c r="C65" s="27">
        <v>751</v>
      </c>
      <c r="D65" s="1"/>
      <c r="J65">
        <f t="shared" si="3"/>
        <v>4</v>
      </c>
      <c r="M65" s="9"/>
      <c r="N65" s="42"/>
      <c r="O65" s="9"/>
      <c r="P65" s="10"/>
      <c r="Q65" s="9"/>
      <c r="R65" s="9"/>
    </row>
    <row r="66" spans="1:18">
      <c r="A66" t="s">
        <v>739</v>
      </c>
      <c r="B66" s="27">
        <v>4950</v>
      </c>
      <c r="C66" s="27">
        <v>573</v>
      </c>
      <c r="D66" s="1"/>
      <c r="J66">
        <f t="shared" si="3"/>
        <v>3</v>
      </c>
      <c r="M66" s="9"/>
      <c r="N66" s="42"/>
      <c r="O66" s="9"/>
      <c r="P66" s="10"/>
      <c r="Q66" s="9"/>
      <c r="R66" s="9"/>
    </row>
    <row r="67" spans="1:18">
      <c r="A67" t="s">
        <v>740</v>
      </c>
      <c r="B67" s="27">
        <v>5310</v>
      </c>
      <c r="C67" s="27">
        <v>624</v>
      </c>
      <c r="D67" s="1"/>
      <c r="J67">
        <f t="shared" si="3"/>
        <v>3</v>
      </c>
      <c r="M67" s="9"/>
      <c r="N67" s="42"/>
      <c r="O67" s="9"/>
      <c r="P67" s="10"/>
      <c r="Q67" s="9"/>
      <c r="R67" s="9"/>
    </row>
    <row r="68" spans="1:18">
      <c r="B68" s="27"/>
      <c r="C68" s="27">
        <f>SUM(C56:C67)</f>
        <v>12982</v>
      </c>
      <c r="D68" s="1"/>
      <c r="J68">
        <f>SUM(J56:J67)</f>
        <v>59</v>
      </c>
      <c r="M68" s="9">
        <v>38</v>
      </c>
      <c r="N68" s="42"/>
      <c r="O68" s="9" t="str">
        <f>A80</f>
        <v>2-1-3斗渠</v>
      </c>
      <c r="P68" s="10" t="e">
        <f>#REF!</f>
        <v>#REF!</v>
      </c>
      <c r="Q68" s="9" t="str">
        <f>Q64</f>
        <v>U80</v>
      </c>
      <c r="R68" s="9" t="str">
        <f>I80</f>
        <v>U50</v>
      </c>
    </row>
    <row r="69" spans="1:18">
      <c r="A69" t="s">
        <v>373</v>
      </c>
      <c r="B69" s="27"/>
      <c r="C69" s="27"/>
      <c r="D69" s="1"/>
      <c r="E69">
        <f>支渠!E7</f>
        <v>3850</v>
      </c>
      <c r="M69" s="9">
        <v>39</v>
      </c>
      <c r="N69" s="42"/>
      <c r="O69" s="9" t="str">
        <f>A81</f>
        <v>2-1-4斗渠</v>
      </c>
      <c r="P69" s="10" t="e">
        <f>#REF!</f>
        <v>#REF!</v>
      </c>
      <c r="Q69" s="9" t="str">
        <f t="shared" si="22"/>
        <v>U80</v>
      </c>
      <c r="R69" s="9" t="str">
        <f>I81</f>
        <v>U50</v>
      </c>
    </row>
    <row r="70" spans="1:18">
      <c r="A70" t="s">
        <v>516</v>
      </c>
      <c r="B70" s="27">
        <v>50</v>
      </c>
      <c r="C70" s="27">
        <v>1427</v>
      </c>
      <c r="D70" s="1"/>
      <c r="E70">
        <f>ROUND(G70*0.9,-1)</f>
        <v>1300</v>
      </c>
      <c r="F70">
        <v>964271</v>
      </c>
      <c r="G70">
        <f t="shared" si="10"/>
        <v>1445.6836581709144</v>
      </c>
      <c r="H70">
        <f t="shared" si="11"/>
        <v>0.04</v>
      </c>
      <c r="I70" t="s">
        <v>638</v>
      </c>
      <c r="J70">
        <f t="shared" si="3"/>
        <v>6</v>
      </c>
      <c r="M70" s="9">
        <v>40</v>
      </c>
      <c r="N70" s="42"/>
      <c r="O70" s="9" t="str">
        <f>A82</f>
        <v>2-1-5斗渠</v>
      </c>
      <c r="P70" s="10" t="e">
        <f>#REF!</f>
        <v>#REF!</v>
      </c>
      <c r="Q70" s="9" t="str">
        <f t="shared" si="22"/>
        <v>U80</v>
      </c>
      <c r="R70" s="9" t="str">
        <f>I82</f>
        <v>U50</v>
      </c>
    </row>
    <row r="71" spans="1:18">
      <c r="A71" t="s">
        <v>517</v>
      </c>
      <c r="B71" s="27">
        <v>450</v>
      </c>
      <c r="C71" s="27">
        <v>1015</v>
      </c>
      <c r="D71" s="1"/>
      <c r="E71">
        <f>ROUND(G71*0.9,-1)</f>
        <v>1520</v>
      </c>
      <c r="F71">
        <v>1128066</v>
      </c>
      <c r="G71">
        <f t="shared" si="10"/>
        <v>1691.2533733133432</v>
      </c>
      <c r="H71">
        <f t="shared" si="11"/>
        <v>0.05</v>
      </c>
      <c r="I71" t="s">
        <v>638</v>
      </c>
      <c r="J71">
        <f t="shared" si="3"/>
        <v>5</v>
      </c>
      <c r="M71" s="9">
        <v>41</v>
      </c>
      <c r="N71" s="42"/>
      <c r="O71" s="9" t="str">
        <f>A83</f>
        <v>2-1-6斗渠</v>
      </c>
      <c r="P71" s="10" t="e">
        <f>#REF!</f>
        <v>#REF!</v>
      </c>
      <c r="Q71" s="9" t="str">
        <f t="shared" si="22"/>
        <v>U80</v>
      </c>
      <c r="R71" s="9" t="str">
        <f>I83</f>
        <v>U50</v>
      </c>
    </row>
    <row r="72" spans="1:18">
      <c r="A72" t="s">
        <v>518</v>
      </c>
      <c r="B72" s="27">
        <v>900</v>
      </c>
      <c r="C72" s="27">
        <v>1015</v>
      </c>
      <c r="D72" s="1"/>
      <c r="E72">
        <f>E69-E70-E71</f>
        <v>1030</v>
      </c>
      <c r="G72">
        <f t="shared" si="10"/>
        <v>0</v>
      </c>
      <c r="H72">
        <f t="shared" si="11"/>
        <v>0.03</v>
      </c>
      <c r="I72" t="s">
        <v>638</v>
      </c>
      <c r="J72">
        <f t="shared" si="3"/>
        <v>5</v>
      </c>
      <c r="M72" s="9">
        <v>42</v>
      </c>
      <c r="N72" s="42"/>
      <c r="O72" s="9" t="str">
        <f>A84</f>
        <v>2-1-7斗渠</v>
      </c>
      <c r="P72" s="10" t="e">
        <f>#REF!</f>
        <v>#REF!</v>
      </c>
      <c r="Q72" s="9" t="str">
        <f t="shared" si="22"/>
        <v>U80</v>
      </c>
      <c r="R72" s="9" t="str">
        <f>I84</f>
        <v>U50</v>
      </c>
    </row>
    <row r="73" spans="1:18">
      <c r="A73" t="s">
        <v>741</v>
      </c>
      <c r="B73" s="27">
        <v>1400</v>
      </c>
      <c r="C73" s="27">
        <v>1015</v>
      </c>
      <c r="D73" s="1"/>
      <c r="J73">
        <f t="shared" si="3"/>
        <v>5</v>
      </c>
      <c r="M73" s="9"/>
      <c r="N73" s="42"/>
      <c r="O73" s="9"/>
      <c r="P73" s="10"/>
      <c r="Q73" s="9"/>
      <c r="R73" s="9"/>
    </row>
    <row r="74" spans="1:18">
      <c r="A74" t="s">
        <v>742</v>
      </c>
      <c r="B74" s="27">
        <v>2000</v>
      </c>
      <c r="C74" s="27">
        <v>1015</v>
      </c>
      <c r="D74" s="1"/>
      <c r="J74">
        <f t="shared" ref="J74:J137" si="23">ROUNDUP(C74/250,0)</f>
        <v>5</v>
      </c>
      <c r="M74" s="9"/>
      <c r="N74" s="42"/>
      <c r="O74" s="9"/>
      <c r="P74" s="10"/>
      <c r="Q74" s="9"/>
      <c r="R74" s="9"/>
    </row>
    <row r="75" spans="1:18">
      <c r="A75" t="s">
        <v>743</v>
      </c>
      <c r="B75" s="27">
        <v>2545</v>
      </c>
      <c r="C75" s="27">
        <v>572</v>
      </c>
      <c r="D75" s="1"/>
      <c r="J75">
        <f t="shared" si="23"/>
        <v>3</v>
      </c>
      <c r="M75" s="9"/>
      <c r="N75" s="42"/>
      <c r="O75" s="9"/>
      <c r="P75" s="10"/>
      <c r="Q75" s="9"/>
      <c r="R75" s="9"/>
    </row>
    <row r="76" spans="1:18">
      <c r="B76" s="27"/>
      <c r="C76" s="27">
        <f>SUM(C70:C75)</f>
        <v>6059</v>
      </c>
      <c r="D76" s="1"/>
      <c r="J76">
        <f>SUM(J70:J75)</f>
        <v>29</v>
      </c>
      <c r="M76" s="9">
        <v>43</v>
      </c>
      <c r="N76" s="42"/>
      <c r="O76" s="9" t="str">
        <f t="shared" ref="O76:O82" si="24">A85</f>
        <v>2-1-8斗渠</v>
      </c>
      <c r="P76" s="10" t="e">
        <f>#REF!</f>
        <v>#REF!</v>
      </c>
      <c r="Q76" s="9" t="s">
        <v>704</v>
      </c>
      <c r="R76" s="9" t="str">
        <f t="shared" ref="R76:R82" si="25">I85</f>
        <v>U50</v>
      </c>
    </row>
    <row r="77" spans="1:18">
      <c r="A77" t="s">
        <v>544</v>
      </c>
      <c r="B77" s="27"/>
      <c r="C77" s="27"/>
      <c r="D77" s="1"/>
      <c r="E77">
        <v>13090</v>
      </c>
      <c r="M77" s="9">
        <v>44</v>
      </c>
      <c r="N77" s="42"/>
      <c r="O77" s="9" t="str">
        <f t="shared" si="24"/>
        <v>2-1-9斗渠</v>
      </c>
      <c r="P77" s="10" t="e">
        <f>#REF!</f>
        <v>#REF!</v>
      </c>
      <c r="Q77" s="9" t="str">
        <f t="shared" si="22"/>
        <v>U60</v>
      </c>
      <c r="R77" s="9" t="str">
        <f t="shared" si="25"/>
        <v>U50</v>
      </c>
    </row>
    <row r="78" spans="1:18">
      <c r="A78" t="s">
        <v>545</v>
      </c>
      <c r="B78" s="27">
        <v>70</v>
      </c>
      <c r="C78" s="27">
        <v>1567</v>
      </c>
      <c r="D78" s="1"/>
      <c r="E78">
        <f>ROUND(G78*1.1,-1)</f>
        <v>1990</v>
      </c>
      <c r="F78">
        <v>1207829</v>
      </c>
      <c r="G78">
        <f>F78/667</f>
        <v>1810.8380809595203</v>
      </c>
      <c r="H78">
        <f t="shared" si="11"/>
        <v>0.06</v>
      </c>
      <c r="I78" t="s">
        <v>638</v>
      </c>
      <c r="J78">
        <f t="shared" si="23"/>
        <v>7</v>
      </c>
      <c r="M78" s="9">
        <v>45</v>
      </c>
      <c r="N78" s="42"/>
      <c r="O78" s="9" t="str">
        <f t="shared" si="24"/>
        <v>2-1-10斗渠</v>
      </c>
      <c r="P78" s="10" t="e">
        <f>#REF!</f>
        <v>#REF!</v>
      </c>
      <c r="Q78" s="9" t="str">
        <f t="shared" si="22"/>
        <v>U60</v>
      </c>
      <c r="R78" s="9" t="str">
        <f t="shared" si="25"/>
        <v>U50</v>
      </c>
    </row>
    <row r="79" spans="1:18">
      <c r="A79" t="s">
        <v>546</v>
      </c>
      <c r="B79" s="27">
        <v>70</v>
      </c>
      <c r="C79" s="27">
        <v>958</v>
      </c>
      <c r="D79" s="1"/>
      <c r="E79">
        <f t="shared" ref="E79:E90" si="26">ROUND(G79*1.1,-1)</f>
        <v>1140</v>
      </c>
      <c r="F79">
        <v>693506</v>
      </c>
      <c r="G79">
        <f t="shared" ref="G79:G166" si="27">F79/667</f>
        <v>1039.7391304347825</v>
      </c>
      <c r="H79">
        <f t="shared" si="11"/>
        <v>0.04</v>
      </c>
      <c r="I79" t="s">
        <v>638</v>
      </c>
      <c r="J79">
        <f t="shared" si="23"/>
        <v>4</v>
      </c>
      <c r="M79" s="9">
        <v>46</v>
      </c>
      <c r="N79" s="42"/>
      <c r="O79" s="9" t="str">
        <f t="shared" si="24"/>
        <v>2-1-11斗渠</v>
      </c>
      <c r="P79" s="10" t="e">
        <f>#REF!</f>
        <v>#REF!</v>
      </c>
      <c r="Q79" s="9" t="str">
        <f t="shared" si="22"/>
        <v>U60</v>
      </c>
      <c r="R79" s="9" t="str">
        <f t="shared" si="25"/>
        <v>U50</v>
      </c>
    </row>
    <row r="80" spans="1:18">
      <c r="A80" t="s">
        <v>547</v>
      </c>
      <c r="B80" s="27">
        <v>400</v>
      </c>
      <c r="C80" s="27">
        <v>868</v>
      </c>
      <c r="D80" s="1"/>
      <c r="E80">
        <f t="shared" si="26"/>
        <v>1520</v>
      </c>
      <c r="F80">
        <v>924078</v>
      </c>
      <c r="G80">
        <f t="shared" si="27"/>
        <v>1385.4242878560719</v>
      </c>
      <c r="H80">
        <f t="shared" si="11"/>
        <v>0.05</v>
      </c>
      <c r="I80" t="s">
        <v>638</v>
      </c>
      <c r="J80">
        <f t="shared" si="23"/>
        <v>4</v>
      </c>
      <c r="M80" s="9">
        <v>47</v>
      </c>
      <c r="N80" s="42"/>
      <c r="O80" s="9" t="str">
        <f t="shared" si="24"/>
        <v>2-1-12斗渠</v>
      </c>
      <c r="P80" s="10" t="e">
        <f>#REF!</f>
        <v>#REF!</v>
      </c>
      <c r="Q80" s="9" t="str">
        <f t="shared" si="22"/>
        <v>U60</v>
      </c>
      <c r="R80" s="9" t="str">
        <f t="shared" si="25"/>
        <v>U50</v>
      </c>
    </row>
    <row r="81" spans="1:18">
      <c r="A81" t="s">
        <v>548</v>
      </c>
      <c r="B81" s="27">
        <v>410</v>
      </c>
      <c r="C81" s="27">
        <v>1638</v>
      </c>
      <c r="D81" s="1"/>
      <c r="E81">
        <f t="shared" si="26"/>
        <v>950</v>
      </c>
      <c r="F81">
        <v>577123</v>
      </c>
      <c r="G81">
        <f t="shared" si="27"/>
        <v>865.25187406296857</v>
      </c>
      <c r="H81">
        <f t="shared" si="11"/>
        <v>0.03</v>
      </c>
      <c r="I81" t="s">
        <v>638</v>
      </c>
      <c r="J81">
        <f t="shared" si="23"/>
        <v>7</v>
      </c>
      <c r="M81" s="9">
        <v>48</v>
      </c>
      <c r="N81" s="42"/>
      <c r="O81" s="9" t="str">
        <f t="shared" si="24"/>
        <v>2-1-13斗渠</v>
      </c>
      <c r="P81" s="10" t="e">
        <f>#REF!</f>
        <v>#REF!</v>
      </c>
      <c r="Q81" s="9" t="str">
        <f t="shared" si="22"/>
        <v>U60</v>
      </c>
      <c r="R81" s="9" t="str">
        <f t="shared" si="25"/>
        <v>U50</v>
      </c>
    </row>
    <row r="82" spans="1:18">
      <c r="A82" t="s">
        <v>549</v>
      </c>
      <c r="B82" s="27">
        <v>770</v>
      </c>
      <c r="C82" s="27">
        <v>1537</v>
      </c>
      <c r="D82" s="1"/>
      <c r="E82">
        <f t="shared" si="26"/>
        <v>1270</v>
      </c>
      <c r="F82">
        <v>772110</v>
      </c>
      <c r="G82">
        <f t="shared" si="27"/>
        <v>1157.5862068965516</v>
      </c>
      <c r="H82">
        <f t="shared" si="11"/>
        <v>0.04</v>
      </c>
      <c r="I82" t="s">
        <v>638</v>
      </c>
      <c r="J82">
        <f t="shared" si="23"/>
        <v>7</v>
      </c>
      <c r="M82" s="9">
        <v>49</v>
      </c>
      <c r="N82" s="41"/>
      <c r="O82" s="9" t="str">
        <f t="shared" si="24"/>
        <v>2-1-14斗渠</v>
      </c>
      <c r="P82" s="10" t="e">
        <f>#REF!</f>
        <v>#REF!</v>
      </c>
      <c r="Q82" s="9" t="str">
        <f t="shared" si="22"/>
        <v>U60</v>
      </c>
      <c r="R82" s="9" t="str">
        <f t="shared" si="25"/>
        <v>U50</v>
      </c>
    </row>
    <row r="83" spans="1:18">
      <c r="A83" t="s">
        <v>550</v>
      </c>
      <c r="B83" s="27">
        <v>800</v>
      </c>
      <c r="C83" s="27">
        <v>844</v>
      </c>
      <c r="D83" s="1"/>
      <c r="E83">
        <f t="shared" si="26"/>
        <v>750</v>
      </c>
      <c r="F83">
        <v>454955</v>
      </c>
      <c r="G83">
        <f t="shared" si="27"/>
        <v>682.09145427286353</v>
      </c>
      <c r="H83">
        <f t="shared" si="11"/>
        <v>0.02</v>
      </c>
      <c r="I83" t="s">
        <v>638</v>
      </c>
      <c r="J83">
        <f t="shared" si="23"/>
        <v>4</v>
      </c>
      <c r="M83" s="9">
        <v>50</v>
      </c>
      <c r="N83" s="40" t="s">
        <v>711</v>
      </c>
      <c r="O83" s="9" t="str">
        <f t="shared" ref="O83:P89" si="28">A102</f>
        <v>2-2-1斗渠</v>
      </c>
      <c r="P83" s="10">
        <f t="shared" si="28"/>
        <v>50</v>
      </c>
      <c r="Q83" s="9" t="str">
        <f t="shared" si="22"/>
        <v>U60</v>
      </c>
      <c r="R83" s="9" t="str">
        <f>I102</f>
        <v>U50</v>
      </c>
    </row>
    <row r="84" spans="1:18">
      <c r="A84" t="s">
        <v>551</v>
      </c>
      <c r="B84" s="27">
        <v>1150</v>
      </c>
      <c r="C84" s="27">
        <v>1509</v>
      </c>
      <c r="D84" s="1"/>
      <c r="E84">
        <f t="shared" si="26"/>
        <v>890</v>
      </c>
      <c r="F84">
        <v>537534</v>
      </c>
      <c r="G84">
        <f t="shared" si="27"/>
        <v>805.89805097451278</v>
      </c>
      <c r="H84">
        <f t="shared" si="11"/>
        <v>0.03</v>
      </c>
      <c r="I84" t="s">
        <v>638</v>
      </c>
      <c r="J84">
        <f t="shared" si="23"/>
        <v>7</v>
      </c>
      <c r="M84" s="9">
        <v>51</v>
      </c>
      <c r="N84" s="42"/>
      <c r="O84" s="9" t="str">
        <f t="shared" si="28"/>
        <v>2-2-2斗渠</v>
      </c>
      <c r="P84" s="10">
        <f t="shared" si="28"/>
        <v>550</v>
      </c>
      <c r="Q84" s="9" t="str">
        <f t="shared" si="22"/>
        <v>U60</v>
      </c>
      <c r="R84" s="9" t="str">
        <f t="shared" ref="R84:R90" si="29">I103</f>
        <v>U50</v>
      </c>
    </row>
    <row r="85" spans="1:18">
      <c r="A85" t="s">
        <v>552</v>
      </c>
      <c r="B85" s="27">
        <v>1200</v>
      </c>
      <c r="C85" s="27">
        <v>801</v>
      </c>
      <c r="D85" s="1"/>
      <c r="E85">
        <f t="shared" si="26"/>
        <v>640</v>
      </c>
      <c r="F85">
        <v>387452</v>
      </c>
      <c r="G85">
        <f t="shared" si="27"/>
        <v>580.8875562218891</v>
      </c>
      <c r="H85">
        <f t="shared" si="11"/>
        <v>0.02</v>
      </c>
      <c r="I85" t="s">
        <v>638</v>
      </c>
      <c r="J85">
        <f t="shared" si="23"/>
        <v>4</v>
      </c>
      <c r="M85" s="9">
        <v>52</v>
      </c>
      <c r="N85" s="42"/>
      <c r="O85" s="9" t="str">
        <f t="shared" si="28"/>
        <v>2-2-3斗渠</v>
      </c>
      <c r="P85" s="10">
        <f t="shared" si="28"/>
        <v>1050</v>
      </c>
      <c r="Q85" s="9" t="str">
        <f t="shared" si="22"/>
        <v>U60</v>
      </c>
      <c r="R85" s="9" t="str">
        <f t="shared" si="29"/>
        <v>U50</v>
      </c>
    </row>
    <row r="86" spans="1:18">
      <c r="A86" t="s">
        <v>553</v>
      </c>
      <c r="B86" s="27">
        <v>1470</v>
      </c>
      <c r="C86" s="27">
        <v>1392</v>
      </c>
      <c r="D86" s="1"/>
      <c r="E86">
        <f t="shared" si="26"/>
        <v>620</v>
      </c>
      <c r="F86">
        <v>374960</v>
      </c>
      <c r="G86">
        <f t="shared" si="27"/>
        <v>562.15892053973016</v>
      </c>
      <c r="H86">
        <f t="shared" si="11"/>
        <v>0.02</v>
      </c>
      <c r="I86" t="s">
        <v>638</v>
      </c>
      <c r="J86">
        <f t="shared" si="23"/>
        <v>6</v>
      </c>
      <c r="M86" s="9">
        <v>53</v>
      </c>
      <c r="N86" s="42"/>
      <c r="O86" s="9" t="str">
        <f t="shared" si="28"/>
        <v>2-2-4斗渠</v>
      </c>
      <c r="P86" s="10">
        <f t="shared" si="28"/>
        <v>1430</v>
      </c>
      <c r="Q86" s="9" t="str">
        <f t="shared" si="22"/>
        <v>U60</v>
      </c>
      <c r="R86" s="9" t="str">
        <f t="shared" si="29"/>
        <v>U50</v>
      </c>
    </row>
    <row r="87" spans="1:18">
      <c r="A87" t="s">
        <v>554</v>
      </c>
      <c r="B87" s="27">
        <v>1680</v>
      </c>
      <c r="C87" s="27">
        <v>747</v>
      </c>
      <c r="D87" s="1"/>
      <c r="E87">
        <f t="shared" si="26"/>
        <v>690</v>
      </c>
      <c r="F87">
        <v>416631</v>
      </c>
      <c r="G87">
        <f t="shared" si="27"/>
        <v>624.63418290854577</v>
      </c>
      <c r="H87">
        <f t="shared" si="11"/>
        <v>0.02</v>
      </c>
      <c r="I87" t="s">
        <v>638</v>
      </c>
      <c r="J87">
        <f t="shared" si="23"/>
        <v>3</v>
      </c>
      <c r="M87" s="9">
        <v>54</v>
      </c>
      <c r="N87" s="42"/>
      <c r="O87" s="9" t="str">
        <f t="shared" si="28"/>
        <v>2-2-5斗渠</v>
      </c>
      <c r="P87" s="10">
        <f t="shared" si="28"/>
        <v>1850</v>
      </c>
      <c r="Q87" s="9" t="str">
        <f t="shared" si="22"/>
        <v>U60</v>
      </c>
      <c r="R87" s="9" t="str">
        <f t="shared" si="29"/>
        <v>U50</v>
      </c>
    </row>
    <row r="88" spans="1:18">
      <c r="A88" t="s">
        <v>555</v>
      </c>
      <c r="B88" s="27">
        <v>1800</v>
      </c>
      <c r="C88" s="27">
        <v>1278</v>
      </c>
      <c r="D88" s="1"/>
      <c r="E88">
        <f t="shared" si="26"/>
        <v>610</v>
      </c>
      <c r="F88">
        <v>368055</v>
      </c>
      <c r="G88">
        <f t="shared" si="27"/>
        <v>551.80659670164914</v>
      </c>
      <c r="H88">
        <f t="shared" si="11"/>
        <v>0.02</v>
      </c>
      <c r="I88" t="s">
        <v>638</v>
      </c>
      <c r="J88">
        <f t="shared" si="23"/>
        <v>6</v>
      </c>
      <c r="M88" s="9">
        <v>55</v>
      </c>
      <c r="N88" s="42"/>
      <c r="O88" s="9" t="str">
        <f t="shared" si="28"/>
        <v>2-2-6斗渠</v>
      </c>
      <c r="P88" s="10">
        <f t="shared" si="28"/>
        <v>2250</v>
      </c>
      <c r="Q88" s="9" t="str">
        <f t="shared" si="22"/>
        <v>U60</v>
      </c>
      <c r="R88" s="9" t="str">
        <f t="shared" si="29"/>
        <v>U50</v>
      </c>
    </row>
    <row r="89" spans="1:18">
      <c r="A89" t="s">
        <v>556</v>
      </c>
      <c r="B89" s="27">
        <v>2050</v>
      </c>
      <c r="C89" s="27">
        <v>722</v>
      </c>
      <c r="D89" s="1"/>
      <c r="E89">
        <f t="shared" si="26"/>
        <v>870</v>
      </c>
      <c r="F89">
        <v>527920</v>
      </c>
      <c r="G89">
        <f t="shared" si="27"/>
        <v>791.48425787106441</v>
      </c>
      <c r="H89">
        <f t="shared" si="11"/>
        <v>0.03</v>
      </c>
      <c r="I89" t="s">
        <v>638</v>
      </c>
      <c r="J89">
        <f t="shared" si="23"/>
        <v>3</v>
      </c>
      <c r="M89" s="9">
        <v>56</v>
      </c>
      <c r="N89" s="42"/>
      <c r="O89" s="9" t="str">
        <f t="shared" si="28"/>
        <v>2-2-7斗渠</v>
      </c>
      <c r="P89" s="10">
        <f t="shared" si="28"/>
        <v>2650</v>
      </c>
      <c r="Q89" s="9" t="str">
        <f t="shared" si="22"/>
        <v>U60</v>
      </c>
      <c r="R89" s="9" t="str">
        <f t="shared" si="29"/>
        <v>U50</v>
      </c>
    </row>
    <row r="90" spans="1:18">
      <c r="A90" t="s">
        <v>557</v>
      </c>
      <c r="B90" s="27">
        <v>2200</v>
      </c>
      <c r="C90" s="27">
        <v>1102</v>
      </c>
      <c r="D90" s="1"/>
      <c r="E90">
        <f t="shared" si="26"/>
        <v>430</v>
      </c>
      <c r="F90">
        <v>257973</v>
      </c>
      <c r="G90">
        <f t="shared" si="27"/>
        <v>386.76611694152922</v>
      </c>
      <c r="H90">
        <f t="shared" si="11"/>
        <v>0.01</v>
      </c>
      <c r="I90" t="s">
        <v>638</v>
      </c>
      <c r="J90">
        <f t="shared" si="23"/>
        <v>5</v>
      </c>
      <c r="M90" s="9">
        <v>57</v>
      </c>
      <c r="N90" s="41"/>
      <c r="O90" s="9" t="str">
        <f>A109</f>
        <v>2-2-8斗渠</v>
      </c>
      <c r="P90" s="10">
        <f>B110</f>
        <v>3500</v>
      </c>
      <c r="Q90" s="9" t="str">
        <f t="shared" si="22"/>
        <v>U60</v>
      </c>
      <c r="R90" s="9" t="str">
        <f t="shared" si="29"/>
        <v>U50</v>
      </c>
    </row>
    <row r="91" spans="1:18">
      <c r="A91" t="s">
        <v>558</v>
      </c>
      <c r="B91" s="27">
        <v>2500</v>
      </c>
      <c r="C91" s="27">
        <v>710</v>
      </c>
      <c r="D91" s="1"/>
      <c r="E91">
        <f>E77-E78-E79-E80-E81-E82-E83-E84-E85-E86-E87-E88-E89-E90</f>
        <v>720</v>
      </c>
      <c r="G91">
        <f t="shared" si="27"/>
        <v>0</v>
      </c>
      <c r="H91">
        <f t="shared" si="11"/>
        <v>0.02</v>
      </c>
      <c r="I91" t="s">
        <v>638</v>
      </c>
      <c r="J91">
        <f t="shared" si="23"/>
        <v>3</v>
      </c>
      <c r="M91" s="9">
        <v>58</v>
      </c>
      <c r="N91" s="40" t="s">
        <v>712</v>
      </c>
      <c r="O91" s="9" t="str">
        <f>A116</f>
        <v>2-3-1斗渠</v>
      </c>
      <c r="P91" s="10">
        <f>B116</f>
        <v>100</v>
      </c>
      <c r="Q91" s="9" t="str">
        <f t="shared" si="22"/>
        <v>U60</v>
      </c>
      <c r="R91" s="9" t="str">
        <f>I116</f>
        <v>U50</v>
      </c>
    </row>
    <row r="92" spans="1:18">
      <c r="A92" t="s">
        <v>744</v>
      </c>
      <c r="B92" s="27">
        <v>2600</v>
      </c>
      <c r="C92" s="27">
        <v>902</v>
      </c>
      <c r="D92" s="1"/>
      <c r="J92">
        <f t="shared" si="23"/>
        <v>4</v>
      </c>
      <c r="M92" s="9"/>
      <c r="N92" s="42"/>
      <c r="O92" s="9"/>
      <c r="P92" s="10"/>
      <c r="Q92" s="9"/>
      <c r="R92" s="9"/>
    </row>
    <row r="93" spans="1:18">
      <c r="A93" t="s">
        <v>745</v>
      </c>
      <c r="B93" s="27">
        <v>2840</v>
      </c>
      <c r="C93" s="27">
        <v>727</v>
      </c>
      <c r="D93" s="1"/>
      <c r="J93">
        <f t="shared" si="23"/>
        <v>3</v>
      </c>
      <c r="M93" s="9"/>
      <c r="N93" s="42"/>
      <c r="O93" s="9"/>
      <c r="P93" s="10"/>
      <c r="Q93" s="9"/>
      <c r="R93" s="9"/>
    </row>
    <row r="94" spans="1:18">
      <c r="A94" t="s">
        <v>746</v>
      </c>
      <c r="B94" s="27">
        <v>2950</v>
      </c>
      <c r="C94" s="27">
        <v>749</v>
      </c>
      <c r="D94" s="1"/>
      <c r="J94">
        <f t="shared" si="23"/>
        <v>3</v>
      </c>
      <c r="M94" s="9"/>
      <c r="N94" s="42"/>
      <c r="O94" s="9"/>
      <c r="P94" s="10"/>
      <c r="Q94" s="9"/>
      <c r="R94" s="9"/>
    </row>
    <row r="95" spans="1:18">
      <c r="A95" t="s">
        <v>747</v>
      </c>
      <c r="B95" s="27">
        <v>3350</v>
      </c>
      <c r="C95" s="27">
        <v>696</v>
      </c>
      <c r="D95" s="1"/>
      <c r="J95">
        <f t="shared" si="23"/>
        <v>3</v>
      </c>
      <c r="M95" s="9"/>
      <c r="N95" s="42"/>
      <c r="O95" s="9"/>
      <c r="P95" s="10"/>
      <c r="Q95" s="9"/>
      <c r="R95" s="9"/>
    </row>
    <row r="96" spans="1:18">
      <c r="A96" t="s">
        <v>748</v>
      </c>
      <c r="B96" s="27">
        <v>3400</v>
      </c>
      <c r="C96" s="27">
        <v>537</v>
      </c>
      <c r="D96" s="1"/>
      <c r="J96">
        <f t="shared" si="23"/>
        <v>3</v>
      </c>
      <c r="M96" s="9"/>
      <c r="N96" s="42"/>
      <c r="O96" s="9"/>
      <c r="P96" s="10"/>
      <c r="Q96" s="9"/>
      <c r="R96" s="9"/>
    </row>
    <row r="97" spans="1:18">
      <c r="A97" t="s">
        <v>749</v>
      </c>
      <c r="B97" s="27">
        <v>3730</v>
      </c>
      <c r="C97" s="27">
        <v>692</v>
      </c>
      <c r="D97" s="1"/>
      <c r="J97">
        <f t="shared" si="23"/>
        <v>3</v>
      </c>
      <c r="M97" s="9"/>
      <c r="N97" s="42"/>
      <c r="O97" s="9"/>
      <c r="P97" s="10"/>
      <c r="Q97" s="9"/>
      <c r="R97" s="9"/>
    </row>
    <row r="98" spans="1:18">
      <c r="A98" t="s">
        <v>750</v>
      </c>
      <c r="B98" s="27">
        <v>3750</v>
      </c>
      <c r="C98" s="27">
        <v>377</v>
      </c>
      <c r="D98" s="1"/>
      <c r="J98">
        <f t="shared" si="23"/>
        <v>2</v>
      </c>
      <c r="M98" s="9"/>
      <c r="N98" s="42"/>
      <c r="O98" s="9"/>
      <c r="P98" s="10"/>
      <c r="Q98" s="9"/>
      <c r="R98" s="9"/>
    </row>
    <row r="99" spans="1:18">
      <c r="A99" t="s">
        <v>751</v>
      </c>
      <c r="B99" s="27">
        <v>4150</v>
      </c>
      <c r="C99" s="27">
        <v>692</v>
      </c>
      <c r="D99" s="1"/>
      <c r="J99">
        <f t="shared" si="23"/>
        <v>3</v>
      </c>
      <c r="M99" s="9"/>
      <c r="N99" s="42"/>
      <c r="O99" s="9"/>
      <c r="P99" s="10"/>
      <c r="Q99" s="9"/>
      <c r="R99" s="9"/>
    </row>
    <row r="100" spans="1:18">
      <c r="A100">
        <f>22+12+11+10+9+8+11</f>
        <v>83</v>
      </c>
      <c r="B100" s="27"/>
      <c r="C100" s="27">
        <f>SUM(C78:C99)</f>
        <v>21045</v>
      </c>
      <c r="D100" s="1">
        <f>C100+C114+C127+C139+C150+C160+C174</f>
        <v>71560</v>
      </c>
      <c r="J100">
        <f>SUM(J78:J99)</f>
        <v>94</v>
      </c>
      <c r="M100" s="9">
        <v>59</v>
      </c>
      <c r="N100" s="42"/>
      <c r="O100" s="9" t="str">
        <f t="shared" ref="O100:P106" si="30">A117</f>
        <v>2-3-2斗渠</v>
      </c>
      <c r="P100" s="10">
        <f t="shared" si="30"/>
        <v>500</v>
      </c>
      <c r="Q100" s="9" t="str">
        <f>Q91</f>
        <v>U60</v>
      </c>
      <c r="R100" s="9" t="str">
        <f t="shared" ref="R100:R106" si="31">I117</f>
        <v>U50</v>
      </c>
    </row>
    <row r="101" spans="1:18">
      <c r="A101" t="s">
        <v>567</v>
      </c>
      <c r="B101" s="27"/>
      <c r="C101" s="27"/>
      <c r="D101" s="1"/>
      <c r="E101">
        <v>5940</v>
      </c>
      <c r="M101" s="9">
        <v>60</v>
      </c>
      <c r="N101" s="42"/>
      <c r="O101" s="9" t="str">
        <f t="shared" si="30"/>
        <v>2-3-3斗渠</v>
      </c>
      <c r="P101" s="10">
        <f t="shared" si="30"/>
        <v>875</v>
      </c>
      <c r="Q101" s="9" t="str">
        <f t="shared" si="22"/>
        <v>U60</v>
      </c>
      <c r="R101" s="9" t="str">
        <f t="shared" si="31"/>
        <v>U50</v>
      </c>
    </row>
    <row r="102" spans="1:18">
      <c r="A102" t="s">
        <v>559</v>
      </c>
      <c r="B102" s="27">
        <v>50</v>
      </c>
      <c r="C102" s="27">
        <v>946</v>
      </c>
      <c r="D102" s="1"/>
      <c r="E102">
        <f>ROUND(G102*0.95,-1)</f>
        <v>930</v>
      </c>
      <c r="F102">
        <v>652740</v>
      </c>
      <c r="G102">
        <f t="shared" si="27"/>
        <v>978.62068965517244</v>
      </c>
      <c r="H102">
        <f t="shared" si="11"/>
        <v>0.03</v>
      </c>
      <c r="I102" t="s">
        <v>638</v>
      </c>
      <c r="J102">
        <f t="shared" si="23"/>
        <v>4</v>
      </c>
      <c r="M102" s="9">
        <v>61</v>
      </c>
      <c r="N102" s="42"/>
      <c r="O102" s="9" t="str">
        <f t="shared" si="30"/>
        <v>2-3-4斗渠</v>
      </c>
      <c r="P102" s="10">
        <f t="shared" si="30"/>
        <v>1250</v>
      </c>
      <c r="Q102" s="9" t="str">
        <f t="shared" si="22"/>
        <v>U60</v>
      </c>
      <c r="R102" s="9" t="str">
        <f t="shared" si="31"/>
        <v>U50</v>
      </c>
    </row>
    <row r="103" spans="1:18">
      <c r="A103" t="s">
        <v>560</v>
      </c>
      <c r="B103" s="27">
        <v>550</v>
      </c>
      <c r="C103" s="27">
        <v>944</v>
      </c>
      <c r="D103" s="1"/>
      <c r="E103">
        <f t="shared" ref="E103:E108" si="32">ROUND(G103*0.95,-1)</f>
        <v>890</v>
      </c>
      <c r="F103">
        <v>627120</v>
      </c>
      <c r="G103">
        <f t="shared" si="27"/>
        <v>940.20989505247371</v>
      </c>
      <c r="H103">
        <f t="shared" si="11"/>
        <v>0.03</v>
      </c>
      <c r="I103" t="s">
        <v>638</v>
      </c>
      <c r="J103">
        <f t="shared" si="23"/>
        <v>4</v>
      </c>
      <c r="M103" s="9">
        <v>62</v>
      </c>
      <c r="N103" s="42"/>
      <c r="O103" s="9" t="str">
        <f t="shared" si="30"/>
        <v>2-3-5斗渠</v>
      </c>
      <c r="P103" s="10">
        <f t="shared" si="30"/>
        <v>1710</v>
      </c>
      <c r="Q103" s="9" t="str">
        <f t="shared" si="22"/>
        <v>U60</v>
      </c>
      <c r="R103" s="9" t="str">
        <f t="shared" si="31"/>
        <v>U50</v>
      </c>
    </row>
    <row r="104" spans="1:18">
      <c r="A104" t="s">
        <v>561</v>
      </c>
      <c r="B104" s="27">
        <v>1050</v>
      </c>
      <c r="C104" s="27">
        <v>888</v>
      </c>
      <c r="D104" s="1"/>
      <c r="E104">
        <f t="shared" si="32"/>
        <v>730</v>
      </c>
      <c r="F104">
        <v>509660</v>
      </c>
      <c r="G104">
        <f t="shared" si="27"/>
        <v>764.1079460269865</v>
      </c>
      <c r="H104">
        <f t="shared" si="11"/>
        <v>0.02</v>
      </c>
      <c r="I104" t="s">
        <v>638</v>
      </c>
      <c r="J104">
        <f t="shared" si="23"/>
        <v>4</v>
      </c>
      <c r="M104" s="9">
        <v>63</v>
      </c>
      <c r="N104" s="42"/>
      <c r="O104" s="9" t="str">
        <f t="shared" si="30"/>
        <v>2-3-6斗渠</v>
      </c>
      <c r="P104" s="10">
        <f t="shared" si="30"/>
        <v>2250</v>
      </c>
      <c r="Q104" s="9" t="str">
        <f t="shared" si="22"/>
        <v>U60</v>
      </c>
      <c r="R104" s="9" t="str">
        <f t="shared" si="31"/>
        <v>U50</v>
      </c>
    </row>
    <row r="105" spans="1:18">
      <c r="A105" t="s">
        <v>562</v>
      </c>
      <c r="B105" s="27">
        <v>1430</v>
      </c>
      <c r="C105" s="27">
        <v>887</v>
      </c>
      <c r="D105" s="1"/>
      <c r="E105">
        <f t="shared" si="32"/>
        <v>870</v>
      </c>
      <c r="F105">
        <v>607891</v>
      </c>
      <c r="G105">
        <f t="shared" si="27"/>
        <v>911.38080959520244</v>
      </c>
      <c r="H105">
        <f t="shared" si="11"/>
        <v>0.03</v>
      </c>
      <c r="I105" t="s">
        <v>638</v>
      </c>
      <c r="J105">
        <f t="shared" si="23"/>
        <v>4</v>
      </c>
      <c r="M105" s="9">
        <v>64</v>
      </c>
      <c r="N105" s="42"/>
      <c r="O105" s="9" t="str">
        <f t="shared" si="30"/>
        <v>2-3-7斗渠</v>
      </c>
      <c r="P105" s="10">
        <f t="shared" si="30"/>
        <v>2700</v>
      </c>
      <c r="Q105" s="9" t="str">
        <f t="shared" si="22"/>
        <v>U60</v>
      </c>
      <c r="R105" s="9" t="str">
        <f t="shared" si="31"/>
        <v>U50</v>
      </c>
    </row>
    <row r="106" spans="1:18">
      <c r="A106" t="s">
        <v>563</v>
      </c>
      <c r="B106" s="27">
        <v>1850</v>
      </c>
      <c r="C106" s="27">
        <v>879</v>
      </c>
      <c r="D106" s="1"/>
      <c r="E106">
        <f t="shared" si="32"/>
        <v>720</v>
      </c>
      <c r="F106">
        <v>506178</v>
      </c>
      <c r="G106">
        <f t="shared" si="27"/>
        <v>758.8875562218891</v>
      </c>
      <c r="H106">
        <f t="shared" si="11"/>
        <v>0.02</v>
      </c>
      <c r="I106" t="s">
        <v>638</v>
      </c>
      <c r="J106">
        <f t="shared" si="23"/>
        <v>4</v>
      </c>
      <c r="M106" s="9">
        <v>65</v>
      </c>
      <c r="N106" s="41"/>
      <c r="O106" s="9" t="str">
        <f t="shared" si="30"/>
        <v>2-3-8斗渠</v>
      </c>
      <c r="P106" s="10">
        <f t="shared" si="30"/>
        <v>3050</v>
      </c>
      <c r="Q106" s="9" t="str">
        <f t="shared" si="22"/>
        <v>U60</v>
      </c>
      <c r="R106" s="9" t="str">
        <f t="shared" si="31"/>
        <v>U50</v>
      </c>
    </row>
    <row r="107" spans="1:18">
      <c r="A107" t="s">
        <v>564</v>
      </c>
      <c r="B107" s="27">
        <v>2250</v>
      </c>
      <c r="C107" s="27">
        <v>864</v>
      </c>
      <c r="D107" s="1"/>
      <c r="E107">
        <f t="shared" si="32"/>
        <v>740</v>
      </c>
      <c r="F107">
        <v>522375</v>
      </c>
      <c r="G107">
        <f t="shared" si="27"/>
        <v>783.17091454272861</v>
      </c>
      <c r="H107">
        <f t="shared" si="11"/>
        <v>0.02</v>
      </c>
      <c r="I107" t="s">
        <v>638</v>
      </c>
      <c r="J107">
        <f t="shared" si="23"/>
        <v>4</v>
      </c>
      <c r="M107" s="9">
        <v>66</v>
      </c>
      <c r="N107" s="40" t="s">
        <v>713</v>
      </c>
      <c r="O107" s="9" t="str">
        <f t="shared" ref="O107:P109" si="33">A129</f>
        <v>2-4-1斗渠</v>
      </c>
      <c r="P107" s="10">
        <f t="shared" si="33"/>
        <v>15</v>
      </c>
      <c r="Q107" s="9" t="str">
        <f t="shared" si="22"/>
        <v>U60</v>
      </c>
      <c r="R107" s="9" t="str">
        <f>I129</f>
        <v>U50</v>
      </c>
    </row>
    <row r="108" spans="1:18">
      <c r="A108" t="s">
        <v>565</v>
      </c>
      <c r="B108" s="27">
        <v>2650</v>
      </c>
      <c r="C108" s="27">
        <v>759</v>
      </c>
      <c r="D108" s="1"/>
      <c r="E108">
        <f t="shared" si="32"/>
        <v>540</v>
      </c>
      <c r="F108">
        <v>376864</v>
      </c>
      <c r="G108">
        <f t="shared" si="27"/>
        <v>565.01349325337333</v>
      </c>
      <c r="H108">
        <f t="shared" si="11"/>
        <v>0.02</v>
      </c>
      <c r="I108" t="s">
        <v>638</v>
      </c>
      <c r="J108">
        <f t="shared" si="23"/>
        <v>4</v>
      </c>
      <c r="M108" s="9">
        <v>67</v>
      </c>
      <c r="N108" s="42"/>
      <c r="O108" s="9" t="str">
        <f t="shared" si="33"/>
        <v>2-4-2斗渠</v>
      </c>
      <c r="P108" s="10">
        <f t="shared" si="33"/>
        <v>500</v>
      </c>
      <c r="Q108" s="9" t="str">
        <f t="shared" si="22"/>
        <v>U60</v>
      </c>
      <c r="R108" s="9" t="str">
        <f>I130</f>
        <v>U50</v>
      </c>
    </row>
    <row r="109" spans="1:18">
      <c r="A109" t="s">
        <v>566</v>
      </c>
      <c r="B109" s="27">
        <v>3100</v>
      </c>
      <c r="C109" s="27">
        <v>785</v>
      </c>
      <c r="D109" s="1"/>
      <c r="E109">
        <f>E101-E102-E103-E104-E105-E106-E107-E108</f>
        <v>520</v>
      </c>
      <c r="G109">
        <f t="shared" si="27"/>
        <v>0</v>
      </c>
      <c r="H109">
        <f t="shared" si="11"/>
        <v>0.02</v>
      </c>
      <c r="I109" t="s">
        <v>638</v>
      </c>
      <c r="J109">
        <f t="shared" si="23"/>
        <v>4</v>
      </c>
      <c r="M109" s="9">
        <v>68</v>
      </c>
      <c r="N109" s="42"/>
      <c r="O109" s="9" t="str">
        <f t="shared" si="33"/>
        <v>2-4-3斗渠</v>
      </c>
      <c r="P109" s="10">
        <f t="shared" si="33"/>
        <v>950</v>
      </c>
      <c r="Q109" s="9" t="str">
        <f t="shared" si="22"/>
        <v>U60</v>
      </c>
      <c r="R109" s="9" t="str">
        <f>I131</f>
        <v>U50</v>
      </c>
    </row>
    <row r="110" spans="1:18">
      <c r="A110" t="s">
        <v>752</v>
      </c>
      <c r="B110" s="27">
        <v>3500</v>
      </c>
      <c r="C110" s="27">
        <v>766</v>
      </c>
      <c r="D110" s="1"/>
      <c r="J110">
        <f t="shared" si="23"/>
        <v>4</v>
      </c>
      <c r="M110" s="9"/>
      <c r="N110" s="42"/>
      <c r="O110" s="9"/>
      <c r="P110" s="10"/>
      <c r="Q110" s="9"/>
      <c r="R110" s="9"/>
    </row>
    <row r="111" spans="1:18">
      <c r="A111" t="s">
        <v>753</v>
      </c>
      <c r="B111" s="27">
        <v>3950</v>
      </c>
      <c r="C111" s="27">
        <v>728</v>
      </c>
      <c r="D111" s="1"/>
      <c r="J111">
        <f t="shared" si="23"/>
        <v>3</v>
      </c>
      <c r="M111" s="9"/>
      <c r="N111" s="42"/>
      <c r="O111" s="9"/>
      <c r="P111" s="10"/>
      <c r="Q111" s="9"/>
      <c r="R111" s="9"/>
    </row>
    <row r="112" spans="1:18">
      <c r="A112" t="s">
        <v>754</v>
      </c>
      <c r="B112" s="27">
        <v>4300</v>
      </c>
      <c r="C112" s="27">
        <v>700</v>
      </c>
      <c r="D112" s="1"/>
      <c r="J112">
        <f t="shared" si="23"/>
        <v>3</v>
      </c>
      <c r="M112" s="9"/>
      <c r="N112" s="42"/>
      <c r="O112" s="9"/>
      <c r="P112" s="10"/>
      <c r="Q112" s="9"/>
      <c r="R112" s="9"/>
    </row>
    <row r="113" spans="1:18">
      <c r="A113" t="s">
        <v>769</v>
      </c>
      <c r="B113" s="27">
        <v>4800</v>
      </c>
      <c r="C113" s="27">
        <v>645</v>
      </c>
      <c r="D113" s="1"/>
      <c r="J113">
        <f t="shared" si="23"/>
        <v>3</v>
      </c>
      <c r="M113" s="9"/>
      <c r="N113" s="42"/>
      <c r="O113" s="9"/>
      <c r="P113" s="10"/>
      <c r="Q113" s="9"/>
      <c r="R113" s="9"/>
    </row>
    <row r="114" spans="1:18">
      <c r="B114" s="27"/>
      <c r="C114" s="27">
        <f>SUM(C102:C113)</f>
        <v>9791</v>
      </c>
      <c r="D114" s="1"/>
      <c r="J114">
        <f>SUM(J102:J113)</f>
        <v>45</v>
      </c>
      <c r="M114" s="9"/>
      <c r="N114" s="42"/>
      <c r="O114" s="9"/>
      <c r="P114" s="10"/>
      <c r="Q114" s="9"/>
      <c r="R114" s="9"/>
    </row>
    <row r="115" spans="1:18">
      <c r="A115" t="s">
        <v>568</v>
      </c>
      <c r="B115" s="27"/>
      <c r="C115" s="27"/>
      <c r="D115" s="1"/>
      <c r="E115">
        <v>4860</v>
      </c>
      <c r="M115" s="9">
        <v>70</v>
      </c>
      <c r="N115" s="42"/>
      <c r="O115" s="9" t="str">
        <f t="shared" ref="O115:P117" si="34">A133</f>
        <v>2-4-5斗渠</v>
      </c>
      <c r="P115" s="10">
        <f t="shared" si="34"/>
        <v>2000</v>
      </c>
      <c r="Q115" s="9" t="e">
        <f>#REF!</f>
        <v>#REF!</v>
      </c>
      <c r="R115" s="9" t="str">
        <f>I133</f>
        <v>U50</v>
      </c>
    </row>
    <row r="116" spans="1:18">
      <c r="A116" t="s">
        <v>569</v>
      </c>
      <c r="B116" s="27">
        <v>100</v>
      </c>
      <c r="C116" s="27">
        <v>752</v>
      </c>
      <c r="D116" s="1"/>
      <c r="E116">
        <f>ROUND(G116*0.95,-1)</f>
        <v>640</v>
      </c>
      <c r="F116">
        <v>448717</v>
      </c>
      <c r="G116">
        <f t="shared" si="27"/>
        <v>672.73913043478262</v>
      </c>
      <c r="H116">
        <f t="shared" si="11"/>
        <v>0.02</v>
      </c>
      <c r="I116" t="s">
        <v>638</v>
      </c>
      <c r="J116">
        <f t="shared" si="23"/>
        <v>4</v>
      </c>
      <c r="M116" s="9">
        <v>71</v>
      </c>
      <c r="N116" s="42"/>
      <c r="O116" s="9" t="str">
        <f t="shared" si="34"/>
        <v>2-4-6斗渠</v>
      </c>
      <c r="P116" s="10">
        <f t="shared" si="34"/>
        <v>2450</v>
      </c>
      <c r="Q116" s="9" t="e">
        <f t="shared" si="22"/>
        <v>#REF!</v>
      </c>
      <c r="R116" s="9" t="str">
        <f>I134</f>
        <v>U50</v>
      </c>
    </row>
    <row r="117" spans="1:18">
      <c r="A117" t="s">
        <v>570</v>
      </c>
      <c r="B117" s="27">
        <v>500</v>
      </c>
      <c r="C117" s="27">
        <v>745</v>
      </c>
      <c r="D117" s="1"/>
      <c r="E117">
        <f t="shared" ref="E117:E122" si="35">ROUND(G117*0.95,-1)</f>
        <v>630</v>
      </c>
      <c r="F117">
        <v>444273</v>
      </c>
      <c r="G117">
        <f t="shared" si="27"/>
        <v>666.07646176911544</v>
      </c>
      <c r="H117">
        <f t="shared" si="11"/>
        <v>0.02</v>
      </c>
      <c r="I117" t="s">
        <v>638</v>
      </c>
      <c r="J117">
        <f t="shared" si="23"/>
        <v>3</v>
      </c>
      <c r="M117" s="9">
        <v>72</v>
      </c>
      <c r="N117" s="41"/>
      <c r="O117" s="9" t="str">
        <f t="shared" si="34"/>
        <v>2-4-7斗渠</v>
      </c>
      <c r="P117" s="10">
        <f t="shared" si="34"/>
        <v>2850</v>
      </c>
      <c r="Q117" s="9" t="e">
        <f t="shared" si="22"/>
        <v>#REF!</v>
      </c>
      <c r="R117" s="9" t="str">
        <f>I135</f>
        <v>U50</v>
      </c>
    </row>
    <row r="118" spans="1:18">
      <c r="A118" t="s">
        <v>571</v>
      </c>
      <c r="B118" s="27">
        <v>875</v>
      </c>
      <c r="C118" s="27">
        <v>738</v>
      </c>
      <c r="D118" s="1"/>
      <c r="E118">
        <f t="shared" si="35"/>
        <v>660</v>
      </c>
      <c r="F118">
        <v>464935</v>
      </c>
      <c r="G118">
        <f t="shared" si="27"/>
        <v>697.05397301349331</v>
      </c>
      <c r="H118">
        <f t="shared" si="11"/>
        <v>0.02</v>
      </c>
      <c r="I118" t="s">
        <v>638</v>
      </c>
      <c r="J118">
        <f t="shared" si="23"/>
        <v>3</v>
      </c>
      <c r="M118" s="9">
        <v>73</v>
      </c>
      <c r="N118" s="40" t="s">
        <v>714</v>
      </c>
      <c r="O118" s="9" t="str">
        <f t="shared" ref="O118:P123" si="36">A141</f>
        <v>2-5-1斗渠</v>
      </c>
      <c r="P118" s="10">
        <f t="shared" si="36"/>
        <v>100</v>
      </c>
      <c r="Q118" s="9" t="e">
        <f t="shared" si="22"/>
        <v>#REF!</v>
      </c>
      <c r="R118" s="9" t="str">
        <f>I141</f>
        <v>U50</v>
      </c>
    </row>
    <row r="119" spans="1:18">
      <c r="A119" t="s">
        <v>572</v>
      </c>
      <c r="B119" s="27">
        <v>1250</v>
      </c>
      <c r="C119" s="27">
        <v>756</v>
      </c>
      <c r="D119" s="1"/>
      <c r="E119">
        <f t="shared" si="35"/>
        <v>770</v>
      </c>
      <c r="F119">
        <v>540531</v>
      </c>
      <c r="G119">
        <f t="shared" si="27"/>
        <v>810.39130434782612</v>
      </c>
      <c r="H119">
        <f t="shared" si="11"/>
        <v>0.02</v>
      </c>
      <c r="I119" t="s">
        <v>638</v>
      </c>
      <c r="J119">
        <f t="shared" si="23"/>
        <v>4</v>
      </c>
      <c r="M119" s="9">
        <v>74</v>
      </c>
      <c r="N119" s="42"/>
      <c r="O119" s="9" t="str">
        <f t="shared" si="36"/>
        <v>2-5-2斗渠</v>
      </c>
      <c r="P119" s="10">
        <f t="shared" si="36"/>
        <v>500</v>
      </c>
      <c r="Q119" s="9" t="e">
        <f t="shared" si="22"/>
        <v>#REF!</v>
      </c>
      <c r="R119" s="9" t="str">
        <f t="shared" ref="R119:R123" si="37">I142</f>
        <v>U50</v>
      </c>
    </row>
    <row r="120" spans="1:18">
      <c r="A120" t="s">
        <v>573</v>
      </c>
      <c r="B120" s="27">
        <v>1710</v>
      </c>
      <c r="C120" s="27">
        <v>735</v>
      </c>
      <c r="D120" s="1"/>
      <c r="E120">
        <f t="shared" si="35"/>
        <v>640</v>
      </c>
      <c r="F120">
        <v>452853</v>
      </c>
      <c r="G120">
        <f t="shared" si="27"/>
        <v>678.94002998500753</v>
      </c>
      <c r="H120">
        <f t="shared" ref="H120:H169" si="38">ROUND($K$3*E120/$G$7/10000,2)</f>
        <v>0.02</v>
      </c>
      <c r="I120" t="s">
        <v>638</v>
      </c>
      <c r="J120">
        <f t="shared" si="23"/>
        <v>3</v>
      </c>
      <c r="M120" s="9">
        <v>75</v>
      </c>
      <c r="N120" s="42"/>
      <c r="O120" s="9" t="str">
        <f t="shared" si="36"/>
        <v>2-5-3斗渠</v>
      </c>
      <c r="P120" s="10">
        <f t="shared" si="36"/>
        <v>950</v>
      </c>
      <c r="Q120" s="9" t="e">
        <f t="shared" si="22"/>
        <v>#REF!</v>
      </c>
      <c r="R120" s="9" t="str">
        <f t="shared" si="37"/>
        <v>U50</v>
      </c>
    </row>
    <row r="121" spans="1:18">
      <c r="A121" t="s">
        <v>574</v>
      </c>
      <c r="B121" s="27">
        <v>2250</v>
      </c>
      <c r="C121" s="27">
        <v>722</v>
      </c>
      <c r="D121" s="1"/>
      <c r="E121">
        <f t="shared" si="35"/>
        <v>480</v>
      </c>
      <c r="F121">
        <v>339049</v>
      </c>
      <c r="G121">
        <f t="shared" si="27"/>
        <v>508.31934032983509</v>
      </c>
      <c r="H121">
        <f t="shared" si="38"/>
        <v>0.02</v>
      </c>
      <c r="I121" t="s">
        <v>638</v>
      </c>
      <c r="J121">
        <f t="shared" si="23"/>
        <v>3</v>
      </c>
      <c r="M121" s="9">
        <v>76</v>
      </c>
      <c r="N121" s="42"/>
      <c r="O121" s="9" t="str">
        <f t="shared" si="36"/>
        <v>2-5-4斗渠</v>
      </c>
      <c r="P121" s="10">
        <f t="shared" si="36"/>
        <v>1400</v>
      </c>
      <c r="Q121" s="9" t="e">
        <f t="shared" si="22"/>
        <v>#REF!</v>
      </c>
      <c r="R121" s="9" t="str">
        <f t="shared" si="37"/>
        <v>U50</v>
      </c>
    </row>
    <row r="122" spans="1:18">
      <c r="A122" t="s">
        <v>575</v>
      </c>
      <c r="B122" s="27">
        <v>2700</v>
      </c>
      <c r="C122" s="27">
        <v>709</v>
      </c>
      <c r="D122" s="1"/>
      <c r="E122">
        <f t="shared" si="35"/>
        <v>480</v>
      </c>
      <c r="F122">
        <v>333807</v>
      </c>
      <c r="G122">
        <f t="shared" si="27"/>
        <v>500.46026986506746</v>
      </c>
      <c r="H122">
        <f t="shared" si="38"/>
        <v>0.02</v>
      </c>
      <c r="I122" t="s">
        <v>638</v>
      </c>
      <c r="J122">
        <f t="shared" si="23"/>
        <v>3</v>
      </c>
      <c r="M122" s="9">
        <v>77</v>
      </c>
      <c r="N122" s="42"/>
      <c r="O122" s="9" t="str">
        <f t="shared" si="36"/>
        <v>2-5-5斗渠</v>
      </c>
      <c r="P122" s="10">
        <f t="shared" si="36"/>
        <v>2020</v>
      </c>
      <c r="Q122" s="9" t="e">
        <f t="shared" si="22"/>
        <v>#REF!</v>
      </c>
      <c r="R122" s="9" t="str">
        <f t="shared" si="37"/>
        <v>U50</v>
      </c>
    </row>
    <row r="123" spans="1:18">
      <c r="A123" t="s">
        <v>576</v>
      </c>
      <c r="B123" s="27">
        <v>3050</v>
      </c>
      <c r="C123" s="27">
        <v>724</v>
      </c>
      <c r="D123" s="1"/>
      <c r="E123">
        <f>E115-E116-E117-E118-E119-E120-E121-E122</f>
        <v>560</v>
      </c>
      <c r="G123">
        <f t="shared" si="27"/>
        <v>0</v>
      </c>
      <c r="H123">
        <f t="shared" si="38"/>
        <v>0.02</v>
      </c>
      <c r="I123" t="s">
        <v>638</v>
      </c>
      <c r="J123">
        <f t="shared" si="23"/>
        <v>3</v>
      </c>
      <c r="M123" s="9">
        <v>78</v>
      </c>
      <c r="N123" s="41"/>
      <c r="O123" s="9" t="str">
        <f t="shared" si="36"/>
        <v>2-5-6斗渠</v>
      </c>
      <c r="P123" s="10">
        <f t="shared" si="36"/>
        <v>2380</v>
      </c>
      <c r="Q123" s="9" t="e">
        <f t="shared" si="22"/>
        <v>#REF!</v>
      </c>
      <c r="R123" s="9" t="str">
        <f t="shared" si="37"/>
        <v>U50</v>
      </c>
    </row>
    <row r="124" spans="1:18">
      <c r="A124" t="s">
        <v>755</v>
      </c>
      <c r="B124" s="27">
        <v>3550</v>
      </c>
      <c r="C124" s="27">
        <v>690</v>
      </c>
      <c r="D124" s="1"/>
      <c r="J124">
        <f t="shared" si="23"/>
        <v>3</v>
      </c>
      <c r="M124" s="9"/>
      <c r="N124" s="26"/>
      <c r="O124" s="9"/>
      <c r="P124" s="10"/>
      <c r="Q124" s="9"/>
      <c r="R124" s="9"/>
    </row>
    <row r="125" spans="1:18">
      <c r="A125" t="s">
        <v>756</v>
      </c>
      <c r="B125" s="27">
        <v>3975</v>
      </c>
      <c r="C125" s="27">
        <v>659</v>
      </c>
      <c r="D125" s="1"/>
      <c r="J125">
        <f t="shared" si="23"/>
        <v>3</v>
      </c>
      <c r="M125" s="9"/>
      <c r="N125" s="26"/>
      <c r="O125" s="9"/>
      <c r="P125" s="10"/>
      <c r="Q125" s="9"/>
      <c r="R125" s="9"/>
    </row>
    <row r="126" spans="1:18">
      <c r="A126" t="s">
        <v>757</v>
      </c>
      <c r="B126" s="27">
        <v>4400</v>
      </c>
      <c r="C126" s="27">
        <v>1159</v>
      </c>
      <c r="D126" s="1"/>
      <c r="J126">
        <f t="shared" si="23"/>
        <v>5</v>
      </c>
      <c r="M126" s="9"/>
      <c r="N126" s="26"/>
      <c r="O126" s="9"/>
      <c r="P126" s="10"/>
      <c r="Q126" s="9"/>
      <c r="R126" s="9"/>
    </row>
    <row r="127" spans="1:18">
      <c r="B127" s="27"/>
      <c r="C127" s="27">
        <f>SUM(C116:C126)</f>
        <v>8389</v>
      </c>
      <c r="D127" s="1"/>
      <c r="J127">
        <f>SUM(J116:J126)</f>
        <v>37</v>
      </c>
      <c r="M127" s="9"/>
      <c r="N127" s="26"/>
      <c r="O127" s="9"/>
      <c r="P127" s="10"/>
      <c r="Q127" s="9"/>
      <c r="R127" s="9"/>
    </row>
    <row r="128" spans="1:18">
      <c r="A128" t="s">
        <v>577</v>
      </c>
      <c r="B128" s="27"/>
      <c r="C128" s="27"/>
      <c r="D128" s="1"/>
      <c r="E128">
        <v>4760</v>
      </c>
      <c r="M128" s="9">
        <v>80</v>
      </c>
      <c r="N128" s="42"/>
      <c r="O128" s="9" t="str">
        <f t="shared" ref="O128:P132" si="39">A153</f>
        <v>2-6-2斗渠</v>
      </c>
      <c r="P128" s="10">
        <f t="shared" si="39"/>
        <v>500</v>
      </c>
      <c r="Q128" s="9" t="e">
        <f>#REF!</f>
        <v>#REF!</v>
      </c>
      <c r="R128" s="9" t="str">
        <f t="shared" ref="R128:R132" si="40">I153</f>
        <v>U50</v>
      </c>
    </row>
    <row r="129" spans="1:18">
      <c r="A129" t="s">
        <v>578</v>
      </c>
      <c r="B129" s="27">
        <v>15</v>
      </c>
      <c r="C129" s="27">
        <v>751</v>
      </c>
      <c r="D129" s="1"/>
      <c r="E129">
        <f>ROUND(G129*0.98,-1)</f>
        <v>770</v>
      </c>
      <c r="F129">
        <v>525836</v>
      </c>
      <c r="G129">
        <f t="shared" si="27"/>
        <v>788.35982008995506</v>
      </c>
      <c r="H129">
        <f t="shared" si="38"/>
        <v>0.02</v>
      </c>
      <c r="I129" t="s">
        <v>638</v>
      </c>
      <c r="J129">
        <f t="shared" si="23"/>
        <v>4</v>
      </c>
      <c r="M129" s="9">
        <v>81</v>
      </c>
      <c r="N129" s="42"/>
      <c r="O129" s="9" t="str">
        <f t="shared" si="39"/>
        <v>2-6-3斗渠</v>
      </c>
      <c r="P129" s="10">
        <f t="shared" si="39"/>
        <v>950</v>
      </c>
      <c r="Q129" s="9" t="e">
        <f t="shared" si="22"/>
        <v>#REF!</v>
      </c>
      <c r="R129" s="9" t="str">
        <f t="shared" si="40"/>
        <v>U50</v>
      </c>
    </row>
    <row r="130" spans="1:18">
      <c r="A130" t="s">
        <v>579</v>
      </c>
      <c r="B130" s="27">
        <v>500</v>
      </c>
      <c r="C130" s="27">
        <v>733</v>
      </c>
      <c r="D130" s="1"/>
      <c r="E130">
        <f t="shared" ref="E130:E134" si="41">ROUND(G130*0.98,-1)</f>
        <v>630</v>
      </c>
      <c r="F130">
        <v>427177</v>
      </c>
      <c r="G130">
        <f t="shared" si="27"/>
        <v>640.44527736131931</v>
      </c>
      <c r="H130">
        <f t="shared" si="38"/>
        <v>0.02</v>
      </c>
      <c r="I130" t="s">
        <v>638</v>
      </c>
      <c r="J130">
        <f t="shared" si="23"/>
        <v>3</v>
      </c>
      <c r="M130" s="9">
        <v>82</v>
      </c>
      <c r="N130" s="42"/>
      <c r="O130" s="9" t="str">
        <f t="shared" si="39"/>
        <v>2-6-4斗渠</v>
      </c>
      <c r="P130" s="10">
        <f t="shared" si="39"/>
        <v>1500</v>
      </c>
      <c r="Q130" s="9" t="e">
        <f t="shared" si="22"/>
        <v>#REF!</v>
      </c>
      <c r="R130" s="9" t="str">
        <f t="shared" si="40"/>
        <v>U50</v>
      </c>
    </row>
    <row r="131" spans="1:18">
      <c r="A131" t="s">
        <v>580</v>
      </c>
      <c r="B131" s="27">
        <v>950</v>
      </c>
      <c r="C131" s="27">
        <v>738</v>
      </c>
      <c r="D131" s="1"/>
      <c r="E131">
        <f t="shared" si="41"/>
        <v>710</v>
      </c>
      <c r="F131">
        <v>482756</v>
      </c>
      <c r="G131">
        <f t="shared" si="27"/>
        <v>723.77211394302844</v>
      </c>
      <c r="H131">
        <f t="shared" si="38"/>
        <v>0.02</v>
      </c>
      <c r="I131" t="s">
        <v>638</v>
      </c>
      <c r="J131">
        <f t="shared" si="23"/>
        <v>3</v>
      </c>
      <c r="M131" s="9">
        <v>83</v>
      </c>
      <c r="N131" s="42"/>
      <c r="O131" s="9" t="str">
        <f t="shared" si="39"/>
        <v>2-6-5斗渠</v>
      </c>
      <c r="P131" s="10">
        <f t="shared" si="39"/>
        <v>2050</v>
      </c>
      <c r="Q131" s="9" t="e">
        <f t="shared" si="22"/>
        <v>#REF!</v>
      </c>
      <c r="R131" s="9" t="str">
        <f t="shared" si="40"/>
        <v>U50</v>
      </c>
    </row>
    <row r="132" spans="1:18">
      <c r="A132" t="s">
        <v>581</v>
      </c>
      <c r="B132" s="27">
        <v>1350</v>
      </c>
      <c r="C132" s="27">
        <v>737</v>
      </c>
      <c r="D132" s="1"/>
      <c r="E132">
        <f t="shared" si="41"/>
        <v>800</v>
      </c>
      <c r="F132">
        <v>542503</v>
      </c>
      <c r="G132">
        <f t="shared" si="27"/>
        <v>813.3478260869565</v>
      </c>
      <c r="H132">
        <f t="shared" si="38"/>
        <v>0.03</v>
      </c>
      <c r="I132" t="s">
        <v>638</v>
      </c>
      <c r="J132">
        <f t="shared" si="23"/>
        <v>3</v>
      </c>
      <c r="M132" s="9">
        <v>84</v>
      </c>
      <c r="N132" s="41"/>
      <c r="O132" s="9" t="str">
        <f t="shared" si="39"/>
        <v>2-6-6斗渠</v>
      </c>
      <c r="P132" s="10">
        <f t="shared" si="39"/>
        <v>2400</v>
      </c>
      <c r="Q132" s="9" t="e">
        <f t="shared" si="22"/>
        <v>#REF!</v>
      </c>
      <c r="R132" s="9" t="str">
        <f t="shared" si="40"/>
        <v>U50</v>
      </c>
    </row>
    <row r="133" spans="1:18">
      <c r="A133" t="s">
        <v>582</v>
      </c>
      <c r="B133" s="27">
        <v>2000</v>
      </c>
      <c r="C133" s="27">
        <v>752</v>
      </c>
      <c r="D133" s="1"/>
      <c r="E133">
        <f t="shared" si="41"/>
        <v>660</v>
      </c>
      <c r="F133">
        <v>449502</v>
      </c>
      <c r="G133">
        <f t="shared" si="27"/>
        <v>673.91604197901052</v>
      </c>
      <c r="H133">
        <f t="shared" si="38"/>
        <v>0.02</v>
      </c>
      <c r="I133" t="s">
        <v>638</v>
      </c>
      <c r="J133">
        <f t="shared" si="23"/>
        <v>4</v>
      </c>
      <c r="M133" s="9">
        <v>85</v>
      </c>
      <c r="N133" s="40" t="s">
        <v>715</v>
      </c>
      <c r="O133" s="9" t="str">
        <f t="shared" ref="O133:P135" si="42">A163</f>
        <v>2-7-1斗渠</v>
      </c>
      <c r="P133" s="10">
        <f t="shared" si="42"/>
        <v>25</v>
      </c>
      <c r="Q133" s="9" t="e">
        <f t="shared" si="22"/>
        <v>#REF!</v>
      </c>
      <c r="R133" s="9" t="str">
        <f>I163</f>
        <v>U50</v>
      </c>
    </row>
    <row r="134" spans="1:18">
      <c r="A134" t="s">
        <v>583</v>
      </c>
      <c r="B134" s="27">
        <v>2450</v>
      </c>
      <c r="C134" s="27">
        <v>756</v>
      </c>
      <c r="D134" s="1"/>
      <c r="E134">
        <f t="shared" si="41"/>
        <v>650</v>
      </c>
      <c r="F134">
        <v>442420</v>
      </c>
      <c r="G134">
        <f t="shared" si="27"/>
        <v>663.29835082458771</v>
      </c>
      <c r="H134">
        <f t="shared" si="38"/>
        <v>0.02</v>
      </c>
      <c r="I134" t="s">
        <v>638</v>
      </c>
      <c r="J134">
        <f t="shared" si="23"/>
        <v>4</v>
      </c>
      <c r="M134" s="9">
        <v>86</v>
      </c>
      <c r="N134" s="42"/>
      <c r="O134" s="9" t="str">
        <f t="shared" si="42"/>
        <v>2-7-2斗渠</v>
      </c>
      <c r="P134" s="10">
        <f t="shared" si="42"/>
        <v>550</v>
      </c>
      <c r="Q134" s="9" t="e">
        <f t="shared" si="22"/>
        <v>#REF!</v>
      </c>
      <c r="R134" s="9" t="str">
        <f>I164</f>
        <v>U50</v>
      </c>
    </row>
    <row r="135" spans="1:18">
      <c r="A135" t="s">
        <v>584</v>
      </c>
      <c r="B135" s="27">
        <v>2850</v>
      </c>
      <c r="C135" s="27">
        <v>758</v>
      </c>
      <c r="D135" s="1"/>
      <c r="E135">
        <f>E128-E129-E130-E131-E132-E133-E134</f>
        <v>540</v>
      </c>
      <c r="G135">
        <f t="shared" si="27"/>
        <v>0</v>
      </c>
      <c r="H135">
        <f t="shared" si="38"/>
        <v>0.02</v>
      </c>
      <c r="I135" t="s">
        <v>638</v>
      </c>
      <c r="J135">
        <f t="shared" si="23"/>
        <v>4</v>
      </c>
      <c r="M135" s="9">
        <v>87</v>
      </c>
      <c r="N135" s="42"/>
      <c r="O135" s="9" t="str">
        <f t="shared" si="42"/>
        <v>2-7-3斗渠</v>
      </c>
      <c r="P135" s="10">
        <f t="shared" si="42"/>
        <v>950</v>
      </c>
      <c r="Q135" s="9" t="e">
        <f t="shared" si="22"/>
        <v>#REF!</v>
      </c>
      <c r="R135" s="9" t="str">
        <f>I165</f>
        <v>U50</v>
      </c>
    </row>
    <row r="136" spans="1:18">
      <c r="A136" t="s">
        <v>758</v>
      </c>
      <c r="B136" s="27">
        <v>3300</v>
      </c>
      <c r="C136" s="27">
        <v>746</v>
      </c>
      <c r="D136" s="1"/>
      <c r="J136">
        <f t="shared" si="23"/>
        <v>3</v>
      </c>
      <c r="M136" s="9"/>
      <c r="N136" s="42"/>
      <c r="O136" s="9"/>
      <c r="P136" s="10"/>
      <c r="Q136" s="9"/>
      <c r="R136" s="9"/>
    </row>
    <row r="137" spans="1:18">
      <c r="A137" t="s">
        <v>759</v>
      </c>
      <c r="B137" s="27">
        <v>3650</v>
      </c>
      <c r="C137" s="27">
        <v>758</v>
      </c>
      <c r="D137" s="1"/>
      <c r="J137">
        <f t="shared" si="23"/>
        <v>4</v>
      </c>
      <c r="M137" s="9"/>
      <c r="N137" s="42"/>
      <c r="O137" s="9"/>
      <c r="P137" s="10"/>
      <c r="Q137" s="9"/>
      <c r="R137" s="9"/>
    </row>
    <row r="138" spans="1:18">
      <c r="A138" t="s">
        <v>760</v>
      </c>
      <c r="B138" s="27">
        <v>4000</v>
      </c>
      <c r="C138" s="27">
        <v>1219</v>
      </c>
      <c r="D138" s="1"/>
      <c r="J138">
        <f t="shared" ref="J138:J173" si="43">ROUNDUP(C138/250,0)</f>
        <v>5</v>
      </c>
      <c r="M138" s="9"/>
      <c r="N138" s="42"/>
      <c r="O138" s="9"/>
      <c r="P138" s="10"/>
      <c r="Q138" s="9"/>
      <c r="R138" s="9"/>
    </row>
    <row r="139" spans="1:18">
      <c r="B139" s="27"/>
      <c r="C139" s="27">
        <f>SUM(C129:C138)</f>
        <v>7948</v>
      </c>
      <c r="D139" s="1"/>
      <c r="J139">
        <f>SUM(J129:J138)</f>
        <v>37</v>
      </c>
      <c r="M139" s="9">
        <v>88</v>
      </c>
      <c r="N139" s="42"/>
      <c r="O139" s="9" t="str">
        <f t="shared" ref="O139:P142" si="44">A166</f>
        <v>2-7-4斗渠</v>
      </c>
      <c r="P139" s="10">
        <f t="shared" si="44"/>
        <v>1350</v>
      </c>
      <c r="Q139" s="9" t="e">
        <f>Q135</f>
        <v>#REF!</v>
      </c>
      <c r="R139" s="9" t="str">
        <f t="shared" ref="R139:R142" si="45">I166</f>
        <v>U50</v>
      </c>
    </row>
    <row r="140" spans="1:18">
      <c r="A140" t="s">
        <v>585</v>
      </c>
      <c r="B140" s="27"/>
      <c r="C140" s="27"/>
      <c r="D140" s="1"/>
      <c r="E140">
        <v>4330</v>
      </c>
      <c r="M140" s="9">
        <v>89</v>
      </c>
      <c r="N140" s="42"/>
      <c r="O140" s="9" t="str">
        <f t="shared" si="44"/>
        <v>2-7-5斗渠</v>
      </c>
      <c r="P140" s="10">
        <f t="shared" si="44"/>
        <v>1800</v>
      </c>
      <c r="Q140" s="9" t="e">
        <f t="shared" si="22"/>
        <v>#REF!</v>
      </c>
      <c r="R140" s="9" t="str">
        <f t="shared" si="45"/>
        <v>U50</v>
      </c>
    </row>
    <row r="141" spans="1:18">
      <c r="A141" t="s">
        <v>586</v>
      </c>
      <c r="B141" s="27">
        <v>100</v>
      </c>
      <c r="C141" s="27">
        <v>746</v>
      </c>
      <c r="D141" s="1"/>
      <c r="E141">
        <f>ROUND(G141*0.97,-1)</f>
        <v>780</v>
      </c>
      <c r="F141">
        <v>535423</v>
      </c>
      <c r="G141">
        <f t="shared" si="27"/>
        <v>802.73313343328334</v>
      </c>
      <c r="H141">
        <f t="shared" si="38"/>
        <v>0.03</v>
      </c>
      <c r="I141" t="s">
        <v>638</v>
      </c>
      <c r="J141">
        <f t="shared" si="43"/>
        <v>3</v>
      </c>
      <c r="M141" s="9">
        <v>90</v>
      </c>
      <c r="N141" s="42"/>
      <c r="O141" s="9" t="str">
        <f t="shared" si="44"/>
        <v>2-7-6斗渠</v>
      </c>
      <c r="P141" s="10">
        <f t="shared" si="44"/>
        <v>2100</v>
      </c>
      <c r="Q141" s="9" t="e">
        <f t="shared" si="22"/>
        <v>#REF!</v>
      </c>
      <c r="R141" s="9" t="str">
        <f t="shared" si="45"/>
        <v>U50</v>
      </c>
    </row>
    <row r="142" spans="1:18">
      <c r="A142" t="s">
        <v>587</v>
      </c>
      <c r="B142" s="27">
        <v>500</v>
      </c>
      <c r="C142" s="27">
        <v>753</v>
      </c>
      <c r="D142" s="1"/>
      <c r="E142">
        <f t="shared" ref="E142:E145" si="46">ROUND(G142*0.97,-1)</f>
        <v>730</v>
      </c>
      <c r="F142">
        <v>499228</v>
      </c>
      <c r="G142">
        <f t="shared" si="27"/>
        <v>748.46776611694156</v>
      </c>
      <c r="H142">
        <f t="shared" si="38"/>
        <v>0.02</v>
      </c>
      <c r="I142" t="s">
        <v>638</v>
      </c>
      <c r="J142">
        <f t="shared" si="43"/>
        <v>4</v>
      </c>
      <c r="M142" s="9">
        <v>91</v>
      </c>
      <c r="N142" s="41"/>
      <c r="O142" s="9" t="str">
        <f t="shared" si="44"/>
        <v>2-7-7斗渠</v>
      </c>
      <c r="P142" s="10">
        <f t="shared" si="44"/>
        <v>2450</v>
      </c>
      <c r="Q142" s="9" t="e">
        <f t="shared" si="22"/>
        <v>#REF!</v>
      </c>
      <c r="R142" s="9" t="str">
        <f t="shared" si="45"/>
        <v>U50</v>
      </c>
    </row>
    <row r="143" spans="1:18">
      <c r="A143" t="s">
        <v>588</v>
      </c>
      <c r="B143" s="27">
        <v>950</v>
      </c>
      <c r="C143" s="27">
        <v>751</v>
      </c>
      <c r="D143" s="1"/>
      <c r="E143">
        <f t="shared" si="46"/>
        <v>710</v>
      </c>
      <c r="F143">
        <v>485305</v>
      </c>
      <c r="G143">
        <f t="shared" si="27"/>
        <v>727.59370314842579</v>
      </c>
      <c r="H143">
        <f t="shared" si="38"/>
        <v>0.02</v>
      </c>
      <c r="I143" t="s">
        <v>638</v>
      </c>
      <c r="J143">
        <f t="shared" si="43"/>
        <v>4</v>
      </c>
    </row>
    <row r="144" spans="1:18">
      <c r="A144" t="s">
        <v>589</v>
      </c>
      <c r="B144" s="27">
        <v>1400</v>
      </c>
      <c r="C144" s="27">
        <v>780</v>
      </c>
      <c r="D144" s="1"/>
      <c r="E144">
        <f t="shared" si="46"/>
        <v>860</v>
      </c>
      <c r="F144">
        <v>593484</v>
      </c>
      <c r="G144">
        <f t="shared" si="27"/>
        <v>889.78110944527737</v>
      </c>
      <c r="H144">
        <f t="shared" si="38"/>
        <v>0.03</v>
      </c>
      <c r="I144" t="s">
        <v>638</v>
      </c>
      <c r="J144">
        <f t="shared" si="43"/>
        <v>4</v>
      </c>
    </row>
    <row r="145" spans="1:10">
      <c r="A145" t="s">
        <v>590</v>
      </c>
      <c r="B145" s="27">
        <v>2020</v>
      </c>
      <c r="C145" s="27">
        <v>754</v>
      </c>
      <c r="D145" s="1"/>
      <c r="E145">
        <f t="shared" si="46"/>
        <v>670</v>
      </c>
      <c r="F145">
        <v>463684</v>
      </c>
      <c r="G145">
        <f t="shared" si="27"/>
        <v>695.17841079460266</v>
      </c>
      <c r="H145">
        <f t="shared" si="38"/>
        <v>0.02</v>
      </c>
      <c r="I145" t="s">
        <v>638</v>
      </c>
      <c r="J145">
        <f t="shared" si="43"/>
        <v>4</v>
      </c>
    </row>
    <row r="146" spans="1:10">
      <c r="A146" t="s">
        <v>591</v>
      </c>
      <c r="B146" s="27">
        <v>2380</v>
      </c>
      <c r="C146" s="27">
        <v>754</v>
      </c>
      <c r="D146" s="1"/>
      <c r="E146">
        <f>E140-E141-E142-E143-E144-E145</f>
        <v>580</v>
      </c>
      <c r="G146">
        <f t="shared" si="27"/>
        <v>0</v>
      </c>
      <c r="H146">
        <f t="shared" si="38"/>
        <v>0.02</v>
      </c>
      <c r="I146" t="s">
        <v>638</v>
      </c>
      <c r="J146">
        <f t="shared" si="43"/>
        <v>4</v>
      </c>
    </row>
    <row r="147" spans="1:10">
      <c r="A147" t="s">
        <v>761</v>
      </c>
      <c r="B147" s="27">
        <v>2700</v>
      </c>
      <c r="C147" s="27">
        <v>757</v>
      </c>
      <c r="D147" s="1"/>
      <c r="J147">
        <f t="shared" si="43"/>
        <v>4</v>
      </c>
    </row>
    <row r="148" spans="1:10">
      <c r="A148" t="s">
        <v>762</v>
      </c>
      <c r="B148" s="27">
        <v>3140</v>
      </c>
      <c r="C148" s="27">
        <v>740</v>
      </c>
      <c r="D148" s="1"/>
      <c r="J148">
        <f t="shared" si="43"/>
        <v>3</v>
      </c>
    </row>
    <row r="149" spans="1:10">
      <c r="A149" t="s">
        <v>763</v>
      </c>
      <c r="B149" s="27">
        <v>3550</v>
      </c>
      <c r="C149" s="27">
        <v>1387</v>
      </c>
      <c r="D149" s="1"/>
      <c r="J149">
        <f t="shared" si="43"/>
        <v>6</v>
      </c>
    </row>
    <row r="150" spans="1:10">
      <c r="B150" s="27"/>
      <c r="C150" s="27">
        <f>SUM(C141:C149)</f>
        <v>7422</v>
      </c>
      <c r="D150" s="1"/>
      <c r="J150">
        <f>SUM(J141:J149)</f>
        <v>36</v>
      </c>
    </row>
    <row r="151" spans="1:10">
      <c r="A151" t="s">
        <v>592</v>
      </c>
      <c r="B151" s="27"/>
      <c r="C151" s="27"/>
      <c r="D151" s="1"/>
      <c r="E151">
        <v>4340</v>
      </c>
    </row>
    <row r="152" spans="1:10">
      <c r="A152" t="s">
        <v>593</v>
      </c>
      <c r="B152" s="27">
        <v>25</v>
      </c>
      <c r="C152" s="27">
        <v>869</v>
      </c>
      <c r="D152" s="1"/>
      <c r="E152">
        <f>ROUND(G152*0.94,-1)</f>
        <v>940</v>
      </c>
      <c r="F152">
        <v>670259</v>
      </c>
      <c r="G152">
        <f t="shared" si="27"/>
        <v>1004.8860569715142</v>
      </c>
      <c r="H152">
        <f t="shared" si="38"/>
        <v>0.03</v>
      </c>
      <c r="I152" t="s">
        <v>638</v>
      </c>
      <c r="J152">
        <f t="shared" si="43"/>
        <v>4</v>
      </c>
    </row>
    <row r="153" spans="1:10">
      <c r="A153" t="s">
        <v>594</v>
      </c>
      <c r="B153" s="27">
        <v>500</v>
      </c>
      <c r="C153" s="27">
        <v>856</v>
      </c>
      <c r="D153" s="1"/>
      <c r="E153">
        <f t="shared" ref="E153:E156" si="47">ROUND(G153*0.94,-1)</f>
        <v>770</v>
      </c>
      <c r="F153">
        <v>544483</v>
      </c>
      <c r="G153">
        <f t="shared" si="27"/>
        <v>816.31634182908545</v>
      </c>
      <c r="H153">
        <f t="shared" si="38"/>
        <v>0.02</v>
      </c>
      <c r="I153" t="s">
        <v>638</v>
      </c>
      <c r="J153">
        <f t="shared" si="43"/>
        <v>4</v>
      </c>
    </row>
    <row r="154" spans="1:10">
      <c r="A154" t="s">
        <v>595</v>
      </c>
      <c r="B154" s="27">
        <v>950</v>
      </c>
      <c r="C154" s="27">
        <v>829</v>
      </c>
      <c r="D154" s="1"/>
      <c r="E154">
        <f t="shared" si="47"/>
        <v>720</v>
      </c>
      <c r="F154">
        <v>510621</v>
      </c>
      <c r="G154">
        <f t="shared" si="27"/>
        <v>765.54872563718141</v>
      </c>
      <c r="H154">
        <f t="shared" si="38"/>
        <v>0.02</v>
      </c>
      <c r="I154" t="s">
        <v>638</v>
      </c>
      <c r="J154">
        <f t="shared" si="43"/>
        <v>4</v>
      </c>
    </row>
    <row r="155" spans="1:10">
      <c r="A155" t="s">
        <v>596</v>
      </c>
      <c r="B155" s="27">
        <v>1500</v>
      </c>
      <c r="C155" s="27">
        <v>727</v>
      </c>
      <c r="D155" s="1"/>
      <c r="E155">
        <f t="shared" si="47"/>
        <v>790</v>
      </c>
      <c r="F155">
        <v>563104</v>
      </c>
      <c r="G155">
        <f t="shared" si="27"/>
        <v>844.23388305847072</v>
      </c>
      <c r="H155">
        <f t="shared" si="38"/>
        <v>0.03</v>
      </c>
      <c r="I155" t="s">
        <v>638</v>
      </c>
      <c r="J155">
        <f t="shared" si="43"/>
        <v>3</v>
      </c>
    </row>
    <row r="156" spans="1:10">
      <c r="A156" t="s">
        <v>597</v>
      </c>
      <c r="B156" s="27">
        <v>2050</v>
      </c>
      <c r="C156" s="27">
        <v>751</v>
      </c>
      <c r="D156" s="1"/>
      <c r="E156">
        <f t="shared" si="47"/>
        <v>620</v>
      </c>
      <c r="F156">
        <v>442274</v>
      </c>
      <c r="G156">
        <f t="shared" si="27"/>
        <v>663.07946026986508</v>
      </c>
      <c r="H156">
        <f t="shared" si="38"/>
        <v>0.02</v>
      </c>
      <c r="I156" t="s">
        <v>638</v>
      </c>
      <c r="J156">
        <f t="shared" si="43"/>
        <v>4</v>
      </c>
    </row>
    <row r="157" spans="1:10">
      <c r="A157" t="s">
        <v>598</v>
      </c>
      <c r="B157" s="27">
        <v>2400</v>
      </c>
      <c r="C157" s="27">
        <v>737</v>
      </c>
      <c r="D157" s="1"/>
      <c r="E157">
        <f>E151-E152-E153-E154-E155-E156</f>
        <v>500</v>
      </c>
      <c r="G157">
        <f t="shared" si="27"/>
        <v>0</v>
      </c>
      <c r="H157">
        <f t="shared" si="38"/>
        <v>0.02</v>
      </c>
      <c r="I157" t="s">
        <v>638</v>
      </c>
      <c r="J157">
        <f t="shared" si="43"/>
        <v>3</v>
      </c>
    </row>
    <row r="158" spans="1:10">
      <c r="A158" t="s">
        <v>764</v>
      </c>
      <c r="B158" s="27">
        <v>2850</v>
      </c>
      <c r="C158" s="27">
        <v>777</v>
      </c>
      <c r="D158" s="1"/>
      <c r="J158">
        <f t="shared" si="43"/>
        <v>4</v>
      </c>
    </row>
    <row r="159" spans="1:10">
      <c r="A159" t="s">
        <v>765</v>
      </c>
      <c r="B159" s="27">
        <v>3400</v>
      </c>
      <c r="C159" s="27">
        <v>825</v>
      </c>
      <c r="D159" s="1"/>
      <c r="J159">
        <f t="shared" si="43"/>
        <v>4</v>
      </c>
    </row>
    <row r="160" spans="1:10">
      <c r="B160" s="27"/>
      <c r="C160" s="27">
        <f>SUM(C152:C159)</f>
        <v>6371</v>
      </c>
      <c r="D160" s="1"/>
      <c r="J160">
        <f>SUM(J152:J159)</f>
        <v>30</v>
      </c>
    </row>
    <row r="161" spans="1:10">
      <c r="B161" s="27"/>
      <c r="C161" s="27"/>
      <c r="D161" s="1"/>
    </row>
    <row r="162" spans="1:10">
      <c r="A162" t="s">
        <v>599</v>
      </c>
      <c r="B162" s="27"/>
      <c r="C162" s="27"/>
      <c r="D162" s="1"/>
      <c r="E162">
        <v>7000</v>
      </c>
      <c r="J162">
        <f t="shared" si="43"/>
        <v>0</v>
      </c>
    </row>
    <row r="163" spans="1:10">
      <c r="A163" t="s">
        <v>600</v>
      </c>
      <c r="B163" s="27">
        <v>25</v>
      </c>
      <c r="C163" s="27">
        <v>745</v>
      </c>
      <c r="D163" s="1"/>
      <c r="E163">
        <f>ROUND(G163*0.9,-1)</f>
        <v>790</v>
      </c>
      <c r="F163">
        <v>587314</v>
      </c>
      <c r="G163">
        <f t="shared" si="27"/>
        <v>880.53073463268368</v>
      </c>
      <c r="H163">
        <f t="shared" si="38"/>
        <v>0.03</v>
      </c>
      <c r="I163" t="s">
        <v>638</v>
      </c>
      <c r="J163">
        <f t="shared" si="43"/>
        <v>3</v>
      </c>
    </row>
    <row r="164" spans="1:10">
      <c r="A164" t="s">
        <v>601</v>
      </c>
      <c r="B164" s="27">
        <v>550</v>
      </c>
      <c r="C164" s="27">
        <v>704</v>
      </c>
      <c r="D164" s="1"/>
      <c r="E164">
        <f t="shared" ref="E164" si="48">ROUND(G164*0.9,-1)</f>
        <v>830</v>
      </c>
      <c r="F164">
        <v>617087</v>
      </c>
      <c r="G164">
        <f t="shared" si="27"/>
        <v>925.16791604197897</v>
      </c>
      <c r="H164">
        <f t="shared" si="38"/>
        <v>0.03</v>
      </c>
      <c r="I164" t="s">
        <v>638</v>
      </c>
      <c r="J164">
        <f t="shared" si="43"/>
        <v>3</v>
      </c>
    </row>
    <row r="165" spans="1:10">
      <c r="A165" t="s">
        <v>602</v>
      </c>
      <c r="B165" s="27">
        <v>950</v>
      </c>
      <c r="C165" s="27">
        <v>688</v>
      </c>
      <c r="D165" s="1"/>
      <c r="E165">
        <f>ROUND(G165*0.75,-1)</f>
        <v>1050</v>
      </c>
      <c r="F165">
        <v>933660</v>
      </c>
      <c r="G165">
        <f t="shared" si="27"/>
        <v>1399.7901049475263</v>
      </c>
      <c r="H165">
        <f t="shared" si="38"/>
        <v>0.03</v>
      </c>
      <c r="I165" t="s">
        <v>638</v>
      </c>
      <c r="J165">
        <f t="shared" si="43"/>
        <v>3</v>
      </c>
    </row>
    <row r="166" spans="1:10">
      <c r="A166" t="s">
        <v>603</v>
      </c>
      <c r="B166" s="27">
        <v>1350</v>
      </c>
      <c r="C166" s="27">
        <v>683</v>
      </c>
      <c r="D166" s="1"/>
      <c r="E166">
        <f t="shared" ref="E166:E168" si="49">ROUND(G166*0.75,-1)</f>
        <v>1180</v>
      </c>
      <c r="F166">
        <v>1053323</v>
      </c>
      <c r="G166">
        <f t="shared" si="27"/>
        <v>1579.1949025487256</v>
      </c>
      <c r="H166">
        <f t="shared" si="38"/>
        <v>0.04</v>
      </c>
      <c r="I166" t="s">
        <v>638</v>
      </c>
      <c r="J166">
        <f t="shared" si="43"/>
        <v>3</v>
      </c>
    </row>
    <row r="167" spans="1:10">
      <c r="A167" t="s">
        <v>604</v>
      </c>
      <c r="B167" s="27">
        <v>1800</v>
      </c>
      <c r="C167" s="27">
        <v>663</v>
      </c>
      <c r="D167" s="1"/>
      <c r="E167">
        <f t="shared" si="49"/>
        <v>1010</v>
      </c>
      <c r="F167">
        <v>900633</v>
      </c>
      <c r="G167">
        <f t="shared" ref="G167:G169" si="50">F167/667</f>
        <v>1350.2743628185908</v>
      </c>
      <c r="H167">
        <f t="shared" si="38"/>
        <v>0.03</v>
      </c>
      <c r="I167" t="s">
        <v>638</v>
      </c>
      <c r="J167">
        <f t="shared" si="43"/>
        <v>3</v>
      </c>
    </row>
    <row r="168" spans="1:10">
      <c r="A168" t="s">
        <v>605</v>
      </c>
      <c r="B168" s="27">
        <v>2100</v>
      </c>
      <c r="C168" s="27">
        <v>1602</v>
      </c>
      <c r="D168" s="1"/>
      <c r="E168">
        <f t="shared" si="49"/>
        <v>1030</v>
      </c>
      <c r="F168">
        <v>918294</v>
      </c>
      <c r="G168">
        <f t="shared" si="50"/>
        <v>1376.7526236881558</v>
      </c>
      <c r="H168">
        <f t="shared" si="38"/>
        <v>0.03</v>
      </c>
      <c r="I168" t="s">
        <v>638</v>
      </c>
      <c r="J168">
        <f t="shared" si="43"/>
        <v>7</v>
      </c>
    </row>
    <row r="169" spans="1:10">
      <c r="A169" t="s">
        <v>606</v>
      </c>
      <c r="B169" s="27">
        <v>2450</v>
      </c>
      <c r="C169" s="27">
        <v>1612</v>
      </c>
      <c r="D169" s="1"/>
      <c r="E169">
        <f>E162-E163-E164-E165-E166-E167-E168</f>
        <v>1110</v>
      </c>
      <c r="G169">
        <f t="shared" si="50"/>
        <v>0</v>
      </c>
      <c r="H169">
        <f t="shared" si="38"/>
        <v>0.04</v>
      </c>
      <c r="I169" t="s">
        <v>638</v>
      </c>
      <c r="J169">
        <f t="shared" si="43"/>
        <v>7</v>
      </c>
    </row>
    <row r="170" spans="1:10">
      <c r="A170" t="s">
        <v>766</v>
      </c>
      <c r="B170" s="27">
        <v>2765</v>
      </c>
      <c r="C170" s="27">
        <v>957</v>
      </c>
      <c r="D170" s="1"/>
      <c r="J170">
        <f t="shared" si="43"/>
        <v>4</v>
      </c>
    </row>
    <row r="171" spans="1:10">
      <c r="A171" t="s">
        <v>767</v>
      </c>
      <c r="B171" s="27">
        <v>3600</v>
      </c>
      <c r="C171" s="27">
        <v>1020</v>
      </c>
      <c r="D171" s="1"/>
      <c r="J171">
        <f t="shared" si="43"/>
        <v>5</v>
      </c>
    </row>
    <row r="172" spans="1:10">
      <c r="A172" t="s">
        <v>768</v>
      </c>
      <c r="B172" s="27">
        <v>4250</v>
      </c>
      <c r="C172" s="27">
        <v>1029</v>
      </c>
      <c r="D172" s="1"/>
      <c r="J172">
        <f t="shared" si="43"/>
        <v>5</v>
      </c>
    </row>
    <row r="173" spans="1:10">
      <c r="A173" t="s">
        <v>770</v>
      </c>
      <c r="B173" s="27">
        <v>5020</v>
      </c>
      <c r="C173" s="27">
        <v>891</v>
      </c>
      <c r="D173" s="1"/>
      <c r="H173" t="s">
        <v>717</v>
      </c>
      <c r="J173">
        <f t="shared" si="43"/>
        <v>4</v>
      </c>
    </row>
    <row r="174" spans="1:10">
      <c r="C174">
        <f>SUM(C163:C173)</f>
        <v>10594</v>
      </c>
      <c r="H174">
        <v>153</v>
      </c>
      <c r="J174">
        <f>SUM(J162:J173)</f>
        <v>47</v>
      </c>
    </row>
    <row r="175" spans="1:10">
      <c r="C175">
        <f>SUM(C7:C174)</f>
        <v>305382</v>
      </c>
    </row>
    <row r="176" spans="1:10">
      <c r="C176">
        <f>C175/2</f>
        <v>152691</v>
      </c>
    </row>
    <row r="177" spans="1:10">
      <c r="C177">
        <f>C176-D100</f>
        <v>81131</v>
      </c>
    </row>
    <row r="180" spans="1:10">
      <c r="A180" s="9" t="s">
        <v>804</v>
      </c>
      <c r="B180" s="9" t="s">
        <v>803</v>
      </c>
      <c r="C180" s="43" t="s">
        <v>805</v>
      </c>
      <c r="D180" s="43"/>
      <c r="E180" s="9" t="s">
        <v>825</v>
      </c>
      <c r="F180" s="9" t="s">
        <v>804</v>
      </c>
      <c r="G180" s="9" t="s">
        <v>803</v>
      </c>
      <c r="H180" s="43" t="s">
        <v>805</v>
      </c>
      <c r="I180" s="43"/>
      <c r="J180" s="9" t="s">
        <v>825</v>
      </c>
    </row>
    <row r="181" spans="1:10">
      <c r="A181" s="9">
        <v>1</v>
      </c>
      <c r="B181" s="9" t="str">
        <f>A7</f>
        <v>1-1-1斗渠</v>
      </c>
      <c r="C181" s="43" t="s">
        <v>813</v>
      </c>
      <c r="D181" s="10">
        <f t="shared" ref="D181:D195" si="51">B7</f>
        <v>100</v>
      </c>
      <c r="E181" s="9">
        <f t="shared" ref="E181:E195" si="52">C7</f>
        <v>1650</v>
      </c>
      <c r="F181" s="9">
        <v>73</v>
      </c>
      <c r="G181" s="9" t="str">
        <f t="shared" ref="G181:G191" si="53">A89</f>
        <v>2-1-12斗渠</v>
      </c>
      <c r="H181" s="40" t="s">
        <v>862</v>
      </c>
      <c r="I181" s="10">
        <f t="shared" ref="I181:I191" si="54">B89</f>
        <v>2050</v>
      </c>
      <c r="J181" s="9">
        <f t="shared" ref="J181:J191" si="55">C89</f>
        <v>722</v>
      </c>
    </row>
    <row r="182" spans="1:10">
      <c r="A182" s="9">
        <v>2</v>
      </c>
      <c r="B182" s="9" t="str">
        <f t="shared" ref="B182:B195" si="56">A8</f>
        <v>1-1-2斗渠</v>
      </c>
      <c r="C182" s="43"/>
      <c r="D182" s="10">
        <f t="shared" si="51"/>
        <v>650</v>
      </c>
      <c r="E182" s="9">
        <f t="shared" si="52"/>
        <v>1475</v>
      </c>
      <c r="F182" s="9">
        <v>74</v>
      </c>
      <c r="G182" s="9" t="str">
        <f t="shared" si="53"/>
        <v>2-1-13斗渠</v>
      </c>
      <c r="H182" s="42"/>
      <c r="I182" s="10">
        <f t="shared" si="54"/>
        <v>2200</v>
      </c>
      <c r="J182" s="9">
        <f t="shared" si="55"/>
        <v>1102</v>
      </c>
    </row>
    <row r="183" spans="1:10">
      <c r="A183" s="9">
        <v>3</v>
      </c>
      <c r="B183" s="9" t="str">
        <f t="shared" si="56"/>
        <v>1-1-3斗渠</v>
      </c>
      <c r="C183" s="43"/>
      <c r="D183" s="10">
        <f t="shared" si="51"/>
        <v>1200</v>
      </c>
      <c r="E183" s="9">
        <f t="shared" si="52"/>
        <v>1159</v>
      </c>
      <c r="F183" s="9">
        <v>75</v>
      </c>
      <c r="G183" s="9" t="str">
        <f t="shared" si="53"/>
        <v>2-1-14斗渠</v>
      </c>
      <c r="H183" s="42"/>
      <c r="I183" s="10">
        <f t="shared" si="54"/>
        <v>2500</v>
      </c>
      <c r="J183" s="9">
        <f t="shared" si="55"/>
        <v>710</v>
      </c>
    </row>
    <row r="184" spans="1:10">
      <c r="A184" s="9">
        <v>4</v>
      </c>
      <c r="B184" s="9" t="str">
        <f t="shared" si="56"/>
        <v>1-1-4斗渠</v>
      </c>
      <c r="C184" s="43"/>
      <c r="D184" s="10">
        <f t="shared" si="51"/>
        <v>1900</v>
      </c>
      <c r="E184" s="9">
        <f t="shared" si="52"/>
        <v>1142</v>
      </c>
      <c r="F184" s="9">
        <v>76</v>
      </c>
      <c r="G184" s="9" t="str">
        <f t="shared" si="53"/>
        <v>2-1-15斗渠</v>
      </c>
      <c r="H184" s="42"/>
      <c r="I184" s="10">
        <f t="shared" si="54"/>
        <v>2600</v>
      </c>
      <c r="J184" s="9">
        <f t="shared" si="55"/>
        <v>902</v>
      </c>
    </row>
    <row r="185" spans="1:10">
      <c r="A185" s="9">
        <v>5</v>
      </c>
      <c r="B185" s="9" t="str">
        <f t="shared" si="56"/>
        <v>1-1-5斗渠</v>
      </c>
      <c r="C185" s="43"/>
      <c r="D185" s="10">
        <f t="shared" si="51"/>
        <v>2400</v>
      </c>
      <c r="E185" s="9">
        <f t="shared" si="52"/>
        <v>1226</v>
      </c>
      <c r="F185" s="9">
        <v>77</v>
      </c>
      <c r="G185" s="9" t="str">
        <f t="shared" si="53"/>
        <v>2-1-16斗渠</v>
      </c>
      <c r="H185" s="42"/>
      <c r="I185" s="10">
        <f t="shared" si="54"/>
        <v>2840</v>
      </c>
      <c r="J185" s="9">
        <f t="shared" si="55"/>
        <v>727</v>
      </c>
    </row>
    <row r="186" spans="1:10">
      <c r="A186" s="9">
        <v>6</v>
      </c>
      <c r="B186" s="9" t="str">
        <f t="shared" si="56"/>
        <v>1-1-6斗渠</v>
      </c>
      <c r="C186" s="43"/>
      <c r="D186" s="10">
        <f t="shared" si="51"/>
        <v>2950</v>
      </c>
      <c r="E186" s="9">
        <f t="shared" si="52"/>
        <v>1250</v>
      </c>
      <c r="F186" s="9">
        <v>78</v>
      </c>
      <c r="G186" s="9" t="str">
        <f t="shared" si="53"/>
        <v>2-1-17斗渠</v>
      </c>
      <c r="H186" s="42"/>
      <c r="I186" s="10">
        <f t="shared" si="54"/>
        <v>2950</v>
      </c>
      <c r="J186" s="9">
        <f t="shared" si="55"/>
        <v>749</v>
      </c>
    </row>
    <row r="187" spans="1:10">
      <c r="A187" s="9">
        <v>7</v>
      </c>
      <c r="B187" s="9" t="str">
        <f t="shared" si="56"/>
        <v>1-1-7斗渠</v>
      </c>
      <c r="C187" s="43"/>
      <c r="D187" s="10">
        <f t="shared" si="51"/>
        <v>3100</v>
      </c>
      <c r="E187" s="9">
        <f t="shared" si="52"/>
        <v>749</v>
      </c>
      <c r="F187" s="9">
        <v>79</v>
      </c>
      <c r="G187" s="9" t="str">
        <f t="shared" si="53"/>
        <v>2-1-18斗渠</v>
      </c>
      <c r="H187" s="42"/>
      <c r="I187" s="10">
        <f t="shared" si="54"/>
        <v>3350</v>
      </c>
      <c r="J187" s="9">
        <f t="shared" si="55"/>
        <v>696</v>
      </c>
    </row>
    <row r="188" spans="1:10">
      <c r="A188" s="9">
        <v>8</v>
      </c>
      <c r="B188" s="9" t="str">
        <f t="shared" si="56"/>
        <v>1-1-8斗渠</v>
      </c>
      <c r="C188" s="43"/>
      <c r="D188" s="10">
        <f t="shared" si="51"/>
        <v>3500</v>
      </c>
      <c r="E188" s="9">
        <f t="shared" si="52"/>
        <v>1274</v>
      </c>
      <c r="F188" s="9">
        <v>80</v>
      </c>
      <c r="G188" s="9" t="str">
        <f t="shared" si="53"/>
        <v>2-1-19斗渠</v>
      </c>
      <c r="H188" s="42"/>
      <c r="I188" s="10">
        <f t="shared" si="54"/>
        <v>3400</v>
      </c>
      <c r="J188" s="9">
        <f t="shared" si="55"/>
        <v>537</v>
      </c>
    </row>
    <row r="189" spans="1:10">
      <c r="A189" s="9">
        <v>9</v>
      </c>
      <c r="B189" s="9" t="str">
        <f t="shared" si="56"/>
        <v>1-1-9斗渠</v>
      </c>
      <c r="C189" s="43"/>
      <c r="D189" s="10">
        <f t="shared" si="51"/>
        <v>3700</v>
      </c>
      <c r="E189" s="9">
        <f t="shared" si="52"/>
        <v>905</v>
      </c>
      <c r="F189" s="9">
        <v>81</v>
      </c>
      <c r="G189" s="9" t="str">
        <f t="shared" si="53"/>
        <v>2-1-20斗渠</v>
      </c>
      <c r="H189" s="42"/>
      <c r="I189" s="10">
        <f t="shared" si="54"/>
        <v>3730</v>
      </c>
      <c r="J189" s="9">
        <f t="shared" si="55"/>
        <v>692</v>
      </c>
    </row>
    <row r="190" spans="1:10">
      <c r="A190" s="9">
        <v>10</v>
      </c>
      <c r="B190" s="9" t="str">
        <f t="shared" si="56"/>
        <v>1-1-10斗渠</v>
      </c>
      <c r="C190" s="43"/>
      <c r="D190" s="10">
        <f t="shared" si="51"/>
        <v>4000</v>
      </c>
      <c r="E190" s="9">
        <f t="shared" si="52"/>
        <v>1274</v>
      </c>
      <c r="F190" s="9">
        <v>82</v>
      </c>
      <c r="G190" s="9" t="str">
        <f t="shared" si="53"/>
        <v>2-1-21斗渠</v>
      </c>
      <c r="H190" s="42"/>
      <c r="I190" s="10">
        <f t="shared" si="54"/>
        <v>3750</v>
      </c>
      <c r="J190" s="9">
        <f t="shared" si="55"/>
        <v>377</v>
      </c>
    </row>
    <row r="191" spans="1:10">
      <c r="A191" s="9">
        <v>11</v>
      </c>
      <c r="B191" s="9" t="str">
        <f t="shared" si="56"/>
        <v>1-1-11斗渠</v>
      </c>
      <c r="C191" s="43"/>
      <c r="D191" s="10">
        <f t="shared" si="51"/>
        <v>4400</v>
      </c>
      <c r="E191" s="9">
        <f t="shared" si="52"/>
        <v>2311</v>
      </c>
      <c r="F191" s="9">
        <v>83</v>
      </c>
      <c r="G191" s="9" t="str">
        <f t="shared" si="53"/>
        <v>2-1-22斗渠</v>
      </c>
      <c r="H191" s="41"/>
      <c r="I191" s="10">
        <f t="shared" si="54"/>
        <v>4150</v>
      </c>
      <c r="J191" s="9">
        <f t="shared" si="55"/>
        <v>692</v>
      </c>
    </row>
    <row r="192" spans="1:10">
      <c r="A192" s="9">
        <v>12</v>
      </c>
      <c r="B192" s="9" t="str">
        <f t="shared" si="56"/>
        <v>1-1-12斗渠</v>
      </c>
      <c r="C192" s="43"/>
      <c r="D192" s="10">
        <f t="shared" si="51"/>
        <v>5000</v>
      </c>
      <c r="E192" s="9">
        <f t="shared" si="52"/>
        <v>2491</v>
      </c>
      <c r="F192" s="9">
        <v>84</v>
      </c>
      <c r="G192" s="9" t="str">
        <f t="shared" ref="G192:G203" si="57">A102</f>
        <v>2-2-1斗渠</v>
      </c>
      <c r="H192" s="43" t="s">
        <v>819</v>
      </c>
      <c r="I192" s="10">
        <f t="shared" ref="I192:I203" si="58">B102</f>
        <v>50</v>
      </c>
      <c r="J192" s="9">
        <f t="shared" ref="J192:J203" si="59">C102</f>
        <v>946</v>
      </c>
    </row>
    <row r="193" spans="1:10">
      <c r="A193" s="9">
        <v>13</v>
      </c>
      <c r="B193" s="9" t="str">
        <f t="shared" si="56"/>
        <v>1-1-13斗渠</v>
      </c>
      <c r="C193" s="43"/>
      <c r="D193" s="10">
        <f t="shared" si="51"/>
        <v>5650</v>
      </c>
      <c r="E193" s="9">
        <f t="shared" si="52"/>
        <v>2666</v>
      </c>
      <c r="F193" s="9">
        <v>85</v>
      </c>
      <c r="G193" s="9" t="str">
        <f t="shared" si="57"/>
        <v>2-2-2斗渠</v>
      </c>
      <c r="H193" s="43"/>
      <c r="I193" s="10">
        <f t="shared" si="58"/>
        <v>550</v>
      </c>
      <c r="J193" s="9">
        <f t="shared" si="59"/>
        <v>944</v>
      </c>
    </row>
    <row r="194" spans="1:10">
      <c r="A194" s="9">
        <v>14</v>
      </c>
      <c r="B194" s="9" t="str">
        <f t="shared" si="56"/>
        <v>1-1-14斗渠</v>
      </c>
      <c r="C194" s="43"/>
      <c r="D194" s="10">
        <f t="shared" si="51"/>
        <v>6450</v>
      </c>
      <c r="E194" s="9">
        <f t="shared" si="52"/>
        <v>2144</v>
      </c>
      <c r="F194" s="9">
        <v>86</v>
      </c>
      <c r="G194" s="9" t="str">
        <f t="shared" si="57"/>
        <v>2-2-3斗渠</v>
      </c>
      <c r="H194" s="43"/>
      <c r="I194" s="10">
        <f t="shared" si="58"/>
        <v>1050</v>
      </c>
      <c r="J194" s="9">
        <f t="shared" si="59"/>
        <v>888</v>
      </c>
    </row>
    <row r="195" spans="1:10">
      <c r="A195" s="9">
        <v>15</v>
      </c>
      <c r="B195" s="9" t="str">
        <f t="shared" si="56"/>
        <v>1-1-15斗渠</v>
      </c>
      <c r="C195" s="43"/>
      <c r="D195" s="10">
        <f t="shared" si="51"/>
        <v>6803</v>
      </c>
      <c r="E195" s="9">
        <f t="shared" si="52"/>
        <v>2388</v>
      </c>
      <c r="F195" s="9">
        <v>87</v>
      </c>
      <c r="G195" s="9" t="str">
        <f t="shared" si="57"/>
        <v>2-2-4斗渠</v>
      </c>
      <c r="H195" s="43"/>
      <c r="I195" s="10">
        <f t="shared" si="58"/>
        <v>1430</v>
      </c>
      <c r="J195" s="9">
        <f t="shared" si="59"/>
        <v>887</v>
      </c>
    </row>
    <row r="196" spans="1:10">
      <c r="A196" s="9">
        <v>16</v>
      </c>
      <c r="B196" s="9" t="str">
        <f>A24</f>
        <v>1-2-1斗渠</v>
      </c>
      <c r="C196" s="43" t="s">
        <v>814</v>
      </c>
      <c r="D196" s="10">
        <f t="shared" ref="D196:D208" si="60">B24</f>
        <v>100</v>
      </c>
      <c r="E196" s="9">
        <f t="shared" ref="E196:E208" si="61">C24</f>
        <v>947</v>
      </c>
      <c r="F196" s="9">
        <v>88</v>
      </c>
      <c r="G196" s="9" t="str">
        <f t="shared" si="57"/>
        <v>2-2-5斗渠</v>
      </c>
      <c r="H196" s="43"/>
      <c r="I196" s="10">
        <f t="shared" si="58"/>
        <v>1850</v>
      </c>
      <c r="J196" s="9">
        <f t="shared" si="59"/>
        <v>879</v>
      </c>
    </row>
    <row r="197" spans="1:10">
      <c r="A197" s="9">
        <v>17</v>
      </c>
      <c r="B197" s="9" t="str">
        <f t="shared" ref="B197:B208" si="62">A25</f>
        <v>1-2-2斗渠</v>
      </c>
      <c r="C197" s="43"/>
      <c r="D197" s="10">
        <f t="shared" si="60"/>
        <v>800</v>
      </c>
      <c r="E197" s="9">
        <f t="shared" si="61"/>
        <v>1405</v>
      </c>
      <c r="F197" s="9">
        <v>89</v>
      </c>
      <c r="G197" s="9" t="str">
        <f t="shared" si="57"/>
        <v>2-2-6斗渠</v>
      </c>
      <c r="H197" s="43"/>
      <c r="I197" s="10">
        <f t="shared" si="58"/>
        <v>2250</v>
      </c>
      <c r="J197" s="9">
        <f t="shared" si="59"/>
        <v>864</v>
      </c>
    </row>
    <row r="198" spans="1:10">
      <c r="A198" s="9">
        <v>18</v>
      </c>
      <c r="B198" s="9" t="str">
        <f t="shared" si="62"/>
        <v>1-2-3斗渠</v>
      </c>
      <c r="C198" s="43"/>
      <c r="D198" s="10">
        <f t="shared" si="60"/>
        <v>1400</v>
      </c>
      <c r="E198" s="9">
        <f t="shared" si="61"/>
        <v>1489</v>
      </c>
      <c r="F198" s="9">
        <v>90</v>
      </c>
      <c r="G198" s="9" t="str">
        <f t="shared" si="57"/>
        <v>2-2-7斗渠</v>
      </c>
      <c r="H198" s="43"/>
      <c r="I198" s="10">
        <f t="shared" si="58"/>
        <v>2650</v>
      </c>
      <c r="J198" s="9">
        <f t="shared" si="59"/>
        <v>759</v>
      </c>
    </row>
    <row r="199" spans="1:10">
      <c r="A199" s="9">
        <v>19</v>
      </c>
      <c r="B199" s="9" t="str">
        <f t="shared" si="62"/>
        <v>1-2-4斗渠</v>
      </c>
      <c r="C199" s="43"/>
      <c r="D199" s="10">
        <f t="shared" si="60"/>
        <v>1950</v>
      </c>
      <c r="E199" s="9">
        <f t="shared" si="61"/>
        <v>1377</v>
      </c>
      <c r="F199" s="9">
        <v>91</v>
      </c>
      <c r="G199" s="9" t="str">
        <f t="shared" si="57"/>
        <v>2-2-8斗渠</v>
      </c>
      <c r="H199" s="43"/>
      <c r="I199" s="10">
        <f t="shared" si="58"/>
        <v>3100</v>
      </c>
      <c r="J199" s="9">
        <f t="shared" si="59"/>
        <v>785</v>
      </c>
    </row>
    <row r="200" spans="1:10">
      <c r="A200" s="9">
        <v>20</v>
      </c>
      <c r="B200" s="9" t="str">
        <f t="shared" si="62"/>
        <v>1-2-5斗渠</v>
      </c>
      <c r="C200" s="43"/>
      <c r="D200" s="10">
        <f t="shared" si="60"/>
        <v>2600</v>
      </c>
      <c r="E200" s="9">
        <f t="shared" si="61"/>
        <v>1751</v>
      </c>
      <c r="F200" s="9">
        <v>92</v>
      </c>
      <c r="G200" s="9" t="str">
        <f t="shared" si="57"/>
        <v>2-2-9斗渠</v>
      </c>
      <c r="H200" s="43"/>
      <c r="I200" s="10">
        <f t="shared" si="58"/>
        <v>3500</v>
      </c>
      <c r="J200" s="9">
        <f t="shared" si="59"/>
        <v>766</v>
      </c>
    </row>
    <row r="201" spans="1:10">
      <c r="A201" s="9">
        <v>21</v>
      </c>
      <c r="B201" s="9" t="str">
        <f t="shared" si="62"/>
        <v>1-2-6斗渠</v>
      </c>
      <c r="C201" s="43"/>
      <c r="D201" s="10">
        <f t="shared" si="60"/>
        <v>3250</v>
      </c>
      <c r="E201" s="9">
        <f t="shared" si="61"/>
        <v>1729</v>
      </c>
      <c r="F201" s="9">
        <v>93</v>
      </c>
      <c r="G201" s="9" t="str">
        <f t="shared" si="57"/>
        <v>2-2-10斗渠</v>
      </c>
      <c r="H201" s="43"/>
      <c r="I201" s="10">
        <f t="shared" si="58"/>
        <v>3950</v>
      </c>
      <c r="J201" s="9">
        <f t="shared" si="59"/>
        <v>728</v>
      </c>
    </row>
    <row r="202" spans="1:10">
      <c r="A202" s="9">
        <v>22</v>
      </c>
      <c r="B202" s="9" t="str">
        <f t="shared" si="62"/>
        <v>1-2-7斗渠</v>
      </c>
      <c r="C202" s="43"/>
      <c r="D202" s="10">
        <f t="shared" si="60"/>
        <v>3750</v>
      </c>
      <c r="E202" s="9">
        <f t="shared" si="61"/>
        <v>2265</v>
      </c>
      <c r="F202" s="9">
        <v>94</v>
      </c>
      <c r="G202" s="9" t="str">
        <f t="shared" si="57"/>
        <v>2-2-11斗渠</v>
      </c>
      <c r="H202" s="43"/>
      <c r="I202" s="10">
        <f t="shared" si="58"/>
        <v>4300</v>
      </c>
      <c r="J202" s="9">
        <f t="shared" si="59"/>
        <v>700</v>
      </c>
    </row>
    <row r="203" spans="1:10">
      <c r="A203" s="9">
        <v>23</v>
      </c>
      <c r="B203" s="9" t="str">
        <f t="shared" si="62"/>
        <v>1-2-8斗渠</v>
      </c>
      <c r="C203" s="43"/>
      <c r="D203" s="10">
        <f t="shared" si="60"/>
        <v>4700</v>
      </c>
      <c r="E203" s="9">
        <f t="shared" si="61"/>
        <v>1724</v>
      </c>
      <c r="F203" s="9">
        <v>95</v>
      </c>
      <c r="G203" s="9" t="str">
        <f t="shared" si="57"/>
        <v>2-2-12斗渠</v>
      </c>
      <c r="H203" s="43"/>
      <c r="I203" s="10">
        <f t="shared" si="58"/>
        <v>4800</v>
      </c>
      <c r="J203" s="9">
        <f t="shared" si="59"/>
        <v>645</v>
      </c>
    </row>
    <row r="204" spans="1:10">
      <c r="A204" s="9">
        <v>24</v>
      </c>
      <c r="B204" s="9" t="str">
        <f t="shared" si="62"/>
        <v>1-2-9斗渠</v>
      </c>
      <c r="C204" s="43"/>
      <c r="D204" s="10">
        <f t="shared" si="60"/>
        <v>5650</v>
      </c>
      <c r="E204" s="9">
        <f t="shared" si="61"/>
        <v>1939</v>
      </c>
      <c r="F204" s="9">
        <v>96</v>
      </c>
      <c r="G204" s="9" t="str">
        <f t="shared" ref="G204:G214" si="63">A116</f>
        <v>2-3-1斗渠</v>
      </c>
      <c r="H204" s="43" t="s">
        <v>820</v>
      </c>
      <c r="I204" s="10">
        <f t="shared" ref="I204:I214" si="64">B116</f>
        <v>100</v>
      </c>
      <c r="J204" s="9">
        <f t="shared" ref="J204:J214" si="65">C116</f>
        <v>752</v>
      </c>
    </row>
    <row r="205" spans="1:10">
      <c r="A205" s="9">
        <v>25</v>
      </c>
      <c r="B205" s="9" t="str">
        <f t="shared" si="62"/>
        <v>1-2-10斗渠</v>
      </c>
      <c r="C205" s="43"/>
      <c r="D205" s="10">
        <f t="shared" si="60"/>
        <v>6200</v>
      </c>
      <c r="E205" s="9">
        <f t="shared" si="61"/>
        <v>2077</v>
      </c>
      <c r="F205" s="9">
        <v>97</v>
      </c>
      <c r="G205" s="9" t="str">
        <f t="shared" si="63"/>
        <v>2-3-2斗渠</v>
      </c>
      <c r="H205" s="43"/>
      <c r="I205" s="10">
        <f t="shared" si="64"/>
        <v>500</v>
      </c>
      <c r="J205" s="9">
        <f t="shared" si="65"/>
        <v>745</v>
      </c>
    </row>
    <row r="206" spans="1:10">
      <c r="A206" s="9">
        <v>26</v>
      </c>
      <c r="B206" s="9" t="str">
        <f t="shared" si="62"/>
        <v>1-2-11斗渠</v>
      </c>
      <c r="C206" s="43"/>
      <c r="D206" s="10">
        <f t="shared" si="60"/>
        <v>6550</v>
      </c>
      <c r="E206" s="9">
        <f t="shared" si="61"/>
        <v>1656</v>
      </c>
      <c r="F206" s="9">
        <v>98</v>
      </c>
      <c r="G206" s="9" t="str">
        <f t="shared" si="63"/>
        <v>2-3-3斗渠</v>
      </c>
      <c r="H206" s="43"/>
      <c r="I206" s="10">
        <f t="shared" si="64"/>
        <v>875</v>
      </c>
      <c r="J206" s="9">
        <f t="shared" si="65"/>
        <v>738</v>
      </c>
    </row>
    <row r="207" spans="1:10">
      <c r="A207" s="9">
        <v>27</v>
      </c>
      <c r="B207" s="9" t="str">
        <f t="shared" si="62"/>
        <v>1-2-12斗渠</v>
      </c>
      <c r="C207" s="43"/>
      <c r="D207" s="10">
        <f t="shared" si="60"/>
        <v>6900</v>
      </c>
      <c r="E207" s="9">
        <f t="shared" si="61"/>
        <v>1356</v>
      </c>
      <c r="F207" s="9">
        <v>99</v>
      </c>
      <c r="G207" s="9" t="str">
        <f t="shared" si="63"/>
        <v>2-3-4斗渠</v>
      </c>
      <c r="H207" s="43"/>
      <c r="I207" s="10">
        <f t="shared" si="64"/>
        <v>1250</v>
      </c>
      <c r="J207" s="9">
        <f t="shared" si="65"/>
        <v>756</v>
      </c>
    </row>
    <row r="208" spans="1:10">
      <c r="A208" s="9">
        <v>28</v>
      </c>
      <c r="B208" s="9" t="str">
        <f t="shared" si="62"/>
        <v>1-2-13斗渠</v>
      </c>
      <c r="C208" s="43"/>
      <c r="D208" s="10">
        <f t="shared" si="60"/>
        <v>7244</v>
      </c>
      <c r="E208" s="9">
        <f t="shared" si="61"/>
        <v>945</v>
      </c>
      <c r="F208" s="9">
        <v>100</v>
      </c>
      <c r="G208" s="9" t="str">
        <f t="shared" si="63"/>
        <v>2-3-5斗渠</v>
      </c>
      <c r="H208" s="43"/>
      <c r="I208" s="10">
        <f t="shared" si="64"/>
        <v>1710</v>
      </c>
      <c r="J208" s="9">
        <f t="shared" si="65"/>
        <v>735</v>
      </c>
    </row>
    <row r="209" spans="1:10">
      <c r="A209" s="9">
        <v>29</v>
      </c>
      <c r="B209" s="9" t="str">
        <f>A39</f>
        <v>1-3-1斗渠</v>
      </c>
      <c r="C209" s="43" t="s">
        <v>815</v>
      </c>
      <c r="D209" s="10">
        <f t="shared" ref="D209:D223" si="66">B39</f>
        <v>50</v>
      </c>
      <c r="E209" s="9">
        <f t="shared" ref="E209:E223" si="67">C39</f>
        <v>1101</v>
      </c>
      <c r="F209" s="9">
        <v>101</v>
      </c>
      <c r="G209" s="9" t="str">
        <f t="shared" si="63"/>
        <v>2-3-6斗渠</v>
      </c>
      <c r="H209" s="43"/>
      <c r="I209" s="10">
        <f t="shared" si="64"/>
        <v>2250</v>
      </c>
      <c r="J209" s="9">
        <f t="shared" si="65"/>
        <v>722</v>
      </c>
    </row>
    <row r="210" spans="1:10">
      <c r="A210" s="9">
        <v>30</v>
      </c>
      <c r="B210" s="9" t="str">
        <f t="shared" ref="B210:B223" si="68">A40</f>
        <v>1-3-2斗渠</v>
      </c>
      <c r="C210" s="43"/>
      <c r="D210" s="10">
        <f t="shared" si="66"/>
        <v>650</v>
      </c>
      <c r="E210" s="9">
        <f t="shared" si="67"/>
        <v>1207</v>
      </c>
      <c r="F210" s="9">
        <v>102</v>
      </c>
      <c r="G210" s="9" t="str">
        <f t="shared" si="63"/>
        <v>2-3-7斗渠</v>
      </c>
      <c r="H210" s="43"/>
      <c r="I210" s="10">
        <f t="shared" si="64"/>
        <v>2700</v>
      </c>
      <c r="J210" s="9">
        <f t="shared" si="65"/>
        <v>709</v>
      </c>
    </row>
    <row r="211" spans="1:10">
      <c r="A211" s="9">
        <v>31</v>
      </c>
      <c r="B211" s="9" t="str">
        <f t="shared" si="68"/>
        <v>1-3-3斗渠</v>
      </c>
      <c r="C211" s="43"/>
      <c r="D211" s="10">
        <f t="shared" si="66"/>
        <v>1200</v>
      </c>
      <c r="E211" s="9">
        <f t="shared" si="67"/>
        <v>1261</v>
      </c>
      <c r="F211" s="9">
        <v>103</v>
      </c>
      <c r="G211" s="9" t="str">
        <f t="shared" si="63"/>
        <v>2-3-8斗渠</v>
      </c>
      <c r="H211" s="43"/>
      <c r="I211" s="10">
        <f t="shared" si="64"/>
        <v>3050</v>
      </c>
      <c r="J211" s="9">
        <f t="shared" si="65"/>
        <v>724</v>
      </c>
    </row>
    <row r="212" spans="1:10">
      <c r="A212" s="9">
        <v>32</v>
      </c>
      <c r="B212" s="9" t="str">
        <f t="shared" si="68"/>
        <v>1-3-4斗渠</v>
      </c>
      <c r="C212" s="43"/>
      <c r="D212" s="10">
        <f t="shared" si="66"/>
        <v>1700</v>
      </c>
      <c r="E212" s="9">
        <f t="shared" si="67"/>
        <v>1441</v>
      </c>
      <c r="F212" s="9">
        <v>104</v>
      </c>
      <c r="G212" s="9" t="str">
        <f t="shared" si="63"/>
        <v>2-3-9斗渠</v>
      </c>
      <c r="H212" s="43"/>
      <c r="I212" s="10">
        <f t="shared" si="64"/>
        <v>3550</v>
      </c>
      <c r="J212" s="9">
        <f t="shared" si="65"/>
        <v>690</v>
      </c>
    </row>
    <row r="213" spans="1:10">
      <c r="A213" s="9">
        <v>33</v>
      </c>
      <c r="B213" s="9" t="str">
        <f t="shared" si="68"/>
        <v>1-3-5斗渠</v>
      </c>
      <c r="C213" s="43"/>
      <c r="D213" s="10">
        <f t="shared" si="66"/>
        <v>2000</v>
      </c>
      <c r="E213" s="9">
        <f t="shared" si="67"/>
        <v>874</v>
      </c>
      <c r="F213" s="9">
        <v>105</v>
      </c>
      <c r="G213" s="9" t="str">
        <f t="shared" si="63"/>
        <v>2-3-10斗渠</v>
      </c>
      <c r="H213" s="43"/>
      <c r="I213" s="10">
        <f t="shared" si="64"/>
        <v>3975</v>
      </c>
      <c r="J213" s="9">
        <f t="shared" si="65"/>
        <v>659</v>
      </c>
    </row>
    <row r="214" spans="1:10">
      <c r="A214" s="9">
        <v>34</v>
      </c>
      <c r="B214" s="9" t="str">
        <f t="shared" si="68"/>
        <v>1-3-6斗渠</v>
      </c>
      <c r="C214" s="43"/>
      <c r="D214" s="10">
        <f t="shared" si="66"/>
        <v>2150</v>
      </c>
      <c r="E214" s="9">
        <f t="shared" si="67"/>
        <v>1459</v>
      </c>
      <c r="F214" s="9">
        <v>106</v>
      </c>
      <c r="G214" s="9" t="str">
        <f t="shared" si="63"/>
        <v>2-3-11斗渠</v>
      </c>
      <c r="H214" s="43"/>
      <c r="I214" s="10">
        <f t="shared" si="64"/>
        <v>4400</v>
      </c>
      <c r="J214" s="9">
        <f t="shared" si="65"/>
        <v>1159</v>
      </c>
    </row>
    <row r="215" spans="1:10">
      <c r="A215" s="9">
        <v>35</v>
      </c>
      <c r="B215" s="9" t="str">
        <f t="shared" si="68"/>
        <v>1-3-7斗渠</v>
      </c>
      <c r="C215" s="43"/>
      <c r="D215" s="10">
        <f t="shared" si="66"/>
        <v>2500</v>
      </c>
      <c r="E215" s="9">
        <f t="shared" si="67"/>
        <v>1508</v>
      </c>
      <c r="F215" s="9">
        <v>107</v>
      </c>
      <c r="G215" s="9" t="str">
        <f t="shared" ref="G215:G224" si="69">A129</f>
        <v>2-4-1斗渠</v>
      </c>
      <c r="H215" s="43" t="s">
        <v>821</v>
      </c>
      <c r="I215" s="10">
        <f t="shared" ref="I215:I224" si="70">B129</f>
        <v>15</v>
      </c>
      <c r="J215" s="9">
        <f t="shared" ref="J215:J224" si="71">C129</f>
        <v>751</v>
      </c>
    </row>
    <row r="216" spans="1:10">
      <c r="A216" s="9">
        <v>36</v>
      </c>
      <c r="B216" s="9" t="str">
        <f t="shared" si="68"/>
        <v>1-3-8斗渠</v>
      </c>
      <c r="C216" s="43"/>
      <c r="D216" s="10">
        <f t="shared" si="66"/>
        <v>2850</v>
      </c>
      <c r="E216" s="9">
        <f t="shared" si="67"/>
        <v>1550</v>
      </c>
      <c r="F216" s="9">
        <v>108</v>
      </c>
      <c r="G216" s="9" t="str">
        <f t="shared" si="69"/>
        <v>2-4-2斗渠</v>
      </c>
      <c r="H216" s="43"/>
      <c r="I216" s="10">
        <f t="shared" si="70"/>
        <v>500</v>
      </c>
      <c r="J216" s="9">
        <f t="shared" si="71"/>
        <v>733</v>
      </c>
    </row>
    <row r="217" spans="1:10">
      <c r="A217" s="9">
        <v>37</v>
      </c>
      <c r="B217" s="9" t="str">
        <f t="shared" si="68"/>
        <v>1-3-9斗渠</v>
      </c>
      <c r="C217" s="43"/>
      <c r="D217" s="10">
        <f t="shared" si="66"/>
        <v>3150</v>
      </c>
      <c r="E217" s="9">
        <f t="shared" si="67"/>
        <v>713</v>
      </c>
      <c r="F217" s="9">
        <v>109</v>
      </c>
      <c r="G217" s="9" t="str">
        <f t="shared" si="69"/>
        <v>2-4-3斗渠</v>
      </c>
      <c r="H217" s="43"/>
      <c r="I217" s="10">
        <f t="shared" si="70"/>
        <v>950</v>
      </c>
      <c r="J217" s="9">
        <f t="shared" si="71"/>
        <v>738</v>
      </c>
    </row>
    <row r="218" spans="1:10">
      <c r="A218" s="9">
        <v>38</v>
      </c>
      <c r="B218" s="9" t="str">
        <f t="shared" si="68"/>
        <v>1-3-10斗渠</v>
      </c>
      <c r="C218" s="43"/>
      <c r="D218" s="10">
        <f t="shared" si="66"/>
        <v>3450</v>
      </c>
      <c r="E218" s="9">
        <f t="shared" si="67"/>
        <v>1347</v>
      </c>
      <c r="F218" s="9">
        <v>110</v>
      </c>
      <c r="G218" s="9" t="str">
        <f t="shared" si="69"/>
        <v>2-4-4斗渠</v>
      </c>
      <c r="H218" s="43"/>
      <c r="I218" s="10">
        <f t="shared" si="70"/>
        <v>1350</v>
      </c>
      <c r="J218" s="9">
        <f t="shared" si="71"/>
        <v>737</v>
      </c>
    </row>
    <row r="219" spans="1:10">
      <c r="A219" s="9">
        <v>39</v>
      </c>
      <c r="B219" s="9" t="str">
        <f t="shared" si="68"/>
        <v>1-3-11斗渠</v>
      </c>
      <c r="C219" s="43"/>
      <c r="D219" s="10">
        <f t="shared" si="66"/>
        <v>3700</v>
      </c>
      <c r="E219" s="9">
        <f t="shared" si="67"/>
        <v>485</v>
      </c>
      <c r="F219" s="9">
        <v>111</v>
      </c>
      <c r="G219" s="9" t="str">
        <f t="shared" si="69"/>
        <v>2-4-5斗渠</v>
      </c>
      <c r="H219" s="43"/>
      <c r="I219" s="10">
        <f t="shared" si="70"/>
        <v>2000</v>
      </c>
      <c r="J219" s="9">
        <f t="shared" si="71"/>
        <v>752</v>
      </c>
    </row>
    <row r="220" spans="1:10">
      <c r="A220" s="9">
        <v>40</v>
      </c>
      <c r="B220" s="9" t="str">
        <f t="shared" si="68"/>
        <v>1-3-12斗渠</v>
      </c>
      <c r="C220" s="43"/>
      <c r="D220" s="10">
        <f t="shared" si="66"/>
        <v>3900</v>
      </c>
      <c r="E220" s="9">
        <f t="shared" si="67"/>
        <v>1155</v>
      </c>
      <c r="F220" s="9">
        <v>112</v>
      </c>
      <c r="G220" s="9" t="str">
        <f t="shared" si="69"/>
        <v>2-4-6斗渠</v>
      </c>
      <c r="H220" s="43"/>
      <c r="I220" s="10">
        <f t="shared" si="70"/>
        <v>2450</v>
      </c>
      <c r="J220" s="9">
        <f t="shared" si="71"/>
        <v>756</v>
      </c>
    </row>
    <row r="221" spans="1:10">
      <c r="A221" s="9">
        <v>41</v>
      </c>
      <c r="B221" s="9" t="str">
        <f t="shared" si="68"/>
        <v>1-3-13斗渠</v>
      </c>
      <c r="C221" s="43"/>
      <c r="D221" s="10">
        <f t="shared" si="66"/>
        <v>4200</v>
      </c>
      <c r="E221" s="9">
        <f t="shared" si="67"/>
        <v>1127</v>
      </c>
      <c r="F221" s="9">
        <v>113</v>
      </c>
      <c r="G221" s="9" t="str">
        <f t="shared" si="69"/>
        <v>2-4-7斗渠</v>
      </c>
      <c r="H221" s="43"/>
      <c r="I221" s="10">
        <f t="shared" si="70"/>
        <v>2850</v>
      </c>
      <c r="J221" s="9">
        <f t="shared" si="71"/>
        <v>758</v>
      </c>
    </row>
    <row r="222" spans="1:10">
      <c r="A222" s="9">
        <v>42</v>
      </c>
      <c r="B222" s="9" t="str">
        <f t="shared" si="68"/>
        <v>1-3-14斗渠</v>
      </c>
      <c r="C222" s="43"/>
      <c r="D222" s="10">
        <f t="shared" si="66"/>
        <v>4600</v>
      </c>
      <c r="E222" s="9">
        <f t="shared" si="67"/>
        <v>1010</v>
      </c>
      <c r="F222" s="9">
        <v>114</v>
      </c>
      <c r="G222" s="9" t="str">
        <f t="shared" si="69"/>
        <v>2-4-8斗渠</v>
      </c>
      <c r="H222" s="43"/>
      <c r="I222" s="10">
        <f t="shared" si="70"/>
        <v>3300</v>
      </c>
      <c r="J222" s="9">
        <f t="shared" si="71"/>
        <v>746</v>
      </c>
    </row>
    <row r="223" spans="1:10">
      <c r="A223" s="9">
        <v>43</v>
      </c>
      <c r="B223" s="9" t="str">
        <f t="shared" si="68"/>
        <v>1-3-15斗渠</v>
      </c>
      <c r="C223" s="43"/>
      <c r="D223" s="10">
        <f t="shared" si="66"/>
        <v>4900</v>
      </c>
      <c r="E223" s="9">
        <f t="shared" si="67"/>
        <v>1088</v>
      </c>
      <c r="F223" s="9">
        <v>115</v>
      </c>
      <c r="G223" s="9" t="str">
        <f t="shared" si="69"/>
        <v>2-4-9斗渠</v>
      </c>
      <c r="H223" s="43"/>
      <c r="I223" s="10">
        <f t="shared" si="70"/>
        <v>3650</v>
      </c>
      <c r="J223" s="9">
        <f t="shared" si="71"/>
        <v>758</v>
      </c>
    </row>
    <row r="224" spans="1:10">
      <c r="A224" s="9">
        <v>44</v>
      </c>
      <c r="B224" s="9" t="str">
        <f>A56</f>
        <v>1-4-1斗渠</v>
      </c>
      <c r="C224" s="43" t="s">
        <v>816</v>
      </c>
      <c r="D224" s="10">
        <f t="shared" ref="D224:D235" si="72">B56</f>
        <v>50</v>
      </c>
      <c r="E224" s="9">
        <f t="shared" ref="E224:E235" si="73">C56</f>
        <v>1050</v>
      </c>
      <c r="F224" s="9">
        <v>116</v>
      </c>
      <c r="G224" s="9" t="str">
        <f t="shared" si="69"/>
        <v>2-4-10斗渠</v>
      </c>
      <c r="H224" s="43"/>
      <c r="I224" s="10">
        <f t="shared" si="70"/>
        <v>4000</v>
      </c>
      <c r="J224" s="9">
        <f t="shared" si="71"/>
        <v>1219</v>
      </c>
    </row>
    <row r="225" spans="1:10">
      <c r="A225" s="9">
        <v>45</v>
      </c>
      <c r="B225" s="9" t="str">
        <f t="shared" ref="B225:B235" si="74">A57</f>
        <v>1-4-2斗渠</v>
      </c>
      <c r="C225" s="43"/>
      <c r="D225" s="10">
        <f t="shared" si="72"/>
        <v>650</v>
      </c>
      <c r="E225" s="9">
        <f t="shared" si="73"/>
        <v>1007</v>
      </c>
      <c r="F225" s="9">
        <v>117</v>
      </c>
      <c r="G225" s="9" t="str">
        <f t="shared" ref="G225:G233" si="75">A141</f>
        <v>2-5-1斗渠</v>
      </c>
      <c r="H225" s="43" t="s">
        <v>822</v>
      </c>
      <c r="I225" s="10">
        <f t="shared" ref="I225:I233" si="76">B141</f>
        <v>100</v>
      </c>
      <c r="J225" s="9">
        <f t="shared" ref="J225:J233" si="77">C141</f>
        <v>746</v>
      </c>
    </row>
    <row r="226" spans="1:10">
      <c r="A226" s="9">
        <v>46</v>
      </c>
      <c r="B226" s="9" t="str">
        <f t="shared" si="74"/>
        <v>1-4-3斗渠</v>
      </c>
      <c r="C226" s="43"/>
      <c r="D226" s="10">
        <f t="shared" si="72"/>
        <v>1450</v>
      </c>
      <c r="E226" s="9">
        <f t="shared" si="73"/>
        <v>1232</v>
      </c>
      <c r="F226" s="9">
        <v>118</v>
      </c>
      <c r="G226" s="9" t="str">
        <f t="shared" si="75"/>
        <v>2-5-2斗渠</v>
      </c>
      <c r="H226" s="43"/>
      <c r="I226" s="10">
        <f t="shared" si="76"/>
        <v>500</v>
      </c>
      <c r="J226" s="9">
        <f t="shared" si="77"/>
        <v>753</v>
      </c>
    </row>
    <row r="227" spans="1:10">
      <c r="A227" s="9">
        <v>47</v>
      </c>
      <c r="B227" s="9" t="str">
        <f t="shared" si="74"/>
        <v>1-4-4斗渠</v>
      </c>
      <c r="C227" s="43"/>
      <c r="D227" s="10">
        <f t="shared" si="72"/>
        <v>2100</v>
      </c>
      <c r="E227" s="9">
        <f t="shared" si="73"/>
        <v>1193</v>
      </c>
      <c r="F227" s="9">
        <v>119</v>
      </c>
      <c r="G227" s="9" t="str">
        <f t="shared" si="75"/>
        <v>2-5-3斗渠</v>
      </c>
      <c r="H227" s="43"/>
      <c r="I227" s="10">
        <f t="shared" si="76"/>
        <v>950</v>
      </c>
      <c r="J227" s="9">
        <f t="shared" si="77"/>
        <v>751</v>
      </c>
    </row>
    <row r="228" spans="1:10">
      <c r="A228" s="9">
        <v>48</v>
      </c>
      <c r="B228" s="9" t="str">
        <f t="shared" si="74"/>
        <v>1-4-5斗渠</v>
      </c>
      <c r="C228" s="43"/>
      <c r="D228" s="10">
        <f t="shared" si="72"/>
        <v>2600</v>
      </c>
      <c r="E228" s="9">
        <f t="shared" si="73"/>
        <v>1264</v>
      </c>
      <c r="F228" s="9">
        <v>120</v>
      </c>
      <c r="G228" s="9" t="str">
        <f t="shared" si="75"/>
        <v>2-5-4斗渠</v>
      </c>
      <c r="H228" s="43"/>
      <c r="I228" s="10">
        <f t="shared" si="76"/>
        <v>1400</v>
      </c>
      <c r="J228" s="9">
        <f t="shared" si="77"/>
        <v>780</v>
      </c>
    </row>
    <row r="229" spans="1:10">
      <c r="A229" s="9">
        <v>49</v>
      </c>
      <c r="B229" s="9" t="str">
        <f t="shared" si="74"/>
        <v>1-4-6斗渠</v>
      </c>
      <c r="C229" s="43"/>
      <c r="D229" s="10">
        <f t="shared" si="72"/>
        <v>3050</v>
      </c>
      <c r="E229" s="9">
        <f t="shared" si="73"/>
        <v>1675</v>
      </c>
      <c r="F229" s="9">
        <v>121</v>
      </c>
      <c r="G229" s="9" t="str">
        <f t="shared" si="75"/>
        <v>2-5-5斗渠</v>
      </c>
      <c r="H229" s="43"/>
      <c r="I229" s="10">
        <f t="shared" si="76"/>
        <v>2020</v>
      </c>
      <c r="J229" s="9">
        <f t="shared" si="77"/>
        <v>754</v>
      </c>
    </row>
    <row r="230" spans="1:10">
      <c r="A230" s="9">
        <v>50</v>
      </c>
      <c r="B230" s="9" t="str">
        <f t="shared" si="74"/>
        <v>1-4-7斗渠</v>
      </c>
      <c r="C230" s="43"/>
      <c r="D230" s="10">
        <f t="shared" si="72"/>
        <v>3450</v>
      </c>
      <c r="E230" s="9">
        <f t="shared" si="73"/>
        <v>1525</v>
      </c>
      <c r="F230" s="9">
        <v>122</v>
      </c>
      <c r="G230" s="9" t="str">
        <f t="shared" si="75"/>
        <v>2-5-6斗渠</v>
      </c>
      <c r="H230" s="43"/>
      <c r="I230" s="10">
        <f t="shared" si="76"/>
        <v>2380</v>
      </c>
      <c r="J230" s="9">
        <f t="shared" si="77"/>
        <v>754</v>
      </c>
    </row>
    <row r="231" spans="1:10">
      <c r="A231" s="9">
        <v>51</v>
      </c>
      <c r="B231" s="9" t="str">
        <f t="shared" si="74"/>
        <v>1-4-8斗渠</v>
      </c>
      <c r="C231" s="43"/>
      <c r="D231" s="10">
        <f t="shared" si="72"/>
        <v>3850</v>
      </c>
      <c r="E231" s="9">
        <f t="shared" si="73"/>
        <v>1164</v>
      </c>
      <c r="F231" s="9">
        <v>123</v>
      </c>
      <c r="G231" s="9" t="str">
        <f t="shared" si="75"/>
        <v>2-5-7斗渠</v>
      </c>
      <c r="H231" s="43"/>
      <c r="I231" s="10">
        <f t="shared" si="76"/>
        <v>2700</v>
      </c>
      <c r="J231" s="9">
        <f t="shared" si="77"/>
        <v>757</v>
      </c>
    </row>
    <row r="232" spans="1:10">
      <c r="A232" s="9">
        <v>52</v>
      </c>
      <c r="B232" s="9" t="str">
        <f t="shared" si="74"/>
        <v>1-4-9斗渠</v>
      </c>
      <c r="C232" s="43"/>
      <c r="D232" s="10">
        <f t="shared" si="72"/>
        <v>4150</v>
      </c>
      <c r="E232" s="9">
        <f t="shared" si="73"/>
        <v>924</v>
      </c>
      <c r="F232" s="9">
        <v>124</v>
      </c>
      <c r="G232" s="9" t="str">
        <f t="shared" si="75"/>
        <v>2-5-8斗渠</v>
      </c>
      <c r="H232" s="43"/>
      <c r="I232" s="10">
        <f t="shared" si="76"/>
        <v>3140</v>
      </c>
      <c r="J232" s="9">
        <f t="shared" si="77"/>
        <v>740</v>
      </c>
    </row>
    <row r="233" spans="1:10">
      <c r="A233" s="9">
        <v>53</v>
      </c>
      <c r="B233" s="9" t="str">
        <f t="shared" si="74"/>
        <v>1-4-10斗渠</v>
      </c>
      <c r="C233" s="43"/>
      <c r="D233" s="10">
        <f t="shared" si="72"/>
        <v>4500</v>
      </c>
      <c r="E233" s="9">
        <f t="shared" si="73"/>
        <v>751</v>
      </c>
      <c r="F233" s="9">
        <v>125</v>
      </c>
      <c r="G233" s="9" t="str">
        <f t="shared" si="75"/>
        <v>2-5-9斗渠</v>
      </c>
      <c r="H233" s="43"/>
      <c r="I233" s="10">
        <f t="shared" si="76"/>
        <v>3550</v>
      </c>
      <c r="J233" s="9">
        <f t="shared" si="77"/>
        <v>1387</v>
      </c>
    </row>
    <row r="234" spans="1:10">
      <c r="A234" s="9">
        <v>54</v>
      </c>
      <c r="B234" s="9" t="str">
        <f t="shared" si="74"/>
        <v>1-4-11斗渠</v>
      </c>
      <c r="C234" s="43"/>
      <c r="D234" s="10">
        <f t="shared" si="72"/>
        <v>4950</v>
      </c>
      <c r="E234" s="9">
        <f t="shared" si="73"/>
        <v>573</v>
      </c>
      <c r="F234" s="9">
        <v>126</v>
      </c>
      <c r="G234" s="9" t="str">
        <f t="shared" ref="G234:G241" si="78">A152</f>
        <v>2-6-1斗渠</v>
      </c>
      <c r="H234" s="43" t="s">
        <v>823</v>
      </c>
      <c r="I234" s="10">
        <f t="shared" ref="I234:J241" si="79">B152</f>
        <v>25</v>
      </c>
      <c r="J234" s="9">
        <f t="shared" si="79"/>
        <v>869</v>
      </c>
    </row>
    <row r="235" spans="1:10">
      <c r="A235" s="9">
        <v>55</v>
      </c>
      <c r="B235" s="9" t="str">
        <f t="shared" si="74"/>
        <v>1-4-12斗渠</v>
      </c>
      <c r="C235" s="43"/>
      <c r="D235" s="10">
        <f t="shared" si="72"/>
        <v>5310</v>
      </c>
      <c r="E235" s="9">
        <f t="shared" si="73"/>
        <v>624</v>
      </c>
      <c r="F235" s="9">
        <v>127</v>
      </c>
      <c r="G235" s="9" t="str">
        <f t="shared" si="78"/>
        <v>2-6-2斗渠</v>
      </c>
      <c r="H235" s="43"/>
      <c r="I235" s="10">
        <f t="shared" si="79"/>
        <v>500</v>
      </c>
      <c r="J235" s="9">
        <f t="shared" si="79"/>
        <v>856</v>
      </c>
    </row>
    <row r="236" spans="1:10">
      <c r="A236" s="9">
        <v>56</v>
      </c>
      <c r="B236" s="9" t="str">
        <f>A70</f>
        <v>1-5-1斗渠</v>
      </c>
      <c r="C236" s="43" t="s">
        <v>817</v>
      </c>
      <c r="D236" s="10">
        <f t="shared" ref="D236:E241" si="80">B70</f>
        <v>50</v>
      </c>
      <c r="E236" s="9">
        <f t="shared" si="80"/>
        <v>1427</v>
      </c>
      <c r="F236" s="9">
        <v>128</v>
      </c>
      <c r="G236" s="9" t="str">
        <f t="shared" si="78"/>
        <v>2-6-3斗渠</v>
      </c>
      <c r="H236" s="43"/>
      <c r="I236" s="10">
        <f t="shared" si="79"/>
        <v>950</v>
      </c>
      <c r="J236" s="9">
        <f t="shared" si="79"/>
        <v>829</v>
      </c>
    </row>
    <row r="237" spans="1:10">
      <c r="A237" s="9">
        <v>57</v>
      </c>
      <c r="B237" s="9" t="str">
        <f t="shared" ref="B237:B241" si="81">A71</f>
        <v>1-5-2斗渠</v>
      </c>
      <c r="C237" s="43"/>
      <c r="D237" s="10">
        <f t="shared" si="80"/>
        <v>450</v>
      </c>
      <c r="E237" s="9">
        <f t="shared" si="80"/>
        <v>1015</v>
      </c>
      <c r="F237" s="9">
        <v>129</v>
      </c>
      <c r="G237" s="9" t="str">
        <f t="shared" si="78"/>
        <v>2-6-4斗渠</v>
      </c>
      <c r="H237" s="43"/>
      <c r="I237" s="10">
        <f t="shared" si="79"/>
        <v>1500</v>
      </c>
      <c r="J237" s="9">
        <f t="shared" si="79"/>
        <v>727</v>
      </c>
    </row>
    <row r="238" spans="1:10">
      <c r="A238" s="9">
        <v>58</v>
      </c>
      <c r="B238" s="9" t="str">
        <f t="shared" si="81"/>
        <v>1-5-3斗渠</v>
      </c>
      <c r="C238" s="43"/>
      <c r="D238" s="10">
        <f t="shared" si="80"/>
        <v>900</v>
      </c>
      <c r="E238" s="9">
        <f t="shared" si="80"/>
        <v>1015</v>
      </c>
      <c r="F238" s="9">
        <v>130</v>
      </c>
      <c r="G238" s="9" t="str">
        <f t="shared" si="78"/>
        <v>2-6-5斗渠</v>
      </c>
      <c r="H238" s="43"/>
      <c r="I238" s="10">
        <f t="shared" si="79"/>
        <v>2050</v>
      </c>
      <c r="J238" s="9">
        <f t="shared" si="79"/>
        <v>751</v>
      </c>
    </row>
    <row r="239" spans="1:10">
      <c r="A239" s="9">
        <v>59</v>
      </c>
      <c r="B239" s="9" t="str">
        <f t="shared" si="81"/>
        <v>1-5-4斗渠</v>
      </c>
      <c r="C239" s="43"/>
      <c r="D239" s="10">
        <f t="shared" si="80"/>
        <v>1400</v>
      </c>
      <c r="E239" s="9">
        <f t="shared" si="80"/>
        <v>1015</v>
      </c>
      <c r="F239" s="9">
        <v>131</v>
      </c>
      <c r="G239" s="9" t="str">
        <f t="shared" si="78"/>
        <v>2-6-6斗渠</v>
      </c>
      <c r="H239" s="43"/>
      <c r="I239" s="10">
        <f t="shared" si="79"/>
        <v>2400</v>
      </c>
      <c r="J239" s="9">
        <f t="shared" si="79"/>
        <v>737</v>
      </c>
    </row>
    <row r="240" spans="1:10">
      <c r="A240" s="9">
        <v>60</v>
      </c>
      <c r="B240" s="9" t="str">
        <f t="shared" si="81"/>
        <v>1-5-5斗渠</v>
      </c>
      <c r="C240" s="43"/>
      <c r="D240" s="10">
        <f t="shared" si="80"/>
        <v>2000</v>
      </c>
      <c r="E240" s="9">
        <f t="shared" si="80"/>
        <v>1015</v>
      </c>
      <c r="F240" s="9">
        <v>132</v>
      </c>
      <c r="G240" s="9" t="str">
        <f t="shared" si="78"/>
        <v>2-6-7斗渠</v>
      </c>
      <c r="H240" s="43"/>
      <c r="I240" s="10">
        <f t="shared" si="79"/>
        <v>2850</v>
      </c>
      <c r="J240" s="9">
        <f t="shared" si="79"/>
        <v>777</v>
      </c>
    </row>
    <row r="241" spans="1:10">
      <c r="A241" s="9">
        <v>61</v>
      </c>
      <c r="B241" s="9" t="str">
        <f t="shared" si="81"/>
        <v>1-5-6斗渠</v>
      </c>
      <c r="C241" s="43"/>
      <c r="D241" s="10">
        <f t="shared" si="80"/>
        <v>2545</v>
      </c>
      <c r="E241" s="9">
        <f t="shared" si="80"/>
        <v>572</v>
      </c>
      <c r="F241" s="9">
        <v>133</v>
      </c>
      <c r="G241" s="9" t="str">
        <f t="shared" si="78"/>
        <v>2-6-8斗渠</v>
      </c>
      <c r="H241" s="43"/>
      <c r="I241" s="10">
        <f t="shared" si="79"/>
        <v>3400</v>
      </c>
      <c r="J241" s="9">
        <f t="shared" si="79"/>
        <v>825</v>
      </c>
    </row>
    <row r="242" spans="1:10">
      <c r="A242" s="9">
        <v>62</v>
      </c>
      <c r="B242" s="9" t="str">
        <f>A78</f>
        <v>2-1-1斗渠</v>
      </c>
      <c r="C242" s="40" t="s">
        <v>818</v>
      </c>
      <c r="D242" s="10">
        <f t="shared" ref="D242:D252" si="82">B78</f>
        <v>70</v>
      </c>
      <c r="E242" s="9">
        <f t="shared" ref="E242:E252" si="83">C78</f>
        <v>1567</v>
      </c>
      <c r="F242" s="9">
        <v>134</v>
      </c>
      <c r="G242" s="9" t="str">
        <f t="shared" ref="G242:G252" si="84">A163</f>
        <v>2-7-1斗渠</v>
      </c>
      <c r="H242" s="43" t="s">
        <v>824</v>
      </c>
      <c r="I242" s="10">
        <f t="shared" ref="I242:I252" si="85">B163</f>
        <v>25</v>
      </c>
      <c r="J242" s="9">
        <f t="shared" ref="J242:J252" si="86">C163</f>
        <v>745</v>
      </c>
    </row>
    <row r="243" spans="1:10">
      <c r="A243" s="9">
        <v>63</v>
      </c>
      <c r="B243" s="9" t="str">
        <f t="shared" ref="B243:B252" si="87">A79</f>
        <v>2-1-2斗渠</v>
      </c>
      <c r="C243" s="42"/>
      <c r="D243" s="10">
        <f t="shared" si="82"/>
        <v>70</v>
      </c>
      <c r="E243" s="9">
        <f t="shared" si="83"/>
        <v>958</v>
      </c>
      <c r="F243" s="9">
        <v>135</v>
      </c>
      <c r="G243" s="9" t="str">
        <f t="shared" si="84"/>
        <v>2-7-2斗渠</v>
      </c>
      <c r="H243" s="43"/>
      <c r="I243" s="10">
        <f t="shared" si="85"/>
        <v>550</v>
      </c>
      <c r="J243" s="9">
        <f t="shared" si="86"/>
        <v>704</v>
      </c>
    </row>
    <row r="244" spans="1:10">
      <c r="A244" s="9">
        <v>64</v>
      </c>
      <c r="B244" s="9" t="str">
        <f t="shared" si="87"/>
        <v>2-1-3斗渠</v>
      </c>
      <c r="C244" s="42"/>
      <c r="D244" s="10">
        <f t="shared" si="82"/>
        <v>400</v>
      </c>
      <c r="E244" s="9">
        <f t="shared" si="83"/>
        <v>868</v>
      </c>
      <c r="F244" s="9">
        <v>136</v>
      </c>
      <c r="G244" s="9" t="str">
        <f t="shared" si="84"/>
        <v>2-7-3斗渠</v>
      </c>
      <c r="H244" s="43"/>
      <c r="I244" s="10">
        <f t="shared" si="85"/>
        <v>950</v>
      </c>
      <c r="J244" s="9">
        <f t="shared" si="86"/>
        <v>688</v>
      </c>
    </row>
    <row r="245" spans="1:10">
      <c r="A245" s="9">
        <v>65</v>
      </c>
      <c r="B245" s="9" t="str">
        <f t="shared" si="87"/>
        <v>2-1-4斗渠</v>
      </c>
      <c r="C245" s="42"/>
      <c r="D245" s="10">
        <f t="shared" si="82"/>
        <v>410</v>
      </c>
      <c r="E245" s="9">
        <f t="shared" si="83"/>
        <v>1638</v>
      </c>
      <c r="F245" s="9">
        <v>137</v>
      </c>
      <c r="G245" s="9" t="str">
        <f t="shared" si="84"/>
        <v>2-7-4斗渠</v>
      </c>
      <c r="H245" s="43"/>
      <c r="I245" s="10">
        <f t="shared" si="85"/>
        <v>1350</v>
      </c>
      <c r="J245" s="9">
        <f t="shared" si="86"/>
        <v>683</v>
      </c>
    </row>
    <row r="246" spans="1:10">
      <c r="A246" s="9">
        <v>66</v>
      </c>
      <c r="B246" s="9" t="str">
        <f t="shared" si="87"/>
        <v>2-1-5斗渠</v>
      </c>
      <c r="C246" s="42"/>
      <c r="D246" s="10">
        <f t="shared" si="82"/>
        <v>770</v>
      </c>
      <c r="E246" s="9">
        <f t="shared" si="83"/>
        <v>1537</v>
      </c>
      <c r="F246" s="9">
        <v>138</v>
      </c>
      <c r="G246" s="9" t="str">
        <f t="shared" si="84"/>
        <v>2-7-5斗渠</v>
      </c>
      <c r="H246" s="43"/>
      <c r="I246" s="10">
        <f t="shared" si="85"/>
        <v>1800</v>
      </c>
      <c r="J246" s="9">
        <f t="shared" si="86"/>
        <v>663</v>
      </c>
    </row>
    <row r="247" spans="1:10">
      <c r="A247" s="9">
        <v>67</v>
      </c>
      <c r="B247" s="9" t="str">
        <f t="shared" si="87"/>
        <v>2-1-6斗渠</v>
      </c>
      <c r="C247" s="42"/>
      <c r="D247" s="10">
        <f t="shared" si="82"/>
        <v>800</v>
      </c>
      <c r="E247" s="9">
        <f t="shared" si="83"/>
        <v>844</v>
      </c>
      <c r="F247" s="9">
        <v>139</v>
      </c>
      <c r="G247" s="9" t="str">
        <f t="shared" si="84"/>
        <v>2-7-6斗渠</v>
      </c>
      <c r="H247" s="43"/>
      <c r="I247" s="10">
        <f t="shared" si="85"/>
        <v>2100</v>
      </c>
      <c r="J247" s="9">
        <f t="shared" si="86"/>
        <v>1602</v>
      </c>
    </row>
    <row r="248" spans="1:10">
      <c r="A248" s="9">
        <v>68</v>
      </c>
      <c r="B248" s="9" t="str">
        <f t="shared" si="87"/>
        <v>2-1-7斗渠</v>
      </c>
      <c r="C248" s="42"/>
      <c r="D248" s="10">
        <f t="shared" si="82"/>
        <v>1150</v>
      </c>
      <c r="E248" s="9">
        <f t="shared" si="83"/>
        <v>1509</v>
      </c>
      <c r="F248" s="9">
        <v>140</v>
      </c>
      <c r="G248" s="9" t="str">
        <f t="shared" si="84"/>
        <v>2-7-7斗渠</v>
      </c>
      <c r="H248" s="43"/>
      <c r="I248" s="10">
        <f t="shared" si="85"/>
        <v>2450</v>
      </c>
      <c r="J248" s="9">
        <f t="shared" si="86"/>
        <v>1612</v>
      </c>
    </row>
    <row r="249" spans="1:10">
      <c r="A249" s="9">
        <v>69</v>
      </c>
      <c r="B249" s="9" t="str">
        <f t="shared" si="87"/>
        <v>2-1-8斗渠</v>
      </c>
      <c r="C249" s="42"/>
      <c r="D249" s="10">
        <f t="shared" si="82"/>
        <v>1200</v>
      </c>
      <c r="E249" s="9">
        <f t="shared" si="83"/>
        <v>801</v>
      </c>
      <c r="F249" s="9">
        <v>141</v>
      </c>
      <c r="G249" s="9" t="str">
        <f t="shared" si="84"/>
        <v>2-7-8斗渠</v>
      </c>
      <c r="H249" s="43"/>
      <c r="I249" s="10">
        <f t="shared" si="85"/>
        <v>2765</v>
      </c>
      <c r="J249" s="9">
        <f t="shared" si="86"/>
        <v>957</v>
      </c>
    </row>
    <row r="250" spans="1:10">
      <c r="A250" s="9">
        <v>70</v>
      </c>
      <c r="B250" s="9" t="str">
        <f t="shared" si="87"/>
        <v>2-1-9斗渠</v>
      </c>
      <c r="C250" s="42"/>
      <c r="D250" s="10">
        <f t="shared" si="82"/>
        <v>1470</v>
      </c>
      <c r="E250" s="9">
        <f t="shared" si="83"/>
        <v>1392</v>
      </c>
      <c r="F250" s="9">
        <v>142</v>
      </c>
      <c r="G250" s="9" t="str">
        <f t="shared" si="84"/>
        <v>2-7-9斗渠</v>
      </c>
      <c r="H250" s="43"/>
      <c r="I250" s="10">
        <f t="shared" si="85"/>
        <v>3600</v>
      </c>
      <c r="J250" s="9">
        <f t="shared" si="86"/>
        <v>1020</v>
      </c>
    </row>
    <row r="251" spans="1:10">
      <c r="A251" s="9">
        <v>71</v>
      </c>
      <c r="B251" s="9" t="str">
        <f t="shared" si="87"/>
        <v>2-1-10斗渠</v>
      </c>
      <c r="C251" s="42"/>
      <c r="D251" s="10">
        <f t="shared" si="82"/>
        <v>1680</v>
      </c>
      <c r="E251" s="9">
        <f t="shared" si="83"/>
        <v>747</v>
      </c>
      <c r="F251" s="9">
        <v>143</v>
      </c>
      <c r="G251" s="9" t="str">
        <f t="shared" si="84"/>
        <v>2-7-10斗渠</v>
      </c>
      <c r="H251" s="43"/>
      <c r="I251" s="10">
        <f t="shared" si="85"/>
        <v>4250</v>
      </c>
      <c r="J251" s="9">
        <f t="shared" si="86"/>
        <v>1029</v>
      </c>
    </row>
    <row r="252" spans="1:10">
      <c r="A252" s="9">
        <v>72</v>
      </c>
      <c r="B252" s="9" t="str">
        <f t="shared" si="87"/>
        <v>2-1-11斗渠</v>
      </c>
      <c r="C252" s="42"/>
      <c r="D252" s="10">
        <f t="shared" si="82"/>
        <v>1800</v>
      </c>
      <c r="E252" s="9">
        <f t="shared" si="83"/>
        <v>1278</v>
      </c>
      <c r="F252" s="9">
        <v>144</v>
      </c>
      <c r="G252" s="9" t="str">
        <f t="shared" si="84"/>
        <v>2-7-11斗渠</v>
      </c>
      <c r="H252" s="43"/>
      <c r="I252" s="10">
        <f t="shared" si="85"/>
        <v>5020</v>
      </c>
      <c r="J252" s="9">
        <f t="shared" si="86"/>
        <v>891</v>
      </c>
    </row>
  </sheetData>
  <mergeCells count="28">
    <mergeCell ref="H225:H233"/>
    <mergeCell ref="H234:H241"/>
    <mergeCell ref="H242:H252"/>
    <mergeCell ref="C236:C241"/>
    <mergeCell ref="H192:H203"/>
    <mergeCell ref="H204:H214"/>
    <mergeCell ref="H215:H224"/>
    <mergeCell ref="C180:D180"/>
    <mergeCell ref="C181:C195"/>
    <mergeCell ref="C196:C208"/>
    <mergeCell ref="C209:C223"/>
    <mergeCell ref="C224:C235"/>
    <mergeCell ref="H180:I180"/>
    <mergeCell ref="C242:C252"/>
    <mergeCell ref="H181:H191"/>
    <mergeCell ref="N60:N62"/>
    <mergeCell ref="N7:O7"/>
    <mergeCell ref="N9:N16"/>
    <mergeCell ref="N23:N30"/>
    <mergeCell ref="N31:N42"/>
    <mergeCell ref="N43:N59"/>
    <mergeCell ref="N133:N142"/>
    <mergeCell ref="N63:N82"/>
    <mergeCell ref="N83:N90"/>
    <mergeCell ref="N91:N106"/>
    <mergeCell ref="N107:N117"/>
    <mergeCell ref="N118:N123"/>
    <mergeCell ref="N128:N13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21"/>
  <sheetViews>
    <sheetView topLeftCell="P307" workbookViewId="0">
      <selection activeCell="Y375" sqref="Y375"/>
    </sheetView>
  </sheetViews>
  <sheetFormatPr defaultRowHeight="14.4"/>
  <cols>
    <col min="25" max="25" width="9.44140625" bestFit="1" customWidth="1"/>
  </cols>
  <sheetData>
    <row r="1" spans="1:21">
      <c r="A1" s="18" t="s">
        <v>523</v>
      </c>
      <c r="D1" s="18" t="s">
        <v>524</v>
      </c>
      <c r="G1" s="18" t="s">
        <v>525</v>
      </c>
      <c r="J1" s="18" t="s">
        <v>526</v>
      </c>
      <c r="M1" s="18" t="s">
        <v>527</v>
      </c>
      <c r="P1" s="18" t="s">
        <v>528</v>
      </c>
      <c r="S1" s="18" t="s">
        <v>529</v>
      </c>
    </row>
    <row r="2" spans="1:21">
      <c r="A2">
        <v>0</v>
      </c>
      <c r="B2">
        <v>1725.71</v>
      </c>
      <c r="D2">
        <v>0</v>
      </c>
      <c r="E2">
        <v>1721.7</v>
      </c>
      <c r="G2">
        <v>0</v>
      </c>
      <c r="H2">
        <v>1717.86</v>
      </c>
      <c r="J2">
        <v>0</v>
      </c>
      <c r="K2">
        <v>1715.72</v>
      </c>
      <c r="M2">
        <v>0</v>
      </c>
      <c r="N2">
        <v>1715.2</v>
      </c>
      <c r="P2">
        <v>0</v>
      </c>
      <c r="Q2">
        <v>1713.59</v>
      </c>
      <c r="S2">
        <v>0</v>
      </c>
      <c r="T2">
        <v>1711.61</v>
      </c>
    </row>
    <row r="3" spans="1:21">
      <c r="A3">
        <v>200</v>
      </c>
      <c r="B3">
        <v>1723.07</v>
      </c>
      <c r="D3">
        <v>200</v>
      </c>
      <c r="E3">
        <v>1718.89</v>
      </c>
      <c r="G3">
        <v>200</v>
      </c>
      <c r="H3">
        <v>1715.9</v>
      </c>
      <c r="J3">
        <v>200</v>
      </c>
      <c r="K3">
        <v>1713.7</v>
      </c>
      <c r="M3">
        <v>200</v>
      </c>
      <c r="N3">
        <v>1712</v>
      </c>
      <c r="P3">
        <v>200</v>
      </c>
      <c r="Q3">
        <v>1710.5</v>
      </c>
      <c r="S3">
        <v>200</v>
      </c>
      <c r="T3">
        <v>1708.5</v>
      </c>
    </row>
    <row r="4" spans="1:21">
      <c r="A4">
        <v>400</v>
      </c>
      <c r="B4">
        <v>1719.29</v>
      </c>
      <c r="D4">
        <v>400</v>
      </c>
      <c r="E4">
        <v>1714.12</v>
      </c>
      <c r="G4">
        <v>400</v>
      </c>
      <c r="H4">
        <v>1712.96</v>
      </c>
      <c r="J4">
        <v>400</v>
      </c>
      <c r="K4">
        <v>1710.8</v>
      </c>
      <c r="M4">
        <v>400</v>
      </c>
      <c r="N4">
        <v>1709.3</v>
      </c>
      <c r="P4">
        <v>400</v>
      </c>
      <c r="Q4">
        <v>1708.1</v>
      </c>
      <c r="S4">
        <v>400</v>
      </c>
      <c r="T4">
        <v>1706.1</v>
      </c>
    </row>
    <row r="5" spans="1:21">
      <c r="A5">
        <v>600</v>
      </c>
      <c r="B5">
        <v>1716.48</v>
      </c>
      <c r="D5">
        <v>600</v>
      </c>
      <c r="E5">
        <v>1712.02</v>
      </c>
      <c r="G5">
        <v>600</v>
      </c>
      <c r="H5">
        <v>1709.85</v>
      </c>
      <c r="J5">
        <v>600</v>
      </c>
      <c r="K5">
        <v>1707.86</v>
      </c>
      <c r="M5">
        <v>600</v>
      </c>
      <c r="N5">
        <v>1706.7</v>
      </c>
      <c r="P5">
        <v>600</v>
      </c>
      <c r="Q5">
        <v>1704.5</v>
      </c>
      <c r="S5">
        <v>600</v>
      </c>
      <c r="T5">
        <v>1702.6</v>
      </c>
    </row>
    <row r="6" spans="1:21">
      <c r="A6">
        <v>800</v>
      </c>
      <c r="B6">
        <v>1714.04</v>
      </c>
      <c r="D6">
        <v>800</v>
      </c>
      <c r="E6">
        <v>1709.15</v>
      </c>
      <c r="G6">
        <v>800</v>
      </c>
      <c r="H6">
        <v>1706.95</v>
      </c>
      <c r="J6">
        <v>800</v>
      </c>
      <c r="K6">
        <v>1704.93</v>
      </c>
      <c r="M6">
        <v>800</v>
      </c>
      <c r="N6">
        <v>1703.9</v>
      </c>
      <c r="P6">
        <v>800</v>
      </c>
      <c r="Q6">
        <v>1701.74</v>
      </c>
      <c r="S6">
        <v>800</v>
      </c>
      <c r="T6">
        <v>1699.8</v>
      </c>
    </row>
    <row r="7" spans="1:21">
      <c r="A7">
        <v>1000</v>
      </c>
      <c r="B7">
        <v>1711.91</v>
      </c>
      <c r="D7">
        <v>1000</v>
      </c>
      <c r="E7">
        <v>1707.3</v>
      </c>
      <c r="G7">
        <v>1000</v>
      </c>
      <c r="H7">
        <v>1704.4</v>
      </c>
      <c r="J7">
        <v>1000</v>
      </c>
      <c r="K7">
        <v>1701.52</v>
      </c>
      <c r="M7">
        <v>1000</v>
      </c>
      <c r="N7">
        <v>1700.61</v>
      </c>
      <c r="P7">
        <v>1000</v>
      </c>
      <c r="Q7">
        <v>1699</v>
      </c>
      <c r="S7">
        <v>1000</v>
      </c>
      <c r="T7">
        <v>1697.25</v>
      </c>
    </row>
    <row r="8" spans="1:21">
      <c r="A8">
        <v>1200</v>
      </c>
      <c r="B8">
        <v>1709.85</v>
      </c>
      <c r="D8">
        <v>1200</v>
      </c>
      <c r="E8">
        <v>1704.15</v>
      </c>
      <c r="G8">
        <v>1200</v>
      </c>
      <c r="H8">
        <v>1701.45</v>
      </c>
      <c r="J8">
        <v>1200</v>
      </c>
      <c r="K8">
        <v>1699.3</v>
      </c>
      <c r="M8">
        <v>1200</v>
      </c>
      <c r="N8">
        <v>1697.65</v>
      </c>
      <c r="P8">
        <v>1200</v>
      </c>
      <c r="Q8">
        <v>1696.45</v>
      </c>
      <c r="S8">
        <v>1200</v>
      </c>
      <c r="T8">
        <v>1695</v>
      </c>
    </row>
    <row r="9" spans="1:21">
      <c r="A9">
        <v>1400</v>
      </c>
      <c r="B9">
        <v>1707.77</v>
      </c>
      <c r="D9">
        <v>1400</v>
      </c>
      <c r="E9">
        <v>1703.2</v>
      </c>
      <c r="G9">
        <v>1400</v>
      </c>
      <c r="H9">
        <v>1698.7</v>
      </c>
      <c r="J9">
        <v>1400</v>
      </c>
      <c r="K9">
        <v>1696.3</v>
      </c>
      <c r="M9">
        <v>1400</v>
      </c>
      <c r="N9">
        <v>1695.1</v>
      </c>
      <c r="P9">
        <v>1400</v>
      </c>
      <c r="Q9">
        <v>1693.9</v>
      </c>
      <c r="S9">
        <v>1400</v>
      </c>
      <c r="T9">
        <v>1692.3</v>
      </c>
    </row>
    <row r="10" spans="1:21">
      <c r="A10">
        <v>1600</v>
      </c>
      <c r="B10">
        <v>1705.65</v>
      </c>
      <c r="D10">
        <v>1600</v>
      </c>
      <c r="E10">
        <v>1699.6</v>
      </c>
      <c r="G10">
        <v>1600</v>
      </c>
      <c r="H10">
        <v>1695.5</v>
      </c>
      <c r="J10">
        <v>1600</v>
      </c>
      <c r="K10">
        <v>1693.5</v>
      </c>
      <c r="M10">
        <v>1600</v>
      </c>
      <c r="N10">
        <v>1692</v>
      </c>
      <c r="P10">
        <v>1600</v>
      </c>
      <c r="Q10">
        <v>1691.77</v>
      </c>
      <c r="S10">
        <v>1600</v>
      </c>
      <c r="T10">
        <v>1689.8</v>
      </c>
    </row>
    <row r="11" spans="1:21">
      <c r="A11">
        <v>1800</v>
      </c>
      <c r="B11">
        <v>1703.33</v>
      </c>
      <c r="D11">
        <v>1800</v>
      </c>
      <c r="E11">
        <v>1698.4</v>
      </c>
      <c r="G11">
        <v>1800</v>
      </c>
      <c r="H11">
        <v>1692.4</v>
      </c>
      <c r="J11">
        <v>1800</v>
      </c>
      <c r="K11">
        <v>1690.9</v>
      </c>
      <c r="M11">
        <v>1800</v>
      </c>
      <c r="N11">
        <v>1688.9</v>
      </c>
      <c r="P11">
        <v>1800</v>
      </c>
      <c r="Q11">
        <v>1688.2</v>
      </c>
      <c r="S11">
        <v>1800</v>
      </c>
      <c r="T11">
        <v>1686.8</v>
      </c>
    </row>
    <row r="12" spans="1:21">
      <c r="A12">
        <v>2000</v>
      </c>
      <c r="B12">
        <v>1701.43</v>
      </c>
      <c r="D12">
        <v>2000</v>
      </c>
      <c r="E12">
        <v>1697.2</v>
      </c>
      <c r="G12">
        <v>2000</v>
      </c>
      <c r="H12">
        <v>1689</v>
      </c>
      <c r="J12">
        <v>2000</v>
      </c>
      <c r="K12">
        <v>1688.27</v>
      </c>
      <c r="M12">
        <v>2000</v>
      </c>
      <c r="N12">
        <v>1686.4</v>
      </c>
      <c r="P12">
        <v>2000</v>
      </c>
      <c r="Q12">
        <v>1685.5</v>
      </c>
      <c r="S12">
        <v>2000</v>
      </c>
      <c r="T12">
        <v>1684</v>
      </c>
    </row>
    <row r="13" spans="1:21">
      <c r="A13">
        <v>2200</v>
      </c>
      <c r="B13">
        <v>1699.6</v>
      </c>
      <c r="D13">
        <v>2200</v>
      </c>
      <c r="E13">
        <v>1695.28</v>
      </c>
      <c r="G13">
        <v>2200</v>
      </c>
      <c r="H13">
        <v>1687</v>
      </c>
      <c r="J13">
        <v>2200</v>
      </c>
      <c r="K13">
        <v>1685.7</v>
      </c>
      <c r="M13">
        <v>2200</v>
      </c>
      <c r="N13">
        <v>1683.9</v>
      </c>
      <c r="P13">
        <v>2200</v>
      </c>
      <c r="Q13">
        <v>1682.6</v>
      </c>
      <c r="S13">
        <v>2200</v>
      </c>
      <c r="T13">
        <v>1681.2</v>
      </c>
    </row>
    <row r="14" spans="1:21">
      <c r="A14">
        <v>2400</v>
      </c>
      <c r="B14">
        <v>1697.25</v>
      </c>
      <c r="D14">
        <v>2400</v>
      </c>
      <c r="E14">
        <v>1693.39</v>
      </c>
      <c r="G14">
        <v>2400</v>
      </c>
      <c r="H14">
        <v>1685.35</v>
      </c>
      <c r="J14">
        <v>2400</v>
      </c>
      <c r="K14">
        <v>1683.7</v>
      </c>
      <c r="M14">
        <v>2400</v>
      </c>
      <c r="N14">
        <v>1681.4</v>
      </c>
      <c r="P14">
        <v>2400</v>
      </c>
      <c r="Q14">
        <v>1679.6</v>
      </c>
      <c r="S14">
        <v>2400</v>
      </c>
      <c r="T14">
        <v>1678.55</v>
      </c>
    </row>
    <row r="15" spans="1:21">
      <c r="A15">
        <v>2600</v>
      </c>
      <c r="B15">
        <v>1694.7</v>
      </c>
      <c r="D15">
        <v>2600</v>
      </c>
      <c r="E15">
        <v>1691.23</v>
      </c>
      <c r="G15">
        <v>2600</v>
      </c>
      <c r="H15">
        <v>1683.5</v>
      </c>
      <c r="J15">
        <v>2600</v>
      </c>
      <c r="K15">
        <v>1680.95</v>
      </c>
      <c r="M15">
        <v>2600</v>
      </c>
      <c r="N15">
        <v>1678.2</v>
      </c>
      <c r="P15">
        <v>2600</v>
      </c>
      <c r="Q15">
        <v>1676.9</v>
      </c>
      <c r="S15">
        <v>2600</v>
      </c>
      <c r="T15">
        <v>1675.96</v>
      </c>
    </row>
    <row r="16" spans="1:21">
      <c r="A16">
        <v>2800</v>
      </c>
      <c r="B16">
        <v>1691.74</v>
      </c>
      <c r="D16">
        <v>2800</v>
      </c>
      <c r="E16">
        <v>1689.28</v>
      </c>
      <c r="G16">
        <v>2800</v>
      </c>
      <c r="H16">
        <v>1682</v>
      </c>
      <c r="J16">
        <v>2800</v>
      </c>
      <c r="K16">
        <v>1677.8</v>
      </c>
      <c r="M16">
        <v>2800</v>
      </c>
      <c r="N16">
        <v>1675.68</v>
      </c>
      <c r="P16">
        <v>2800</v>
      </c>
      <c r="Q16">
        <v>1673.9</v>
      </c>
      <c r="S16">
        <v>2720</v>
      </c>
      <c r="T16">
        <v>1674.62</v>
      </c>
      <c r="U16" s="17"/>
    </row>
    <row r="17" spans="1:27">
      <c r="A17">
        <v>3000</v>
      </c>
      <c r="B17">
        <v>1689.9</v>
      </c>
      <c r="D17">
        <v>3000</v>
      </c>
      <c r="E17">
        <v>1687.29</v>
      </c>
      <c r="G17">
        <v>3000</v>
      </c>
      <c r="H17">
        <v>1681</v>
      </c>
      <c r="J17">
        <v>3000</v>
      </c>
      <c r="K17">
        <v>1676.4</v>
      </c>
      <c r="M17">
        <v>3000</v>
      </c>
      <c r="N17">
        <v>1673</v>
      </c>
      <c r="P17">
        <v>3000</v>
      </c>
      <c r="Q17">
        <v>1671.5</v>
      </c>
    </row>
    <row r="18" spans="1:27">
      <c r="A18">
        <v>3200</v>
      </c>
      <c r="B18">
        <v>1687.8</v>
      </c>
      <c r="D18">
        <v>3200</v>
      </c>
      <c r="E18">
        <v>1685.45</v>
      </c>
      <c r="G18">
        <v>3200</v>
      </c>
      <c r="H18">
        <v>1679.5</v>
      </c>
      <c r="J18">
        <v>3200</v>
      </c>
      <c r="K18">
        <v>1674.6</v>
      </c>
      <c r="M18">
        <v>3200</v>
      </c>
      <c r="N18">
        <v>1671.35</v>
      </c>
      <c r="P18">
        <v>3200</v>
      </c>
      <c r="Q18">
        <v>1669.3</v>
      </c>
    </row>
    <row r="19" spans="1:27">
      <c r="A19">
        <v>3400</v>
      </c>
      <c r="B19">
        <v>1685.79</v>
      </c>
      <c r="D19">
        <v>3400</v>
      </c>
      <c r="E19">
        <v>1683.53</v>
      </c>
      <c r="G19">
        <v>3400</v>
      </c>
      <c r="H19">
        <v>1677.6</v>
      </c>
      <c r="J19">
        <v>3400</v>
      </c>
      <c r="K19">
        <v>1673</v>
      </c>
      <c r="M19">
        <v>3400</v>
      </c>
      <c r="N19">
        <v>1670.1</v>
      </c>
      <c r="P19">
        <v>3400</v>
      </c>
      <c r="Q19">
        <v>1668.3</v>
      </c>
    </row>
    <row r="20" spans="1:27">
      <c r="A20">
        <v>3600</v>
      </c>
      <c r="B20">
        <v>1684</v>
      </c>
      <c r="D20">
        <v>3600</v>
      </c>
      <c r="E20">
        <v>1681.9</v>
      </c>
      <c r="G20">
        <v>3600</v>
      </c>
      <c r="H20">
        <v>1675.88</v>
      </c>
      <c r="J20">
        <v>3600</v>
      </c>
      <c r="K20">
        <v>1671.7</v>
      </c>
      <c r="M20">
        <v>3550</v>
      </c>
      <c r="N20">
        <v>1669.8</v>
      </c>
      <c r="R20" s="1"/>
    </row>
    <row r="21" spans="1:27">
      <c r="A21">
        <v>3800</v>
      </c>
      <c r="B21">
        <v>1682.65</v>
      </c>
      <c r="D21">
        <v>3800</v>
      </c>
      <c r="E21">
        <v>1680.05</v>
      </c>
      <c r="G21">
        <v>3800</v>
      </c>
      <c r="H21">
        <v>1674.23</v>
      </c>
      <c r="J21">
        <v>3800</v>
      </c>
      <c r="K21">
        <v>1670.5</v>
      </c>
      <c r="O21" s="1"/>
      <c r="U21" s="20"/>
    </row>
    <row r="22" spans="1:27">
      <c r="A22">
        <v>4000</v>
      </c>
      <c r="B22">
        <v>1680.3</v>
      </c>
      <c r="D22">
        <v>4000</v>
      </c>
      <c r="E22">
        <v>1678.2</v>
      </c>
      <c r="F22" s="1"/>
      <c r="G22">
        <v>4000</v>
      </c>
      <c r="H22">
        <v>1673.3</v>
      </c>
      <c r="I22" s="1"/>
      <c r="J22">
        <v>4000</v>
      </c>
      <c r="K22">
        <v>1669.8</v>
      </c>
      <c r="L22" s="1"/>
    </row>
    <row r="23" spans="1:27">
      <c r="A23">
        <v>4150</v>
      </c>
      <c r="B23">
        <v>1678.65</v>
      </c>
      <c r="D23">
        <v>4200</v>
      </c>
      <c r="E23">
        <v>1676.3</v>
      </c>
      <c r="G23">
        <v>4200</v>
      </c>
      <c r="H23">
        <v>1672.2</v>
      </c>
    </row>
    <row r="24" spans="1:27">
      <c r="C24" s="1"/>
      <c r="D24">
        <v>4400</v>
      </c>
      <c r="E24">
        <v>1674.6</v>
      </c>
      <c r="G24">
        <v>4400</v>
      </c>
      <c r="H24">
        <v>1671.25</v>
      </c>
    </row>
    <row r="25" spans="1:27">
      <c r="D25">
        <v>4600</v>
      </c>
      <c r="E25">
        <v>1673.17</v>
      </c>
    </row>
    <row r="26" spans="1:27">
      <c r="D26">
        <v>4800</v>
      </c>
      <c r="E26">
        <v>1671.48</v>
      </c>
    </row>
    <row r="29" spans="1:27">
      <c r="A29" s="15" t="s">
        <v>532</v>
      </c>
    </row>
    <row r="30" spans="1:27">
      <c r="A30" s="43" t="s">
        <v>359</v>
      </c>
      <c r="B30" s="43" t="s">
        <v>336</v>
      </c>
      <c r="C30" s="43" t="s">
        <v>337</v>
      </c>
      <c r="D30" s="43"/>
      <c r="E30" s="43" t="s">
        <v>338</v>
      </c>
      <c r="F30" s="43"/>
      <c r="G30" s="43" t="s">
        <v>339</v>
      </c>
      <c r="H30" s="43"/>
      <c r="I30" s="9" t="s">
        <v>340</v>
      </c>
      <c r="J30" s="9" t="s">
        <v>289</v>
      </c>
      <c r="K30" s="9"/>
      <c r="L30" s="9" t="s">
        <v>438</v>
      </c>
      <c r="M30" s="11"/>
      <c r="N30" s="11"/>
      <c r="O30" s="9" t="s">
        <v>343</v>
      </c>
      <c r="P30" s="9" t="s">
        <v>344</v>
      </c>
      <c r="Q30" s="43" t="s">
        <v>521</v>
      </c>
      <c r="R30" s="43" t="s">
        <v>522</v>
      </c>
      <c r="S30" s="43" t="s">
        <v>346</v>
      </c>
      <c r="T30" s="43" t="s">
        <v>347</v>
      </c>
      <c r="U30" s="43" t="s">
        <v>359</v>
      </c>
    </row>
    <row r="31" spans="1:27" ht="15.6">
      <c r="A31" s="43"/>
      <c r="B31" s="43"/>
      <c r="C31" s="9" t="s">
        <v>349</v>
      </c>
      <c r="D31" s="9" t="s">
        <v>348</v>
      </c>
      <c r="E31" s="9" t="s">
        <v>351</v>
      </c>
      <c r="F31" s="9" t="s">
        <v>352</v>
      </c>
      <c r="G31" s="9" t="s">
        <v>353</v>
      </c>
      <c r="H31" s="9" t="s">
        <v>354</v>
      </c>
      <c r="I31" s="9" t="s">
        <v>309</v>
      </c>
      <c r="J31" s="9" t="s">
        <v>308</v>
      </c>
      <c r="K31" s="9"/>
      <c r="L31" s="9" t="s">
        <v>306</v>
      </c>
      <c r="M31" s="11" t="s">
        <v>368</v>
      </c>
      <c r="N31" s="11" t="s">
        <v>366</v>
      </c>
      <c r="O31" s="9" t="s">
        <v>355</v>
      </c>
      <c r="P31" s="9" t="s">
        <v>310</v>
      </c>
      <c r="Q31" s="43"/>
      <c r="R31" s="43"/>
      <c r="S31" s="43"/>
      <c r="T31" s="43"/>
      <c r="U31" s="43"/>
    </row>
    <row r="32" spans="1:27" ht="16.2">
      <c r="A32" s="9"/>
      <c r="B32" s="9" t="s">
        <v>356</v>
      </c>
      <c r="C32" s="9" t="s">
        <v>358</v>
      </c>
      <c r="D32" s="9" t="s">
        <v>358</v>
      </c>
      <c r="E32" s="9" t="s">
        <v>357</v>
      </c>
      <c r="F32" s="9" t="s">
        <v>357</v>
      </c>
      <c r="G32" s="9" t="s">
        <v>307</v>
      </c>
      <c r="H32" s="9" t="s">
        <v>307</v>
      </c>
      <c r="I32" s="9"/>
      <c r="J32" s="9"/>
      <c r="K32" s="9"/>
      <c r="L32" s="9" t="s">
        <v>307</v>
      </c>
      <c r="M32" s="9"/>
      <c r="N32" s="9"/>
      <c r="O32" s="9" t="s">
        <v>307</v>
      </c>
      <c r="P32" s="9" t="s">
        <v>307</v>
      </c>
      <c r="Q32" s="9" t="s">
        <v>307</v>
      </c>
      <c r="R32" s="9" t="s">
        <v>307</v>
      </c>
      <c r="S32" s="9" t="s">
        <v>307</v>
      </c>
      <c r="T32" s="9" t="s">
        <v>307</v>
      </c>
      <c r="U32" s="9"/>
      <c r="W32" t="s">
        <v>336</v>
      </c>
      <c r="X32" t="s">
        <v>773</v>
      </c>
      <c r="Y32" t="s">
        <v>774</v>
      </c>
      <c r="Z32" t="s">
        <v>776</v>
      </c>
      <c r="AA32" t="s">
        <v>775</v>
      </c>
    </row>
    <row r="33" spans="1:27">
      <c r="A33" s="9"/>
      <c r="B33" s="10">
        <f>A2</f>
        <v>0</v>
      </c>
      <c r="C33" s="9">
        <f>ROUND(D33*1.3,2)</f>
        <v>0.61</v>
      </c>
      <c r="D33" s="9">
        <f>支渠!M8</f>
        <v>0.47</v>
      </c>
      <c r="E33" s="9">
        <f>ROUND(C33/N33,2)</f>
        <v>2.35</v>
      </c>
      <c r="F33" s="9">
        <f>ROUND(D33/M33,2)</f>
        <v>2.14</v>
      </c>
      <c r="G33" s="9">
        <v>0.41</v>
      </c>
      <c r="H33" s="9">
        <v>0.36</v>
      </c>
      <c r="I33" s="9">
        <v>1.4999999999999999E-2</v>
      </c>
      <c r="J33" s="9">
        <v>0.01</v>
      </c>
      <c r="K33" s="9" t="str">
        <f>"1/"&amp;ROUND(1/J33,0)</f>
        <v>1/100</v>
      </c>
      <c r="L33" s="9" t="s">
        <v>520</v>
      </c>
      <c r="M33" s="9">
        <v>0.22</v>
      </c>
      <c r="N33" s="9">
        <v>0.26</v>
      </c>
      <c r="O33" s="9">
        <f t="shared" ref="O33" si="0">P33-G33</f>
        <v>0.39000000000000007</v>
      </c>
      <c r="P33" s="9">
        <v>0.8</v>
      </c>
      <c r="Q33" s="9">
        <f>R33+0.4</f>
        <v>1726.1100000000001</v>
      </c>
      <c r="R33" s="9">
        <f>B2</f>
        <v>1725.71</v>
      </c>
      <c r="S33" s="9">
        <f>R33-0.1</f>
        <v>1725.6100000000001</v>
      </c>
      <c r="T33" s="14">
        <f t="shared" ref="T33:T55" si="1">S33+H33</f>
        <v>1725.97</v>
      </c>
      <c r="U33" s="9"/>
      <c r="W33" s="23">
        <f t="shared" ref="W33:W46" si="2">B33</f>
        <v>0</v>
      </c>
      <c r="X33">
        <f>Z33+P33</f>
        <v>1726.41</v>
      </c>
      <c r="Y33" s="3">
        <f t="shared" ref="Y33:Y46" si="3">T33</f>
        <v>1725.97</v>
      </c>
      <c r="Z33">
        <f t="shared" ref="Z33:Z46" si="4">S33</f>
        <v>1725.6100000000001</v>
      </c>
      <c r="AA33">
        <f t="shared" ref="AA33:AA46" si="5">Q33</f>
        <v>1726.1100000000001</v>
      </c>
    </row>
    <row r="34" spans="1:27">
      <c r="A34" s="12"/>
      <c r="B34" s="10">
        <f t="shared" ref="B34:B46" si="6">A3</f>
        <v>200</v>
      </c>
      <c r="C34" s="9">
        <f t="shared" ref="C34:C55" si="7">ROUND(D34*1.3,2)</f>
        <v>0.61</v>
      </c>
      <c r="D34" s="9">
        <f>D33</f>
        <v>0.47</v>
      </c>
      <c r="E34" s="9">
        <f>ROUND(C34/N34,2)</f>
        <v>2.35</v>
      </c>
      <c r="F34" s="9">
        <f>ROUND(D34/M34,2)</f>
        <v>2.14</v>
      </c>
      <c r="G34" s="9">
        <f>G33</f>
        <v>0.41</v>
      </c>
      <c r="H34" s="9">
        <f>H33</f>
        <v>0.36</v>
      </c>
      <c r="I34" s="9">
        <v>1.4999999999999999E-2</v>
      </c>
      <c r="J34" s="9">
        <v>0.01</v>
      </c>
      <c r="K34" s="9" t="str">
        <f>"1/"&amp;ROUND(1/J34,0)</f>
        <v>1/100</v>
      </c>
      <c r="L34" s="9" t="s">
        <v>520</v>
      </c>
      <c r="M34" s="9">
        <f>M33</f>
        <v>0.22</v>
      </c>
      <c r="N34" s="9">
        <f>N33</f>
        <v>0.26</v>
      </c>
      <c r="O34" s="9">
        <f t="shared" ref="O34:O55" si="8">P34-G34</f>
        <v>0.39000000000000007</v>
      </c>
      <c r="P34" s="9">
        <v>0.8</v>
      </c>
      <c r="Q34" s="9">
        <f>R34+0.4</f>
        <v>1723.47</v>
      </c>
      <c r="R34" s="9">
        <f t="shared" ref="R34:R46" si="9">B3</f>
        <v>1723.07</v>
      </c>
      <c r="S34" s="9">
        <f>R34-0.1</f>
        <v>1722.97</v>
      </c>
      <c r="T34" s="14">
        <f t="shared" si="1"/>
        <v>1723.33</v>
      </c>
      <c r="U34" s="9"/>
      <c r="W34" s="23">
        <f t="shared" si="2"/>
        <v>200</v>
      </c>
      <c r="X34">
        <f t="shared" ref="X34:X46" si="10">Z34+P34</f>
        <v>1723.77</v>
      </c>
      <c r="Y34" s="3">
        <f t="shared" si="3"/>
        <v>1723.33</v>
      </c>
      <c r="Z34">
        <f t="shared" si="4"/>
        <v>1722.97</v>
      </c>
      <c r="AA34">
        <f t="shared" si="5"/>
        <v>1723.47</v>
      </c>
    </row>
    <row r="35" spans="1:27">
      <c r="A35" s="9"/>
      <c r="B35" s="10">
        <f t="shared" si="6"/>
        <v>400</v>
      </c>
      <c r="C35" s="9">
        <f t="shared" si="7"/>
        <v>0.61</v>
      </c>
      <c r="D35" s="9">
        <f t="shared" ref="D35:D55" si="11">D34</f>
        <v>0.47</v>
      </c>
      <c r="E35" s="9">
        <f t="shared" ref="E35:E55" si="12">ROUND(C35/N35,2)</f>
        <v>2.35</v>
      </c>
      <c r="F35" s="9">
        <f t="shared" ref="F35:F55" si="13">ROUND(D35/M35,2)</f>
        <v>2.14</v>
      </c>
      <c r="G35" s="9">
        <f>G34</f>
        <v>0.41</v>
      </c>
      <c r="H35" s="9">
        <f>H34</f>
        <v>0.36</v>
      </c>
      <c r="I35" s="9">
        <v>1.4999999999999999E-2</v>
      </c>
      <c r="J35" s="9">
        <f>J34</f>
        <v>0.01</v>
      </c>
      <c r="K35" s="9" t="str">
        <f t="shared" ref="K35:K55" si="14">"1/"&amp;ROUND(1/J35,0)</f>
        <v>1/100</v>
      </c>
      <c r="L35" s="9" t="str">
        <f>L34</f>
        <v>U80</v>
      </c>
      <c r="M35" s="9">
        <f>M34</f>
        <v>0.22</v>
      </c>
      <c r="N35" s="9">
        <f>N34</f>
        <v>0.26</v>
      </c>
      <c r="O35" s="9">
        <f t="shared" si="8"/>
        <v>0.39000000000000007</v>
      </c>
      <c r="P35" s="9">
        <f>P34</f>
        <v>0.8</v>
      </c>
      <c r="Q35" s="9">
        <f t="shared" ref="Q35:Q47" si="15">R35+0.4</f>
        <v>1719.69</v>
      </c>
      <c r="R35" s="9">
        <f t="shared" si="9"/>
        <v>1719.29</v>
      </c>
      <c r="S35" s="9">
        <f t="shared" ref="S35:S55" si="16">R35-0.1</f>
        <v>1719.19</v>
      </c>
      <c r="T35" s="14">
        <f t="shared" si="1"/>
        <v>1719.55</v>
      </c>
      <c r="U35" s="9"/>
      <c r="W35" s="23">
        <f t="shared" si="2"/>
        <v>400</v>
      </c>
      <c r="X35">
        <f t="shared" si="10"/>
        <v>1719.99</v>
      </c>
      <c r="Y35" s="3">
        <f t="shared" si="3"/>
        <v>1719.55</v>
      </c>
      <c r="Z35">
        <f t="shared" si="4"/>
        <v>1719.19</v>
      </c>
      <c r="AA35">
        <f t="shared" si="5"/>
        <v>1719.69</v>
      </c>
    </row>
    <row r="36" spans="1:27">
      <c r="A36" s="9"/>
      <c r="B36" s="10">
        <f t="shared" si="6"/>
        <v>600</v>
      </c>
      <c r="C36" s="9">
        <f t="shared" si="7"/>
        <v>0.61</v>
      </c>
      <c r="D36" s="9">
        <f t="shared" si="11"/>
        <v>0.47</v>
      </c>
      <c r="E36" s="9">
        <f t="shared" si="12"/>
        <v>2.35</v>
      </c>
      <c r="F36" s="9">
        <f t="shared" si="13"/>
        <v>2.14</v>
      </c>
      <c r="G36" s="9">
        <f t="shared" ref="G36:H52" si="17">G35</f>
        <v>0.41</v>
      </c>
      <c r="H36" s="9">
        <f t="shared" si="17"/>
        <v>0.36</v>
      </c>
      <c r="I36" s="9">
        <v>1.4999999999999999E-2</v>
      </c>
      <c r="J36" s="9">
        <f t="shared" ref="J36:J55" si="18">J35</f>
        <v>0.01</v>
      </c>
      <c r="K36" s="9" t="str">
        <f t="shared" si="14"/>
        <v>1/100</v>
      </c>
      <c r="L36" s="9" t="str">
        <f t="shared" ref="L36:N52" si="19">L35</f>
        <v>U80</v>
      </c>
      <c r="M36" s="9">
        <f t="shared" si="19"/>
        <v>0.22</v>
      </c>
      <c r="N36" s="9">
        <f t="shared" si="19"/>
        <v>0.26</v>
      </c>
      <c r="O36" s="9">
        <f t="shared" si="8"/>
        <v>0.39000000000000007</v>
      </c>
      <c r="P36" s="9">
        <f t="shared" ref="P36:P55" si="20">P35</f>
        <v>0.8</v>
      </c>
      <c r="Q36" s="9">
        <f t="shared" si="15"/>
        <v>1716.88</v>
      </c>
      <c r="R36" s="9">
        <f t="shared" si="9"/>
        <v>1716.48</v>
      </c>
      <c r="S36" s="9">
        <f t="shared" si="16"/>
        <v>1716.38</v>
      </c>
      <c r="T36" s="14">
        <f t="shared" si="1"/>
        <v>1716.74</v>
      </c>
      <c r="U36" s="9"/>
      <c r="W36" s="23">
        <f t="shared" si="2"/>
        <v>600</v>
      </c>
      <c r="X36">
        <f t="shared" si="10"/>
        <v>1717.18</v>
      </c>
      <c r="Y36" s="3">
        <f t="shared" si="3"/>
        <v>1716.74</v>
      </c>
      <c r="Z36">
        <f t="shared" si="4"/>
        <v>1716.38</v>
      </c>
      <c r="AA36">
        <f t="shared" si="5"/>
        <v>1716.88</v>
      </c>
    </row>
    <row r="37" spans="1:27">
      <c r="A37" s="9"/>
      <c r="B37" s="10">
        <f t="shared" si="6"/>
        <v>800</v>
      </c>
      <c r="C37" s="9">
        <f t="shared" si="7"/>
        <v>0.61</v>
      </c>
      <c r="D37" s="9">
        <f t="shared" si="11"/>
        <v>0.47</v>
      </c>
      <c r="E37" s="9">
        <f t="shared" si="12"/>
        <v>2.35</v>
      </c>
      <c r="F37" s="9">
        <f t="shared" si="13"/>
        <v>2.14</v>
      </c>
      <c r="G37" s="9">
        <f t="shared" si="17"/>
        <v>0.41</v>
      </c>
      <c r="H37" s="9">
        <f t="shared" si="17"/>
        <v>0.36</v>
      </c>
      <c r="I37" s="9">
        <v>1.4999999999999999E-2</v>
      </c>
      <c r="J37" s="9">
        <f t="shared" si="18"/>
        <v>0.01</v>
      </c>
      <c r="K37" s="9" t="str">
        <f t="shared" si="14"/>
        <v>1/100</v>
      </c>
      <c r="L37" s="9" t="str">
        <f t="shared" si="19"/>
        <v>U80</v>
      </c>
      <c r="M37" s="9">
        <f t="shared" si="19"/>
        <v>0.22</v>
      </c>
      <c r="N37" s="9">
        <f t="shared" si="19"/>
        <v>0.26</v>
      </c>
      <c r="O37" s="9">
        <f t="shared" si="8"/>
        <v>0.39000000000000007</v>
      </c>
      <c r="P37" s="9">
        <f t="shared" si="20"/>
        <v>0.8</v>
      </c>
      <c r="Q37" s="9">
        <f t="shared" si="15"/>
        <v>1714.44</v>
      </c>
      <c r="R37" s="9">
        <f t="shared" si="9"/>
        <v>1714.04</v>
      </c>
      <c r="S37" s="9">
        <f t="shared" si="16"/>
        <v>1713.94</v>
      </c>
      <c r="T37" s="14">
        <f t="shared" si="1"/>
        <v>1714.3</v>
      </c>
      <c r="U37" s="9"/>
      <c r="W37" s="23">
        <f t="shared" si="2"/>
        <v>800</v>
      </c>
      <c r="X37">
        <f t="shared" si="10"/>
        <v>1714.74</v>
      </c>
      <c r="Y37" s="3">
        <f t="shared" si="3"/>
        <v>1714.3</v>
      </c>
      <c r="Z37">
        <f t="shared" si="4"/>
        <v>1713.94</v>
      </c>
      <c r="AA37">
        <f t="shared" si="5"/>
        <v>1714.44</v>
      </c>
    </row>
    <row r="38" spans="1:27">
      <c r="A38" s="9"/>
      <c r="B38" s="10">
        <f t="shared" si="6"/>
        <v>1000</v>
      </c>
      <c r="C38" s="9">
        <f t="shared" si="7"/>
        <v>0.61</v>
      </c>
      <c r="D38" s="9">
        <f t="shared" si="11"/>
        <v>0.47</v>
      </c>
      <c r="E38" s="9">
        <f t="shared" si="12"/>
        <v>2.35</v>
      </c>
      <c r="F38" s="9">
        <f t="shared" si="13"/>
        <v>2.14</v>
      </c>
      <c r="G38" s="9">
        <f t="shared" ref="G38:H38" si="21">G37</f>
        <v>0.41</v>
      </c>
      <c r="H38" s="9">
        <f t="shared" si="21"/>
        <v>0.36</v>
      </c>
      <c r="I38" s="9">
        <v>1.4999999999999999E-2</v>
      </c>
      <c r="J38" s="9">
        <f t="shared" si="18"/>
        <v>0.01</v>
      </c>
      <c r="K38" s="9" t="str">
        <f t="shared" si="14"/>
        <v>1/100</v>
      </c>
      <c r="L38" s="9" t="str">
        <f t="shared" si="19"/>
        <v>U80</v>
      </c>
      <c r="M38" s="9">
        <f t="shared" si="19"/>
        <v>0.22</v>
      </c>
      <c r="N38" s="9">
        <f t="shared" si="19"/>
        <v>0.26</v>
      </c>
      <c r="O38" s="9">
        <f t="shared" si="8"/>
        <v>0.39000000000000007</v>
      </c>
      <c r="P38" s="9">
        <f t="shared" si="20"/>
        <v>0.8</v>
      </c>
      <c r="Q38" s="9">
        <f t="shared" si="15"/>
        <v>1712.3100000000002</v>
      </c>
      <c r="R38" s="9">
        <f t="shared" si="9"/>
        <v>1711.91</v>
      </c>
      <c r="S38" s="9">
        <f t="shared" si="16"/>
        <v>1711.8100000000002</v>
      </c>
      <c r="T38" s="14">
        <f t="shared" si="1"/>
        <v>1712.17</v>
      </c>
      <c r="U38" s="9"/>
      <c r="W38" s="23">
        <f t="shared" si="2"/>
        <v>1000</v>
      </c>
      <c r="X38">
        <f t="shared" si="10"/>
        <v>1712.6100000000001</v>
      </c>
      <c r="Y38" s="3">
        <f t="shared" si="3"/>
        <v>1712.17</v>
      </c>
      <c r="Z38">
        <f t="shared" si="4"/>
        <v>1711.8100000000002</v>
      </c>
      <c r="AA38">
        <f t="shared" si="5"/>
        <v>1712.3100000000002</v>
      </c>
    </row>
    <row r="39" spans="1:27">
      <c r="A39" s="9"/>
      <c r="B39" s="10">
        <f t="shared" si="6"/>
        <v>1200</v>
      </c>
      <c r="C39" s="9">
        <f t="shared" si="7"/>
        <v>0.61</v>
      </c>
      <c r="D39" s="9">
        <f t="shared" si="11"/>
        <v>0.47</v>
      </c>
      <c r="E39" s="9">
        <f t="shared" si="12"/>
        <v>2.35</v>
      </c>
      <c r="F39" s="9">
        <f t="shared" si="13"/>
        <v>2.14</v>
      </c>
      <c r="G39" s="9">
        <f t="shared" ref="G39:H39" si="22">G38</f>
        <v>0.41</v>
      </c>
      <c r="H39" s="9">
        <f t="shared" si="22"/>
        <v>0.36</v>
      </c>
      <c r="I39" s="9">
        <v>1.4999999999999999E-2</v>
      </c>
      <c r="J39" s="9">
        <f t="shared" si="18"/>
        <v>0.01</v>
      </c>
      <c r="K39" s="9" t="str">
        <f t="shared" si="14"/>
        <v>1/100</v>
      </c>
      <c r="L39" s="9" t="str">
        <f t="shared" si="19"/>
        <v>U80</v>
      </c>
      <c r="M39" s="9">
        <f t="shared" si="19"/>
        <v>0.22</v>
      </c>
      <c r="N39" s="9">
        <f t="shared" si="19"/>
        <v>0.26</v>
      </c>
      <c r="O39" s="9">
        <f t="shared" si="8"/>
        <v>0.39000000000000007</v>
      </c>
      <c r="P39" s="9">
        <f t="shared" si="20"/>
        <v>0.8</v>
      </c>
      <c r="Q39" s="9">
        <f t="shared" si="15"/>
        <v>1710.25</v>
      </c>
      <c r="R39" s="9">
        <f t="shared" si="9"/>
        <v>1709.85</v>
      </c>
      <c r="S39" s="9">
        <f t="shared" si="16"/>
        <v>1709.75</v>
      </c>
      <c r="T39" s="14">
        <f t="shared" si="1"/>
        <v>1710.11</v>
      </c>
      <c r="U39" s="9"/>
      <c r="W39" s="23">
        <f t="shared" si="2"/>
        <v>1200</v>
      </c>
      <c r="X39">
        <f t="shared" si="10"/>
        <v>1710.55</v>
      </c>
      <c r="Y39" s="3">
        <f t="shared" si="3"/>
        <v>1710.11</v>
      </c>
      <c r="Z39">
        <f t="shared" si="4"/>
        <v>1709.75</v>
      </c>
      <c r="AA39">
        <f t="shared" si="5"/>
        <v>1710.25</v>
      </c>
    </row>
    <row r="40" spans="1:27">
      <c r="A40" s="9"/>
      <c r="B40" s="10">
        <f t="shared" si="6"/>
        <v>1400</v>
      </c>
      <c r="C40" s="9">
        <f t="shared" si="7"/>
        <v>0.61</v>
      </c>
      <c r="D40" s="9">
        <f t="shared" si="11"/>
        <v>0.47</v>
      </c>
      <c r="E40" s="9">
        <f t="shared" si="12"/>
        <v>2.35</v>
      </c>
      <c r="F40" s="9">
        <f t="shared" si="13"/>
        <v>2.14</v>
      </c>
      <c r="G40" s="9">
        <f t="shared" ref="G40:H40" si="23">G39</f>
        <v>0.41</v>
      </c>
      <c r="H40" s="9">
        <f t="shared" si="23"/>
        <v>0.36</v>
      </c>
      <c r="I40" s="9">
        <v>1.4999999999999999E-2</v>
      </c>
      <c r="J40" s="9">
        <f t="shared" si="18"/>
        <v>0.01</v>
      </c>
      <c r="K40" s="9" t="str">
        <f t="shared" si="14"/>
        <v>1/100</v>
      </c>
      <c r="L40" s="9" t="str">
        <f t="shared" si="19"/>
        <v>U80</v>
      </c>
      <c r="M40" s="9">
        <f t="shared" si="19"/>
        <v>0.22</v>
      </c>
      <c r="N40" s="9">
        <f t="shared" si="19"/>
        <v>0.26</v>
      </c>
      <c r="O40" s="9">
        <f t="shared" si="8"/>
        <v>0.39000000000000007</v>
      </c>
      <c r="P40" s="9">
        <f t="shared" si="20"/>
        <v>0.8</v>
      </c>
      <c r="Q40" s="9">
        <f t="shared" si="15"/>
        <v>1708.17</v>
      </c>
      <c r="R40" s="9">
        <f t="shared" si="9"/>
        <v>1707.77</v>
      </c>
      <c r="S40" s="9">
        <f t="shared" si="16"/>
        <v>1707.67</v>
      </c>
      <c r="T40" s="14">
        <f t="shared" si="1"/>
        <v>1708.03</v>
      </c>
      <c r="U40" s="9"/>
      <c r="W40" s="23">
        <f t="shared" si="2"/>
        <v>1400</v>
      </c>
      <c r="X40">
        <f t="shared" si="10"/>
        <v>1708.47</v>
      </c>
      <c r="Y40" s="3">
        <f t="shared" si="3"/>
        <v>1708.03</v>
      </c>
      <c r="Z40">
        <f t="shared" si="4"/>
        <v>1707.67</v>
      </c>
      <c r="AA40">
        <f t="shared" si="5"/>
        <v>1708.17</v>
      </c>
    </row>
    <row r="41" spans="1:27">
      <c r="A41" s="9"/>
      <c r="B41" s="10">
        <f t="shared" si="6"/>
        <v>1600</v>
      </c>
      <c r="C41" s="9">
        <f t="shared" si="7"/>
        <v>0.61</v>
      </c>
      <c r="D41" s="9">
        <f t="shared" si="11"/>
        <v>0.47</v>
      </c>
      <c r="E41" s="9">
        <f t="shared" si="12"/>
        <v>2.35</v>
      </c>
      <c r="F41" s="9">
        <f t="shared" si="13"/>
        <v>2.14</v>
      </c>
      <c r="G41" s="9">
        <f t="shared" ref="G41:H41" si="24">G40</f>
        <v>0.41</v>
      </c>
      <c r="H41" s="9">
        <f t="shared" si="24"/>
        <v>0.36</v>
      </c>
      <c r="I41" s="9">
        <v>1.4999999999999999E-2</v>
      </c>
      <c r="J41" s="9">
        <f t="shared" si="18"/>
        <v>0.01</v>
      </c>
      <c r="K41" s="9" t="str">
        <f t="shared" si="14"/>
        <v>1/100</v>
      </c>
      <c r="L41" s="9" t="str">
        <f t="shared" si="19"/>
        <v>U80</v>
      </c>
      <c r="M41" s="9">
        <f t="shared" si="19"/>
        <v>0.22</v>
      </c>
      <c r="N41" s="9">
        <f t="shared" si="19"/>
        <v>0.26</v>
      </c>
      <c r="O41" s="9">
        <f t="shared" si="8"/>
        <v>0.39000000000000007</v>
      </c>
      <c r="P41" s="9">
        <f t="shared" si="20"/>
        <v>0.8</v>
      </c>
      <c r="Q41" s="9">
        <f t="shared" si="15"/>
        <v>1706.0500000000002</v>
      </c>
      <c r="R41" s="9">
        <f t="shared" si="9"/>
        <v>1705.65</v>
      </c>
      <c r="S41" s="9">
        <f t="shared" si="16"/>
        <v>1705.5500000000002</v>
      </c>
      <c r="T41" s="14">
        <f t="shared" si="1"/>
        <v>1705.91</v>
      </c>
      <c r="U41" s="9"/>
      <c r="W41" s="23">
        <f t="shared" si="2"/>
        <v>1600</v>
      </c>
      <c r="X41">
        <f t="shared" si="10"/>
        <v>1706.3500000000001</v>
      </c>
      <c r="Y41" s="3">
        <f t="shared" si="3"/>
        <v>1705.91</v>
      </c>
      <c r="Z41">
        <f t="shared" si="4"/>
        <v>1705.5500000000002</v>
      </c>
      <c r="AA41">
        <f t="shared" si="5"/>
        <v>1706.0500000000002</v>
      </c>
    </row>
    <row r="42" spans="1:27">
      <c r="A42" s="9"/>
      <c r="B42" s="10">
        <f t="shared" si="6"/>
        <v>1800</v>
      </c>
      <c r="C42" s="9">
        <f t="shared" si="7"/>
        <v>0.61</v>
      </c>
      <c r="D42" s="9">
        <f t="shared" si="11"/>
        <v>0.47</v>
      </c>
      <c r="E42" s="9">
        <f t="shared" si="12"/>
        <v>2.35</v>
      </c>
      <c r="F42" s="9">
        <f t="shared" si="13"/>
        <v>2.14</v>
      </c>
      <c r="G42" s="9">
        <f t="shared" ref="G42:H42" si="25">G41</f>
        <v>0.41</v>
      </c>
      <c r="H42" s="9">
        <f t="shared" si="25"/>
        <v>0.36</v>
      </c>
      <c r="I42" s="9">
        <v>1.4999999999999999E-2</v>
      </c>
      <c r="J42" s="9">
        <f t="shared" si="18"/>
        <v>0.01</v>
      </c>
      <c r="K42" s="9" t="str">
        <f t="shared" si="14"/>
        <v>1/100</v>
      </c>
      <c r="L42" s="9" t="str">
        <f t="shared" si="19"/>
        <v>U80</v>
      </c>
      <c r="M42" s="9">
        <f t="shared" si="19"/>
        <v>0.22</v>
      </c>
      <c r="N42" s="9">
        <f t="shared" si="19"/>
        <v>0.26</v>
      </c>
      <c r="O42" s="9">
        <f t="shared" si="8"/>
        <v>0.39000000000000007</v>
      </c>
      <c r="P42" s="9">
        <f t="shared" si="20"/>
        <v>0.8</v>
      </c>
      <c r="Q42" s="9">
        <f t="shared" si="15"/>
        <v>1703.73</v>
      </c>
      <c r="R42" s="9">
        <f t="shared" si="9"/>
        <v>1703.33</v>
      </c>
      <c r="S42" s="9">
        <f t="shared" si="16"/>
        <v>1703.23</v>
      </c>
      <c r="T42" s="14">
        <f t="shared" si="1"/>
        <v>1703.59</v>
      </c>
      <c r="U42" s="9"/>
      <c r="W42" s="23">
        <f t="shared" si="2"/>
        <v>1800</v>
      </c>
      <c r="X42">
        <f t="shared" si="10"/>
        <v>1704.03</v>
      </c>
      <c r="Y42" s="3">
        <f t="shared" si="3"/>
        <v>1703.59</v>
      </c>
      <c r="Z42">
        <f t="shared" si="4"/>
        <v>1703.23</v>
      </c>
      <c r="AA42">
        <f t="shared" si="5"/>
        <v>1703.73</v>
      </c>
    </row>
    <row r="43" spans="1:27">
      <c r="A43" s="12"/>
      <c r="B43" s="10">
        <f t="shared" si="6"/>
        <v>2000</v>
      </c>
      <c r="C43" s="9">
        <f t="shared" si="7"/>
        <v>0.61</v>
      </c>
      <c r="D43" s="9">
        <f t="shared" si="11"/>
        <v>0.47</v>
      </c>
      <c r="E43" s="9">
        <f t="shared" si="12"/>
        <v>2.35</v>
      </c>
      <c r="F43" s="9">
        <f t="shared" si="13"/>
        <v>2.14</v>
      </c>
      <c r="G43" s="9">
        <f t="shared" ref="G43:H43" si="26">G42</f>
        <v>0.41</v>
      </c>
      <c r="H43" s="9">
        <f t="shared" si="26"/>
        <v>0.36</v>
      </c>
      <c r="I43" s="9">
        <v>1.4999999999999999E-2</v>
      </c>
      <c r="J43" s="9">
        <f t="shared" si="18"/>
        <v>0.01</v>
      </c>
      <c r="K43" s="9" t="str">
        <f t="shared" si="14"/>
        <v>1/100</v>
      </c>
      <c r="L43" s="9" t="str">
        <f t="shared" si="19"/>
        <v>U80</v>
      </c>
      <c r="M43" s="9">
        <f t="shared" si="19"/>
        <v>0.22</v>
      </c>
      <c r="N43" s="9">
        <f t="shared" si="19"/>
        <v>0.26</v>
      </c>
      <c r="O43" s="9">
        <f t="shared" si="8"/>
        <v>0.39000000000000007</v>
      </c>
      <c r="P43" s="9">
        <f t="shared" si="20"/>
        <v>0.8</v>
      </c>
      <c r="Q43" s="9">
        <f t="shared" si="15"/>
        <v>1701.8300000000002</v>
      </c>
      <c r="R43" s="9">
        <f t="shared" si="9"/>
        <v>1701.43</v>
      </c>
      <c r="S43" s="9">
        <f t="shared" si="16"/>
        <v>1701.3300000000002</v>
      </c>
      <c r="T43" s="14">
        <f t="shared" si="1"/>
        <v>1701.69</v>
      </c>
      <c r="U43" s="9"/>
      <c r="W43" s="23">
        <f t="shared" si="2"/>
        <v>2000</v>
      </c>
      <c r="X43">
        <f t="shared" si="10"/>
        <v>1702.13</v>
      </c>
      <c r="Y43" s="3">
        <f t="shared" si="3"/>
        <v>1701.69</v>
      </c>
      <c r="Z43">
        <f t="shared" si="4"/>
        <v>1701.3300000000002</v>
      </c>
      <c r="AA43">
        <f t="shared" si="5"/>
        <v>1701.8300000000002</v>
      </c>
    </row>
    <row r="44" spans="1:27">
      <c r="A44" s="9"/>
      <c r="B44" s="10">
        <f t="shared" si="6"/>
        <v>2200</v>
      </c>
      <c r="C44" s="9">
        <f t="shared" si="7"/>
        <v>0.61</v>
      </c>
      <c r="D44" s="9">
        <f t="shared" si="11"/>
        <v>0.47</v>
      </c>
      <c r="E44" s="9">
        <f t="shared" si="12"/>
        <v>2.35</v>
      </c>
      <c r="F44" s="9">
        <f t="shared" si="13"/>
        <v>2.14</v>
      </c>
      <c r="G44" s="9">
        <f t="shared" ref="G44:H44" si="27">G43</f>
        <v>0.41</v>
      </c>
      <c r="H44" s="9">
        <f t="shared" si="27"/>
        <v>0.36</v>
      </c>
      <c r="I44" s="9">
        <v>1.4999999999999999E-2</v>
      </c>
      <c r="J44" s="9">
        <f t="shared" si="18"/>
        <v>0.01</v>
      </c>
      <c r="K44" s="9" t="str">
        <f t="shared" si="14"/>
        <v>1/100</v>
      </c>
      <c r="L44" s="9" t="str">
        <f t="shared" si="19"/>
        <v>U80</v>
      </c>
      <c r="M44" s="9">
        <f t="shared" si="19"/>
        <v>0.22</v>
      </c>
      <c r="N44" s="9">
        <f t="shared" si="19"/>
        <v>0.26</v>
      </c>
      <c r="O44" s="9">
        <f t="shared" si="8"/>
        <v>0.39000000000000007</v>
      </c>
      <c r="P44" s="9">
        <f t="shared" si="20"/>
        <v>0.8</v>
      </c>
      <c r="Q44" s="9">
        <f t="shared" si="15"/>
        <v>1700</v>
      </c>
      <c r="R44" s="9">
        <f t="shared" si="9"/>
        <v>1699.6</v>
      </c>
      <c r="S44" s="9">
        <f t="shared" si="16"/>
        <v>1699.5</v>
      </c>
      <c r="T44" s="14">
        <f t="shared" si="1"/>
        <v>1699.86</v>
      </c>
      <c r="U44" s="9"/>
      <c r="W44" s="23">
        <f t="shared" si="2"/>
        <v>2200</v>
      </c>
      <c r="X44">
        <f t="shared" si="10"/>
        <v>1700.3</v>
      </c>
      <c r="Y44" s="3">
        <f t="shared" si="3"/>
        <v>1699.86</v>
      </c>
      <c r="Z44">
        <f t="shared" si="4"/>
        <v>1699.5</v>
      </c>
      <c r="AA44">
        <f t="shared" si="5"/>
        <v>1700</v>
      </c>
    </row>
    <row r="45" spans="1:27">
      <c r="A45" s="9"/>
      <c r="B45" s="10">
        <f t="shared" si="6"/>
        <v>2400</v>
      </c>
      <c r="C45" s="9">
        <f t="shared" si="7"/>
        <v>0.61</v>
      </c>
      <c r="D45" s="9">
        <f t="shared" si="11"/>
        <v>0.47</v>
      </c>
      <c r="E45" s="9">
        <f t="shared" si="12"/>
        <v>2.35</v>
      </c>
      <c r="F45" s="9">
        <f t="shared" si="13"/>
        <v>2.14</v>
      </c>
      <c r="G45" s="9">
        <f t="shared" ref="G45:H45" si="28">G44</f>
        <v>0.41</v>
      </c>
      <c r="H45" s="9">
        <f t="shared" si="28"/>
        <v>0.36</v>
      </c>
      <c r="I45" s="9">
        <v>1.4999999999999999E-2</v>
      </c>
      <c r="J45" s="9">
        <f t="shared" si="18"/>
        <v>0.01</v>
      </c>
      <c r="K45" s="9" t="str">
        <f t="shared" si="14"/>
        <v>1/100</v>
      </c>
      <c r="L45" s="9" t="str">
        <f t="shared" si="19"/>
        <v>U80</v>
      </c>
      <c r="M45" s="9">
        <f t="shared" si="19"/>
        <v>0.22</v>
      </c>
      <c r="N45" s="9">
        <f t="shared" si="19"/>
        <v>0.26</v>
      </c>
      <c r="O45" s="9">
        <f t="shared" si="8"/>
        <v>0.39000000000000007</v>
      </c>
      <c r="P45" s="9">
        <f t="shared" si="20"/>
        <v>0.8</v>
      </c>
      <c r="Q45" s="9">
        <f t="shared" si="15"/>
        <v>1697.65</v>
      </c>
      <c r="R45" s="9">
        <f t="shared" si="9"/>
        <v>1697.25</v>
      </c>
      <c r="S45" s="9">
        <f t="shared" si="16"/>
        <v>1697.15</v>
      </c>
      <c r="T45" s="14">
        <f t="shared" si="1"/>
        <v>1697.51</v>
      </c>
      <c r="U45" s="9"/>
      <c r="W45" s="23">
        <f t="shared" si="2"/>
        <v>2400</v>
      </c>
      <c r="X45">
        <f t="shared" si="10"/>
        <v>1697.95</v>
      </c>
      <c r="Y45" s="3">
        <f t="shared" si="3"/>
        <v>1697.51</v>
      </c>
      <c r="Z45">
        <f t="shared" si="4"/>
        <v>1697.15</v>
      </c>
      <c r="AA45">
        <f t="shared" si="5"/>
        <v>1697.65</v>
      </c>
    </row>
    <row r="46" spans="1:27">
      <c r="A46" s="9"/>
      <c r="B46" s="10">
        <f t="shared" si="6"/>
        <v>2600</v>
      </c>
      <c r="C46" s="9">
        <f t="shared" si="7"/>
        <v>0.61</v>
      </c>
      <c r="D46" s="9">
        <f t="shared" si="11"/>
        <v>0.47</v>
      </c>
      <c r="E46" s="9">
        <f t="shared" si="12"/>
        <v>2.35</v>
      </c>
      <c r="F46" s="9">
        <f t="shared" si="13"/>
        <v>2.14</v>
      </c>
      <c r="G46" s="9">
        <f t="shared" ref="G46:H46" si="29">G45</f>
        <v>0.41</v>
      </c>
      <c r="H46" s="9">
        <f t="shared" si="29"/>
        <v>0.36</v>
      </c>
      <c r="I46" s="9">
        <v>1.4999999999999999E-2</v>
      </c>
      <c r="J46" s="9">
        <f t="shared" si="18"/>
        <v>0.01</v>
      </c>
      <c r="K46" s="9" t="str">
        <f t="shared" si="14"/>
        <v>1/100</v>
      </c>
      <c r="L46" s="9" t="str">
        <f t="shared" si="19"/>
        <v>U80</v>
      </c>
      <c r="M46" s="9">
        <f t="shared" si="19"/>
        <v>0.22</v>
      </c>
      <c r="N46" s="9">
        <f t="shared" si="19"/>
        <v>0.26</v>
      </c>
      <c r="O46" s="9">
        <f t="shared" si="8"/>
        <v>0.39000000000000007</v>
      </c>
      <c r="P46" s="9">
        <f t="shared" si="20"/>
        <v>0.8</v>
      </c>
      <c r="Q46" s="9">
        <f t="shared" si="15"/>
        <v>1695.1000000000001</v>
      </c>
      <c r="R46" s="9">
        <f t="shared" si="9"/>
        <v>1694.7</v>
      </c>
      <c r="S46" s="9">
        <f t="shared" si="16"/>
        <v>1694.6000000000001</v>
      </c>
      <c r="T46" s="14">
        <f t="shared" si="1"/>
        <v>1694.96</v>
      </c>
      <c r="U46" s="9"/>
      <c r="W46" s="23">
        <f t="shared" si="2"/>
        <v>2600</v>
      </c>
      <c r="X46">
        <f t="shared" si="10"/>
        <v>1695.4</v>
      </c>
      <c r="Y46" s="3">
        <f t="shared" si="3"/>
        <v>1694.96</v>
      </c>
      <c r="Z46">
        <f t="shared" si="4"/>
        <v>1694.6000000000001</v>
      </c>
      <c r="AA46">
        <f t="shared" si="5"/>
        <v>1695.1000000000001</v>
      </c>
    </row>
    <row r="47" spans="1:27">
      <c r="A47" s="9"/>
      <c r="B47" s="10">
        <v>2610</v>
      </c>
      <c r="C47" s="9">
        <f t="shared" ref="C47" si="30">ROUND(D47*1.3,2)</f>
        <v>0.3</v>
      </c>
      <c r="D47" s="9">
        <v>0.23</v>
      </c>
      <c r="E47" s="9">
        <f t="shared" ref="E47" si="31">ROUND(C47/N47,2)</f>
        <v>2.14</v>
      </c>
      <c r="F47" s="9">
        <f t="shared" ref="F47" si="32">ROUND(D47/M47,2)</f>
        <v>1.92</v>
      </c>
      <c r="G47" s="9">
        <v>0.3</v>
      </c>
      <c r="H47" s="9">
        <v>0.26</v>
      </c>
      <c r="I47" s="9">
        <v>1.4999999999999999E-2</v>
      </c>
      <c r="J47" s="9">
        <f>J45</f>
        <v>0.01</v>
      </c>
      <c r="K47" s="9" t="str">
        <f t="shared" ref="K47" si="33">"1/"&amp;ROUND(1/J47,0)</f>
        <v>1/100</v>
      </c>
      <c r="L47" s="9" t="s">
        <v>453</v>
      </c>
      <c r="M47" s="9">
        <v>0.12</v>
      </c>
      <c r="N47" s="9">
        <v>0.14000000000000001</v>
      </c>
      <c r="O47" s="9">
        <f t="shared" ref="O47" si="34">P47-G47</f>
        <v>0.3</v>
      </c>
      <c r="P47" s="9">
        <v>0.6</v>
      </c>
      <c r="Q47" s="9">
        <f t="shared" si="15"/>
        <v>1685</v>
      </c>
      <c r="R47" s="9">
        <v>1684.6</v>
      </c>
      <c r="S47" s="9">
        <f t="shared" si="16"/>
        <v>1684.5</v>
      </c>
      <c r="T47" s="14">
        <f t="shared" si="1"/>
        <v>1684.76</v>
      </c>
      <c r="U47" s="9"/>
      <c r="W47" s="23">
        <f t="shared" ref="W47:W54" si="35">B48</f>
        <v>2800</v>
      </c>
      <c r="X47">
        <f t="shared" ref="X47:X54" si="36">Z47+P48</f>
        <v>1692.24</v>
      </c>
      <c r="Y47" s="3">
        <f t="shared" ref="Y47:Y54" si="37">T48</f>
        <v>1691.9</v>
      </c>
      <c r="Z47">
        <f t="shared" ref="Z47:Z54" si="38">S48</f>
        <v>1691.64</v>
      </c>
      <c r="AA47">
        <f t="shared" ref="AA47:AA54" si="39">Q48</f>
        <v>1692.04</v>
      </c>
    </row>
    <row r="48" spans="1:27">
      <c r="A48" s="9"/>
      <c r="B48" s="10">
        <f t="shared" ref="B48:B55" si="40">A16</f>
        <v>2800</v>
      </c>
      <c r="C48" s="9">
        <f t="shared" si="7"/>
        <v>0.3</v>
      </c>
      <c r="D48" s="9">
        <f>D47</f>
        <v>0.23</v>
      </c>
      <c r="E48" s="9">
        <f t="shared" si="12"/>
        <v>2.14</v>
      </c>
      <c r="F48" s="9">
        <f t="shared" si="13"/>
        <v>1.92</v>
      </c>
      <c r="G48" s="9">
        <v>0.3</v>
      </c>
      <c r="H48" s="9">
        <v>0.26</v>
      </c>
      <c r="I48" s="9">
        <v>1.4999999999999999E-2</v>
      </c>
      <c r="J48" s="9">
        <f>J46</f>
        <v>0.01</v>
      </c>
      <c r="K48" s="9" t="str">
        <f t="shared" si="14"/>
        <v>1/100</v>
      </c>
      <c r="L48" s="9" t="s">
        <v>531</v>
      </c>
      <c r="M48" s="9">
        <v>0.12</v>
      </c>
      <c r="N48" s="9">
        <v>0.14000000000000001</v>
      </c>
      <c r="O48" s="9">
        <f t="shared" si="8"/>
        <v>0.3</v>
      </c>
      <c r="P48" s="9">
        <v>0.6</v>
      </c>
      <c r="Q48" s="9">
        <f>R48+0.3</f>
        <v>1692.04</v>
      </c>
      <c r="R48" s="9">
        <f t="shared" ref="R48:R55" si="41">B16</f>
        <v>1691.74</v>
      </c>
      <c r="S48" s="9">
        <f t="shared" si="16"/>
        <v>1691.64</v>
      </c>
      <c r="T48" s="14">
        <f t="shared" si="1"/>
        <v>1691.9</v>
      </c>
      <c r="U48" s="9"/>
      <c r="W48" s="23">
        <f t="shared" si="35"/>
        <v>3000</v>
      </c>
      <c r="X48">
        <f t="shared" si="36"/>
        <v>1690.4</v>
      </c>
      <c r="Y48" s="3">
        <f t="shared" si="37"/>
        <v>1690.0600000000002</v>
      </c>
      <c r="Z48">
        <f t="shared" si="38"/>
        <v>1689.8000000000002</v>
      </c>
      <c r="AA48">
        <f t="shared" si="39"/>
        <v>1690.2</v>
      </c>
    </row>
    <row r="49" spans="1:27">
      <c r="A49" s="9"/>
      <c r="B49" s="10">
        <f t="shared" si="40"/>
        <v>3000</v>
      </c>
      <c r="C49" s="9">
        <f t="shared" si="7"/>
        <v>0.3</v>
      </c>
      <c r="D49" s="9">
        <f t="shared" si="11"/>
        <v>0.23</v>
      </c>
      <c r="E49" s="9">
        <f t="shared" si="12"/>
        <v>2.14</v>
      </c>
      <c r="F49" s="9">
        <f t="shared" si="13"/>
        <v>1.92</v>
      </c>
      <c r="G49" s="9">
        <v>0.3</v>
      </c>
      <c r="H49" s="9">
        <v>0.26</v>
      </c>
      <c r="I49" s="9">
        <v>1.4999999999999999E-2</v>
      </c>
      <c r="J49" s="9">
        <f t="shared" si="18"/>
        <v>0.01</v>
      </c>
      <c r="K49" s="9" t="str">
        <f t="shared" si="14"/>
        <v>1/100</v>
      </c>
      <c r="L49" s="9" t="str">
        <f t="shared" si="19"/>
        <v>U60</v>
      </c>
      <c r="M49" s="9">
        <f t="shared" si="19"/>
        <v>0.12</v>
      </c>
      <c r="N49" s="9">
        <f t="shared" si="19"/>
        <v>0.14000000000000001</v>
      </c>
      <c r="O49" s="9">
        <f t="shared" si="8"/>
        <v>0.3</v>
      </c>
      <c r="P49" s="9">
        <f t="shared" si="20"/>
        <v>0.6</v>
      </c>
      <c r="Q49" s="9">
        <f t="shared" ref="Q49:Q55" si="42">R49+0.3</f>
        <v>1690.2</v>
      </c>
      <c r="R49" s="9">
        <f t="shared" si="41"/>
        <v>1689.9</v>
      </c>
      <c r="S49" s="9">
        <f t="shared" si="16"/>
        <v>1689.8000000000002</v>
      </c>
      <c r="T49" s="14">
        <f t="shared" si="1"/>
        <v>1690.0600000000002</v>
      </c>
      <c r="U49" s="9"/>
      <c r="W49" s="23">
        <f t="shared" si="35"/>
        <v>3200</v>
      </c>
      <c r="X49">
        <f t="shared" si="36"/>
        <v>1688.3</v>
      </c>
      <c r="Y49" s="3">
        <f t="shared" si="37"/>
        <v>1687.96</v>
      </c>
      <c r="Z49">
        <f t="shared" si="38"/>
        <v>1687.7</v>
      </c>
      <c r="AA49">
        <f t="shared" si="39"/>
        <v>1688.1</v>
      </c>
    </row>
    <row r="50" spans="1:27">
      <c r="A50" s="9"/>
      <c r="B50" s="10">
        <f t="shared" si="40"/>
        <v>3200</v>
      </c>
      <c r="C50" s="9">
        <f t="shared" si="7"/>
        <v>0.3</v>
      </c>
      <c r="D50" s="9">
        <f t="shared" si="11"/>
        <v>0.23</v>
      </c>
      <c r="E50" s="9">
        <f t="shared" si="12"/>
        <v>2.14</v>
      </c>
      <c r="F50" s="9">
        <f t="shared" si="13"/>
        <v>1.92</v>
      </c>
      <c r="G50" s="9">
        <f t="shared" si="17"/>
        <v>0.3</v>
      </c>
      <c r="H50" s="9">
        <f t="shared" si="17"/>
        <v>0.26</v>
      </c>
      <c r="I50" s="9">
        <v>1.4999999999999999E-2</v>
      </c>
      <c r="J50" s="9">
        <f t="shared" si="18"/>
        <v>0.01</v>
      </c>
      <c r="K50" s="9" t="str">
        <f t="shared" si="14"/>
        <v>1/100</v>
      </c>
      <c r="L50" s="9" t="str">
        <f t="shared" si="19"/>
        <v>U60</v>
      </c>
      <c r="M50" s="9">
        <v>0.12</v>
      </c>
      <c r="N50" s="9">
        <v>0.14000000000000001</v>
      </c>
      <c r="O50" s="9">
        <f t="shared" si="8"/>
        <v>0.3</v>
      </c>
      <c r="P50" s="9">
        <f t="shared" si="20"/>
        <v>0.6</v>
      </c>
      <c r="Q50" s="9">
        <f t="shared" si="42"/>
        <v>1688.1</v>
      </c>
      <c r="R50" s="9">
        <f t="shared" si="41"/>
        <v>1687.8</v>
      </c>
      <c r="S50" s="9">
        <f t="shared" si="16"/>
        <v>1687.7</v>
      </c>
      <c r="T50" s="14">
        <f t="shared" si="1"/>
        <v>1687.96</v>
      </c>
      <c r="U50" s="9"/>
      <c r="W50" s="23">
        <f t="shared" si="35"/>
        <v>3400</v>
      </c>
      <c r="X50">
        <f t="shared" si="36"/>
        <v>1686.29</v>
      </c>
      <c r="Y50" s="3">
        <f t="shared" si="37"/>
        <v>1685.95</v>
      </c>
      <c r="Z50">
        <f t="shared" si="38"/>
        <v>1685.69</v>
      </c>
      <c r="AA50">
        <f t="shared" si="39"/>
        <v>1686.09</v>
      </c>
    </row>
    <row r="51" spans="1:27">
      <c r="A51" s="9"/>
      <c r="B51" s="10">
        <f t="shared" si="40"/>
        <v>3400</v>
      </c>
      <c r="C51" s="9">
        <f t="shared" si="7"/>
        <v>0.3</v>
      </c>
      <c r="D51" s="9">
        <f t="shared" si="11"/>
        <v>0.23</v>
      </c>
      <c r="E51" s="9">
        <f t="shared" si="12"/>
        <v>2.14</v>
      </c>
      <c r="F51" s="9">
        <f t="shared" si="13"/>
        <v>1.92</v>
      </c>
      <c r="G51" s="9">
        <f t="shared" si="17"/>
        <v>0.3</v>
      </c>
      <c r="H51" s="9">
        <f t="shared" si="17"/>
        <v>0.26</v>
      </c>
      <c r="I51" s="9">
        <v>1.4999999999999999E-2</v>
      </c>
      <c r="J51" s="9">
        <f t="shared" si="18"/>
        <v>0.01</v>
      </c>
      <c r="K51" s="9" t="str">
        <f t="shared" si="14"/>
        <v>1/100</v>
      </c>
      <c r="L51" s="9" t="str">
        <f t="shared" si="19"/>
        <v>U60</v>
      </c>
      <c r="M51" s="9">
        <f t="shared" si="19"/>
        <v>0.12</v>
      </c>
      <c r="N51" s="9">
        <f t="shared" si="19"/>
        <v>0.14000000000000001</v>
      </c>
      <c r="O51" s="9">
        <f t="shared" si="8"/>
        <v>0.3</v>
      </c>
      <c r="P51" s="9">
        <f t="shared" si="20"/>
        <v>0.6</v>
      </c>
      <c r="Q51" s="9">
        <f t="shared" si="42"/>
        <v>1686.09</v>
      </c>
      <c r="R51" s="9">
        <f t="shared" si="41"/>
        <v>1685.79</v>
      </c>
      <c r="S51" s="9">
        <f t="shared" si="16"/>
        <v>1685.69</v>
      </c>
      <c r="T51" s="14">
        <f t="shared" si="1"/>
        <v>1685.95</v>
      </c>
      <c r="U51" s="9"/>
      <c r="W51" s="23">
        <f t="shared" si="35"/>
        <v>3600</v>
      </c>
      <c r="X51">
        <f t="shared" si="36"/>
        <v>1684.5</v>
      </c>
      <c r="Y51" s="3">
        <f t="shared" si="37"/>
        <v>1684.16</v>
      </c>
      <c r="Z51">
        <f t="shared" si="38"/>
        <v>1683.9</v>
      </c>
      <c r="AA51">
        <f t="shared" si="39"/>
        <v>1684.3</v>
      </c>
    </row>
    <row r="52" spans="1:27">
      <c r="A52" s="9"/>
      <c r="B52" s="10">
        <f t="shared" si="40"/>
        <v>3600</v>
      </c>
      <c r="C52" s="9">
        <f t="shared" si="7"/>
        <v>0.3</v>
      </c>
      <c r="D52" s="9">
        <f t="shared" si="11"/>
        <v>0.23</v>
      </c>
      <c r="E52" s="9">
        <f t="shared" si="12"/>
        <v>2.14</v>
      </c>
      <c r="F52" s="9">
        <f t="shared" si="13"/>
        <v>1.92</v>
      </c>
      <c r="G52" s="9">
        <f t="shared" si="17"/>
        <v>0.3</v>
      </c>
      <c r="H52" s="9">
        <f t="shared" si="17"/>
        <v>0.26</v>
      </c>
      <c r="I52" s="9">
        <v>1.4999999999999999E-2</v>
      </c>
      <c r="J52" s="9">
        <f t="shared" si="18"/>
        <v>0.01</v>
      </c>
      <c r="K52" s="9" t="str">
        <f t="shared" si="14"/>
        <v>1/100</v>
      </c>
      <c r="L52" s="9" t="str">
        <f t="shared" si="19"/>
        <v>U60</v>
      </c>
      <c r="M52" s="9">
        <f t="shared" si="19"/>
        <v>0.12</v>
      </c>
      <c r="N52" s="9">
        <f t="shared" si="19"/>
        <v>0.14000000000000001</v>
      </c>
      <c r="O52" s="9">
        <f t="shared" si="8"/>
        <v>0.3</v>
      </c>
      <c r="P52" s="9">
        <f t="shared" si="20"/>
        <v>0.6</v>
      </c>
      <c r="Q52" s="9">
        <f t="shared" si="42"/>
        <v>1684.3</v>
      </c>
      <c r="R52" s="9">
        <f t="shared" si="41"/>
        <v>1684</v>
      </c>
      <c r="S52" s="9">
        <f t="shared" si="16"/>
        <v>1683.9</v>
      </c>
      <c r="T52" s="14">
        <f t="shared" si="1"/>
        <v>1684.16</v>
      </c>
      <c r="U52" s="9"/>
      <c r="W52" s="23">
        <f t="shared" si="35"/>
        <v>3800</v>
      </c>
      <c r="X52">
        <f t="shared" si="36"/>
        <v>1683.15</v>
      </c>
      <c r="Y52" s="3">
        <f t="shared" si="37"/>
        <v>1682.8100000000002</v>
      </c>
      <c r="Z52">
        <f t="shared" si="38"/>
        <v>1682.5500000000002</v>
      </c>
      <c r="AA52">
        <f t="shared" si="39"/>
        <v>1682.95</v>
      </c>
    </row>
    <row r="53" spans="1:27">
      <c r="A53" s="9"/>
      <c r="B53" s="10">
        <f t="shared" si="40"/>
        <v>3800</v>
      </c>
      <c r="C53" s="9">
        <f t="shared" si="7"/>
        <v>0.3</v>
      </c>
      <c r="D53" s="9">
        <f t="shared" si="11"/>
        <v>0.23</v>
      </c>
      <c r="E53" s="9">
        <f t="shared" si="12"/>
        <v>2.14</v>
      </c>
      <c r="F53" s="9">
        <f t="shared" si="13"/>
        <v>1.92</v>
      </c>
      <c r="G53" s="9">
        <f t="shared" ref="G53:H55" si="43">G52</f>
        <v>0.3</v>
      </c>
      <c r="H53" s="9">
        <f t="shared" si="43"/>
        <v>0.26</v>
      </c>
      <c r="I53" s="9">
        <v>1.4999999999999999E-2</v>
      </c>
      <c r="J53" s="9">
        <f t="shared" si="18"/>
        <v>0.01</v>
      </c>
      <c r="K53" s="9" t="str">
        <f t="shared" si="14"/>
        <v>1/100</v>
      </c>
      <c r="L53" s="9" t="str">
        <f t="shared" ref="L53:N55" si="44">L52</f>
        <v>U60</v>
      </c>
      <c r="M53" s="9">
        <f t="shared" si="44"/>
        <v>0.12</v>
      </c>
      <c r="N53" s="9">
        <f t="shared" si="44"/>
        <v>0.14000000000000001</v>
      </c>
      <c r="O53" s="9">
        <f t="shared" si="8"/>
        <v>0.3</v>
      </c>
      <c r="P53" s="9">
        <f t="shared" si="20"/>
        <v>0.6</v>
      </c>
      <c r="Q53" s="9">
        <f t="shared" si="42"/>
        <v>1682.95</v>
      </c>
      <c r="R53" s="9">
        <f t="shared" si="41"/>
        <v>1682.65</v>
      </c>
      <c r="S53" s="9">
        <f t="shared" si="16"/>
        <v>1682.5500000000002</v>
      </c>
      <c r="T53" s="14">
        <f t="shared" si="1"/>
        <v>1682.8100000000002</v>
      </c>
      <c r="U53" s="9"/>
      <c r="W53" s="23">
        <f t="shared" si="35"/>
        <v>4000</v>
      </c>
      <c r="X53">
        <f t="shared" si="36"/>
        <v>1680.8</v>
      </c>
      <c r="Y53" s="3">
        <f t="shared" si="37"/>
        <v>1680.46</v>
      </c>
      <c r="Z53">
        <f t="shared" si="38"/>
        <v>1680.2</v>
      </c>
      <c r="AA53">
        <f t="shared" si="39"/>
        <v>1680.6</v>
      </c>
    </row>
    <row r="54" spans="1:27">
      <c r="A54" s="9"/>
      <c r="B54" s="10">
        <f t="shared" si="40"/>
        <v>4000</v>
      </c>
      <c r="C54" s="9">
        <f t="shared" si="7"/>
        <v>0.3</v>
      </c>
      <c r="D54" s="9">
        <f t="shared" si="11"/>
        <v>0.23</v>
      </c>
      <c r="E54" s="9">
        <f t="shared" si="12"/>
        <v>2.14</v>
      </c>
      <c r="F54" s="9">
        <f t="shared" si="13"/>
        <v>1.92</v>
      </c>
      <c r="G54" s="9">
        <f t="shared" si="43"/>
        <v>0.3</v>
      </c>
      <c r="H54" s="9">
        <f t="shared" si="43"/>
        <v>0.26</v>
      </c>
      <c r="I54" s="9">
        <v>1.4999999999999999E-2</v>
      </c>
      <c r="J54" s="9">
        <f t="shared" si="18"/>
        <v>0.01</v>
      </c>
      <c r="K54" s="9" t="str">
        <f t="shared" si="14"/>
        <v>1/100</v>
      </c>
      <c r="L54" s="9" t="str">
        <f t="shared" si="44"/>
        <v>U60</v>
      </c>
      <c r="M54" s="9">
        <f t="shared" si="44"/>
        <v>0.12</v>
      </c>
      <c r="N54" s="9">
        <f t="shared" si="44"/>
        <v>0.14000000000000001</v>
      </c>
      <c r="O54" s="9">
        <f t="shared" si="8"/>
        <v>0.3</v>
      </c>
      <c r="P54" s="9">
        <f t="shared" si="20"/>
        <v>0.6</v>
      </c>
      <c r="Q54" s="9">
        <f t="shared" si="42"/>
        <v>1680.6</v>
      </c>
      <c r="R54" s="9">
        <f t="shared" si="41"/>
        <v>1680.3</v>
      </c>
      <c r="S54" s="9">
        <f t="shared" si="16"/>
        <v>1680.2</v>
      </c>
      <c r="T54" s="14">
        <f t="shared" si="1"/>
        <v>1680.46</v>
      </c>
      <c r="U54" s="9"/>
      <c r="W54" s="23">
        <f t="shared" si="35"/>
        <v>4150</v>
      </c>
      <c r="X54">
        <f t="shared" si="36"/>
        <v>1679.15</v>
      </c>
      <c r="Y54" s="3">
        <f t="shared" si="37"/>
        <v>1678.8100000000002</v>
      </c>
      <c r="Z54">
        <f t="shared" si="38"/>
        <v>1678.5500000000002</v>
      </c>
      <c r="AA54">
        <f t="shared" si="39"/>
        <v>1678.95</v>
      </c>
    </row>
    <row r="55" spans="1:27">
      <c r="A55" s="9"/>
      <c r="B55" s="10">
        <f t="shared" si="40"/>
        <v>4150</v>
      </c>
      <c r="C55" s="9">
        <f t="shared" si="7"/>
        <v>0.3</v>
      </c>
      <c r="D55" s="9">
        <f t="shared" si="11"/>
        <v>0.23</v>
      </c>
      <c r="E55" s="9">
        <f t="shared" si="12"/>
        <v>2.14</v>
      </c>
      <c r="F55" s="9">
        <f t="shared" si="13"/>
        <v>1.92</v>
      </c>
      <c r="G55" s="9">
        <f t="shared" si="43"/>
        <v>0.3</v>
      </c>
      <c r="H55" s="9">
        <f t="shared" si="43"/>
        <v>0.26</v>
      </c>
      <c r="I55" s="9">
        <v>1.4999999999999999E-2</v>
      </c>
      <c r="J55" s="9">
        <f t="shared" si="18"/>
        <v>0.01</v>
      </c>
      <c r="K55" s="9" t="str">
        <f t="shared" si="14"/>
        <v>1/100</v>
      </c>
      <c r="L55" s="9" t="str">
        <f t="shared" si="44"/>
        <v>U60</v>
      </c>
      <c r="M55" s="9">
        <f t="shared" si="44"/>
        <v>0.12</v>
      </c>
      <c r="N55" s="9">
        <f t="shared" si="44"/>
        <v>0.14000000000000001</v>
      </c>
      <c r="O55" s="9">
        <f t="shared" si="8"/>
        <v>0.3</v>
      </c>
      <c r="P55" s="9">
        <f t="shared" si="20"/>
        <v>0.6</v>
      </c>
      <c r="Q55" s="9">
        <f t="shared" si="42"/>
        <v>1678.95</v>
      </c>
      <c r="R55" s="9">
        <f t="shared" si="41"/>
        <v>1678.65</v>
      </c>
      <c r="S55" s="9">
        <f t="shared" si="16"/>
        <v>1678.5500000000002</v>
      </c>
      <c r="T55" s="14">
        <f t="shared" si="1"/>
        <v>1678.8100000000002</v>
      </c>
      <c r="U55" s="9"/>
    </row>
    <row r="56" spans="1:27">
      <c r="B56" s="23">
        <f>B55+B115+B174+B230+B282+B330+B386</f>
        <v>29320</v>
      </c>
      <c r="W56" s="23"/>
      <c r="Y56" s="3"/>
    </row>
    <row r="57" spans="1:27">
      <c r="B57" s="23"/>
      <c r="C57" s="16">
        <f>0.2/0.185*0.217</f>
        <v>0.23459459459459461</v>
      </c>
      <c r="W57" s="23"/>
      <c r="Y57" s="3"/>
    </row>
    <row r="58" spans="1:27">
      <c r="B58" s="23"/>
      <c r="W58" s="23"/>
      <c r="Y58" s="3"/>
    </row>
    <row r="59" spans="1:27">
      <c r="B59" s="43" t="s">
        <v>336</v>
      </c>
      <c r="C59" s="43" t="s">
        <v>337</v>
      </c>
      <c r="D59" s="43"/>
      <c r="E59" s="43" t="s">
        <v>338</v>
      </c>
      <c r="F59" s="43"/>
      <c r="G59" s="43" t="s">
        <v>339</v>
      </c>
      <c r="H59" s="43"/>
      <c r="I59" s="9" t="s">
        <v>340</v>
      </c>
      <c r="J59" s="9" t="s">
        <v>289</v>
      </c>
      <c r="K59" s="9" t="s">
        <v>863</v>
      </c>
      <c r="L59" s="43" t="s">
        <v>786</v>
      </c>
      <c r="M59" s="43"/>
      <c r="N59" s="43" t="s">
        <v>793</v>
      </c>
      <c r="O59" s="43"/>
      <c r="P59" s="43" t="s">
        <v>794</v>
      </c>
      <c r="Q59" s="43"/>
      <c r="R59" s="9" t="s">
        <v>789</v>
      </c>
      <c r="S59" s="9" t="s">
        <v>790</v>
      </c>
      <c r="W59" s="23"/>
      <c r="Y59" s="3"/>
    </row>
    <row r="60" spans="1:27" ht="15.6">
      <c r="B60" s="43"/>
      <c r="C60" s="9" t="s">
        <v>349</v>
      </c>
      <c r="D60" s="9" t="s">
        <v>348</v>
      </c>
      <c r="E60" s="9" t="s">
        <v>351</v>
      </c>
      <c r="F60" s="9" t="s">
        <v>352</v>
      </c>
      <c r="G60" s="9" t="s">
        <v>353</v>
      </c>
      <c r="H60" s="9" t="s">
        <v>354</v>
      </c>
      <c r="I60" s="9" t="s">
        <v>309</v>
      </c>
      <c r="J60" s="9" t="s">
        <v>308</v>
      </c>
      <c r="K60" s="9" t="s">
        <v>864</v>
      </c>
      <c r="L60" s="9" t="s">
        <v>787</v>
      </c>
      <c r="M60" s="9" t="s">
        <v>788</v>
      </c>
      <c r="N60" s="9" t="s">
        <v>798</v>
      </c>
      <c r="O60" s="9" t="s">
        <v>799</v>
      </c>
      <c r="P60" s="9" t="s">
        <v>800</v>
      </c>
      <c r="Q60" s="9" t="s">
        <v>801</v>
      </c>
      <c r="R60" s="9" t="s">
        <v>792</v>
      </c>
      <c r="S60" s="9" t="s">
        <v>791</v>
      </c>
      <c r="W60" s="23"/>
      <c r="Y60" s="3"/>
    </row>
    <row r="61" spans="1:27" ht="16.2">
      <c r="B61" s="9" t="s">
        <v>356</v>
      </c>
      <c r="C61" s="9" t="s">
        <v>358</v>
      </c>
      <c r="D61" s="9" t="s">
        <v>358</v>
      </c>
      <c r="E61" s="9" t="s">
        <v>357</v>
      </c>
      <c r="F61" s="9" t="s">
        <v>357</v>
      </c>
      <c r="G61" s="9" t="s">
        <v>307</v>
      </c>
      <c r="H61" s="9" t="s">
        <v>307</v>
      </c>
      <c r="I61" s="9"/>
      <c r="J61" s="9"/>
      <c r="K61" s="9" t="s">
        <v>795</v>
      </c>
      <c r="L61" s="9" t="s">
        <v>796</v>
      </c>
      <c r="M61" s="9" t="s">
        <v>796</v>
      </c>
      <c r="N61" s="9" t="s">
        <v>797</v>
      </c>
      <c r="O61" s="9"/>
      <c r="P61" s="9" t="s">
        <v>797</v>
      </c>
      <c r="Q61" s="9"/>
      <c r="R61" s="9" t="s">
        <v>797</v>
      </c>
      <c r="S61" s="9" t="s">
        <v>797</v>
      </c>
      <c r="W61" s="23"/>
      <c r="Y61" s="3"/>
    </row>
    <row r="62" spans="1:27">
      <c r="B62" s="10">
        <f t="shared" ref="B62:C82" si="45">B33</f>
        <v>0</v>
      </c>
      <c r="C62" s="9">
        <f t="shared" si="45"/>
        <v>0.61</v>
      </c>
      <c r="D62" s="9">
        <f t="shared" ref="D62:I62" si="46">D33</f>
        <v>0.47</v>
      </c>
      <c r="E62" s="9">
        <f t="shared" si="46"/>
        <v>2.35</v>
      </c>
      <c r="F62" s="9">
        <f t="shared" si="46"/>
        <v>2.14</v>
      </c>
      <c r="G62" s="9">
        <f t="shared" si="46"/>
        <v>0.41</v>
      </c>
      <c r="H62" s="9">
        <f t="shared" si="46"/>
        <v>0.36</v>
      </c>
      <c r="I62" s="9">
        <f t="shared" si="46"/>
        <v>1.4999999999999999E-2</v>
      </c>
      <c r="J62" s="9" t="str">
        <f>K33</f>
        <v>1/100</v>
      </c>
      <c r="K62" s="9" t="str">
        <f>L33</f>
        <v>U80</v>
      </c>
      <c r="L62" s="9">
        <f t="shared" ref="L62:L84" si="47">N33</f>
        <v>0.26</v>
      </c>
      <c r="M62" s="9">
        <f t="shared" ref="M62:M84" si="48">M33</f>
        <v>0.22</v>
      </c>
      <c r="N62" s="9">
        <v>1.218</v>
      </c>
      <c r="O62" s="9">
        <v>1.1359999999999999</v>
      </c>
      <c r="P62" s="13">
        <f>L62/N62</f>
        <v>0.21346469622331693</v>
      </c>
      <c r="Q62" s="13">
        <f>M62/O62</f>
        <v>0.19366197183098594</v>
      </c>
      <c r="R62" s="9">
        <f>O33</f>
        <v>0.39000000000000007</v>
      </c>
      <c r="S62" s="9">
        <f>P33</f>
        <v>0.8</v>
      </c>
      <c r="W62" s="23"/>
      <c r="Y62" s="3"/>
    </row>
    <row r="63" spans="1:27">
      <c r="B63" s="10">
        <f t="shared" si="45"/>
        <v>200</v>
      </c>
      <c r="C63" s="9">
        <f t="shared" si="45"/>
        <v>0.61</v>
      </c>
      <c r="D63" s="9">
        <f t="shared" ref="D63:I72" si="49">D34</f>
        <v>0.47</v>
      </c>
      <c r="E63" s="9">
        <f t="shared" si="49"/>
        <v>2.35</v>
      </c>
      <c r="F63" s="9">
        <f t="shared" si="49"/>
        <v>2.14</v>
      </c>
      <c r="G63" s="9">
        <f t="shared" si="49"/>
        <v>0.41</v>
      </c>
      <c r="H63" s="9">
        <f t="shared" si="49"/>
        <v>0.36</v>
      </c>
      <c r="I63" s="9">
        <f t="shared" si="49"/>
        <v>1.4999999999999999E-2</v>
      </c>
      <c r="J63" s="9" t="str">
        <f t="shared" ref="J63:K63" si="50">K34</f>
        <v>1/100</v>
      </c>
      <c r="K63" s="9" t="str">
        <f t="shared" si="50"/>
        <v>U80</v>
      </c>
      <c r="L63" s="9">
        <f t="shared" si="47"/>
        <v>0.26</v>
      </c>
      <c r="M63" s="9">
        <f t="shared" si="48"/>
        <v>0.22</v>
      </c>
      <c r="N63" s="9">
        <v>1.218</v>
      </c>
      <c r="O63" s="9">
        <v>1.1359999999999999</v>
      </c>
      <c r="P63" s="13">
        <f t="shared" ref="P63:P84" si="51">L63/N63</f>
        <v>0.21346469622331693</v>
      </c>
      <c r="Q63" s="13">
        <f t="shared" ref="Q63:Q84" si="52">M63/O63</f>
        <v>0.19366197183098594</v>
      </c>
      <c r="R63" s="9">
        <f t="shared" ref="R63:S63" si="53">O34</f>
        <v>0.39000000000000007</v>
      </c>
      <c r="S63" s="9">
        <f t="shared" si="53"/>
        <v>0.8</v>
      </c>
      <c r="W63" s="23"/>
      <c r="Y63" s="3"/>
    </row>
    <row r="64" spans="1:27">
      <c r="B64" s="10">
        <f t="shared" si="45"/>
        <v>400</v>
      </c>
      <c r="C64" s="9">
        <f t="shared" si="45"/>
        <v>0.61</v>
      </c>
      <c r="D64" s="9">
        <f t="shared" si="49"/>
        <v>0.47</v>
      </c>
      <c r="E64" s="9">
        <f t="shared" si="49"/>
        <v>2.35</v>
      </c>
      <c r="F64" s="9">
        <f t="shared" si="49"/>
        <v>2.14</v>
      </c>
      <c r="G64" s="9">
        <f t="shared" si="49"/>
        <v>0.41</v>
      </c>
      <c r="H64" s="9">
        <f t="shared" si="49"/>
        <v>0.36</v>
      </c>
      <c r="I64" s="9">
        <f t="shared" si="49"/>
        <v>1.4999999999999999E-2</v>
      </c>
      <c r="J64" s="9" t="str">
        <f t="shared" ref="J64:K64" si="54">K35</f>
        <v>1/100</v>
      </c>
      <c r="K64" s="9" t="str">
        <f t="shared" si="54"/>
        <v>U80</v>
      </c>
      <c r="L64" s="9">
        <f t="shared" si="47"/>
        <v>0.26</v>
      </c>
      <c r="M64" s="9">
        <f t="shared" si="48"/>
        <v>0.22</v>
      </c>
      <c r="N64" s="9">
        <v>1.218</v>
      </c>
      <c r="O64" s="9">
        <v>1.1359999999999999</v>
      </c>
      <c r="P64" s="13">
        <f t="shared" si="51"/>
        <v>0.21346469622331693</v>
      </c>
      <c r="Q64" s="13">
        <f t="shared" si="52"/>
        <v>0.19366197183098594</v>
      </c>
      <c r="R64" s="9">
        <f t="shared" ref="R64:S64" si="55">O35</f>
        <v>0.39000000000000007</v>
      </c>
      <c r="S64" s="9">
        <f t="shared" si="55"/>
        <v>0.8</v>
      </c>
      <c r="W64" s="23"/>
      <c r="Y64" s="3"/>
    </row>
    <row r="65" spans="2:25">
      <c r="B65" s="10">
        <f t="shared" si="45"/>
        <v>600</v>
      </c>
      <c r="C65" s="9">
        <f t="shared" si="45"/>
        <v>0.61</v>
      </c>
      <c r="D65" s="9">
        <f t="shared" si="49"/>
        <v>0.47</v>
      </c>
      <c r="E65" s="9">
        <f t="shared" si="49"/>
        <v>2.35</v>
      </c>
      <c r="F65" s="9">
        <f t="shared" si="49"/>
        <v>2.14</v>
      </c>
      <c r="G65" s="9">
        <f t="shared" si="49"/>
        <v>0.41</v>
      </c>
      <c r="H65" s="9">
        <f t="shared" si="49"/>
        <v>0.36</v>
      </c>
      <c r="I65" s="9">
        <f t="shared" si="49"/>
        <v>1.4999999999999999E-2</v>
      </c>
      <c r="J65" s="9" t="str">
        <f t="shared" ref="J65:K65" si="56">K36</f>
        <v>1/100</v>
      </c>
      <c r="K65" s="9" t="str">
        <f t="shared" si="56"/>
        <v>U80</v>
      </c>
      <c r="L65" s="9">
        <f t="shared" si="47"/>
        <v>0.26</v>
      </c>
      <c r="M65" s="9">
        <f t="shared" si="48"/>
        <v>0.22</v>
      </c>
      <c r="N65" s="9">
        <v>1.218</v>
      </c>
      <c r="O65" s="9">
        <v>1.1359999999999999</v>
      </c>
      <c r="P65" s="13">
        <f t="shared" si="51"/>
        <v>0.21346469622331693</v>
      </c>
      <c r="Q65" s="13">
        <f t="shared" si="52"/>
        <v>0.19366197183098594</v>
      </c>
      <c r="R65" s="9">
        <f t="shared" ref="R65:S65" si="57">O36</f>
        <v>0.39000000000000007</v>
      </c>
      <c r="S65" s="9">
        <f t="shared" si="57"/>
        <v>0.8</v>
      </c>
      <c r="W65" s="23"/>
      <c r="Y65" s="3"/>
    </row>
    <row r="66" spans="2:25">
      <c r="B66" s="10">
        <f t="shared" si="45"/>
        <v>800</v>
      </c>
      <c r="C66" s="9">
        <f t="shared" si="45"/>
        <v>0.61</v>
      </c>
      <c r="D66" s="9">
        <f t="shared" si="49"/>
        <v>0.47</v>
      </c>
      <c r="E66" s="9">
        <f t="shared" si="49"/>
        <v>2.35</v>
      </c>
      <c r="F66" s="9">
        <f t="shared" si="49"/>
        <v>2.14</v>
      </c>
      <c r="G66" s="9">
        <f t="shared" si="49"/>
        <v>0.41</v>
      </c>
      <c r="H66" s="9">
        <f t="shared" si="49"/>
        <v>0.36</v>
      </c>
      <c r="I66" s="9">
        <f t="shared" si="49"/>
        <v>1.4999999999999999E-2</v>
      </c>
      <c r="J66" s="9" t="str">
        <f t="shared" ref="J66:K66" si="58">K37</f>
        <v>1/100</v>
      </c>
      <c r="K66" s="9" t="str">
        <f t="shared" si="58"/>
        <v>U80</v>
      </c>
      <c r="L66" s="9">
        <f t="shared" si="47"/>
        <v>0.26</v>
      </c>
      <c r="M66" s="9">
        <f t="shared" si="48"/>
        <v>0.22</v>
      </c>
      <c r="N66" s="9">
        <v>1.218</v>
      </c>
      <c r="O66" s="9">
        <v>1.1359999999999999</v>
      </c>
      <c r="P66" s="13">
        <f t="shared" si="51"/>
        <v>0.21346469622331693</v>
      </c>
      <c r="Q66" s="13">
        <f t="shared" si="52"/>
        <v>0.19366197183098594</v>
      </c>
      <c r="R66" s="9">
        <f t="shared" ref="R66:S66" si="59">O37</f>
        <v>0.39000000000000007</v>
      </c>
      <c r="S66" s="9">
        <f t="shared" si="59"/>
        <v>0.8</v>
      </c>
      <c r="W66" s="23"/>
      <c r="Y66" s="3"/>
    </row>
    <row r="67" spans="2:25">
      <c r="B67" s="10">
        <f t="shared" si="45"/>
        <v>1000</v>
      </c>
      <c r="C67" s="9">
        <f t="shared" si="45"/>
        <v>0.61</v>
      </c>
      <c r="D67" s="9">
        <f t="shared" si="49"/>
        <v>0.47</v>
      </c>
      <c r="E67" s="9">
        <f t="shared" si="49"/>
        <v>2.35</v>
      </c>
      <c r="F67" s="9">
        <f t="shared" si="49"/>
        <v>2.14</v>
      </c>
      <c r="G67" s="9">
        <f t="shared" si="49"/>
        <v>0.41</v>
      </c>
      <c r="H67" s="9">
        <f t="shared" si="49"/>
        <v>0.36</v>
      </c>
      <c r="I67" s="9">
        <f t="shared" si="49"/>
        <v>1.4999999999999999E-2</v>
      </c>
      <c r="J67" s="9" t="str">
        <f t="shared" ref="J67:K67" si="60">K38</f>
        <v>1/100</v>
      </c>
      <c r="K67" s="9" t="str">
        <f t="shared" si="60"/>
        <v>U80</v>
      </c>
      <c r="L67" s="9">
        <f t="shared" si="47"/>
        <v>0.26</v>
      </c>
      <c r="M67" s="9">
        <f t="shared" si="48"/>
        <v>0.22</v>
      </c>
      <c r="N67" s="9">
        <v>1.218</v>
      </c>
      <c r="O67" s="9">
        <v>1.1359999999999999</v>
      </c>
      <c r="P67" s="13">
        <f t="shared" si="51"/>
        <v>0.21346469622331693</v>
      </c>
      <c r="Q67" s="13">
        <f t="shared" si="52"/>
        <v>0.19366197183098594</v>
      </c>
      <c r="R67" s="9">
        <f t="shared" ref="R67:S67" si="61">O38</f>
        <v>0.39000000000000007</v>
      </c>
      <c r="S67" s="9">
        <f t="shared" si="61"/>
        <v>0.8</v>
      </c>
      <c r="W67" s="23"/>
      <c r="Y67" s="3"/>
    </row>
    <row r="68" spans="2:25">
      <c r="B68" s="10">
        <f t="shared" si="45"/>
        <v>1200</v>
      </c>
      <c r="C68" s="9">
        <f t="shared" si="45"/>
        <v>0.61</v>
      </c>
      <c r="D68" s="9">
        <f t="shared" si="49"/>
        <v>0.47</v>
      </c>
      <c r="E68" s="9">
        <f t="shared" si="49"/>
        <v>2.35</v>
      </c>
      <c r="F68" s="9">
        <f t="shared" si="49"/>
        <v>2.14</v>
      </c>
      <c r="G68" s="9">
        <f t="shared" si="49"/>
        <v>0.41</v>
      </c>
      <c r="H68" s="9">
        <f t="shared" si="49"/>
        <v>0.36</v>
      </c>
      <c r="I68" s="9">
        <f t="shared" si="49"/>
        <v>1.4999999999999999E-2</v>
      </c>
      <c r="J68" s="9" t="str">
        <f t="shared" ref="J68:K68" si="62">K39</f>
        <v>1/100</v>
      </c>
      <c r="K68" s="9" t="str">
        <f t="shared" si="62"/>
        <v>U80</v>
      </c>
      <c r="L68" s="9">
        <f t="shared" si="47"/>
        <v>0.26</v>
      </c>
      <c r="M68" s="9">
        <f t="shared" si="48"/>
        <v>0.22</v>
      </c>
      <c r="N68" s="9">
        <v>1.218</v>
      </c>
      <c r="O68" s="9">
        <v>1.1359999999999999</v>
      </c>
      <c r="P68" s="13">
        <f t="shared" si="51"/>
        <v>0.21346469622331693</v>
      </c>
      <c r="Q68" s="13">
        <f t="shared" si="52"/>
        <v>0.19366197183098594</v>
      </c>
      <c r="R68" s="9">
        <f t="shared" ref="R68:S68" si="63">O39</f>
        <v>0.39000000000000007</v>
      </c>
      <c r="S68" s="9">
        <f t="shared" si="63"/>
        <v>0.8</v>
      </c>
      <c r="W68" s="23"/>
      <c r="Y68" s="3"/>
    </row>
    <row r="69" spans="2:25">
      <c r="B69" s="10">
        <f t="shared" si="45"/>
        <v>1400</v>
      </c>
      <c r="C69" s="9">
        <f t="shared" si="45"/>
        <v>0.61</v>
      </c>
      <c r="D69" s="9">
        <f t="shared" si="49"/>
        <v>0.47</v>
      </c>
      <c r="E69" s="9">
        <f t="shared" si="49"/>
        <v>2.35</v>
      </c>
      <c r="F69" s="9">
        <f t="shared" si="49"/>
        <v>2.14</v>
      </c>
      <c r="G69" s="9">
        <f t="shared" si="49"/>
        <v>0.41</v>
      </c>
      <c r="H69" s="9">
        <f t="shared" si="49"/>
        <v>0.36</v>
      </c>
      <c r="I69" s="9">
        <f t="shared" si="49"/>
        <v>1.4999999999999999E-2</v>
      </c>
      <c r="J69" s="9" t="str">
        <f t="shared" ref="J69:K69" si="64">K40</f>
        <v>1/100</v>
      </c>
      <c r="K69" s="9" t="str">
        <f t="shared" si="64"/>
        <v>U80</v>
      </c>
      <c r="L69" s="9">
        <f t="shared" si="47"/>
        <v>0.26</v>
      </c>
      <c r="M69" s="9">
        <f t="shared" si="48"/>
        <v>0.22</v>
      </c>
      <c r="N69" s="9">
        <v>1.218</v>
      </c>
      <c r="O69" s="9">
        <v>1.1359999999999999</v>
      </c>
      <c r="P69" s="13">
        <f t="shared" si="51"/>
        <v>0.21346469622331693</v>
      </c>
      <c r="Q69" s="13">
        <f t="shared" si="52"/>
        <v>0.19366197183098594</v>
      </c>
      <c r="R69" s="9">
        <f t="shared" ref="R69:S69" si="65">O40</f>
        <v>0.39000000000000007</v>
      </c>
      <c r="S69" s="9">
        <f t="shared" si="65"/>
        <v>0.8</v>
      </c>
      <c r="W69" s="23"/>
      <c r="Y69" s="3"/>
    </row>
    <row r="70" spans="2:25">
      <c r="B70" s="10">
        <f t="shared" si="45"/>
        <v>1600</v>
      </c>
      <c r="C70" s="9">
        <f t="shared" si="45"/>
        <v>0.61</v>
      </c>
      <c r="D70" s="9">
        <f t="shared" si="49"/>
        <v>0.47</v>
      </c>
      <c r="E70" s="9">
        <f t="shared" si="49"/>
        <v>2.35</v>
      </c>
      <c r="F70" s="9">
        <f t="shared" si="49"/>
        <v>2.14</v>
      </c>
      <c r="G70" s="9">
        <f t="shared" si="49"/>
        <v>0.41</v>
      </c>
      <c r="H70" s="9">
        <f t="shared" si="49"/>
        <v>0.36</v>
      </c>
      <c r="I70" s="9">
        <f t="shared" si="49"/>
        <v>1.4999999999999999E-2</v>
      </c>
      <c r="J70" s="9" t="str">
        <f t="shared" ref="J70:K70" si="66">K41</f>
        <v>1/100</v>
      </c>
      <c r="K70" s="9" t="str">
        <f t="shared" si="66"/>
        <v>U80</v>
      </c>
      <c r="L70" s="9">
        <f t="shared" si="47"/>
        <v>0.26</v>
      </c>
      <c r="M70" s="9">
        <f t="shared" si="48"/>
        <v>0.22</v>
      </c>
      <c r="N70" s="9">
        <v>1.218</v>
      </c>
      <c r="O70" s="9">
        <v>1.1359999999999999</v>
      </c>
      <c r="P70" s="13">
        <f t="shared" si="51"/>
        <v>0.21346469622331693</v>
      </c>
      <c r="Q70" s="13">
        <f t="shared" si="52"/>
        <v>0.19366197183098594</v>
      </c>
      <c r="R70" s="9">
        <f t="shared" ref="R70:S70" si="67">O41</f>
        <v>0.39000000000000007</v>
      </c>
      <c r="S70" s="9">
        <f t="shared" si="67"/>
        <v>0.8</v>
      </c>
      <c r="W70" s="23"/>
      <c r="Y70" s="3"/>
    </row>
    <row r="71" spans="2:25">
      <c r="B71" s="10">
        <f t="shared" si="45"/>
        <v>1800</v>
      </c>
      <c r="C71" s="9">
        <f t="shared" si="45"/>
        <v>0.61</v>
      </c>
      <c r="D71" s="9">
        <f t="shared" si="49"/>
        <v>0.47</v>
      </c>
      <c r="E71" s="9">
        <f t="shared" si="49"/>
        <v>2.35</v>
      </c>
      <c r="F71" s="9">
        <f t="shared" si="49"/>
        <v>2.14</v>
      </c>
      <c r="G71" s="9">
        <f t="shared" si="49"/>
        <v>0.41</v>
      </c>
      <c r="H71" s="9">
        <f t="shared" si="49"/>
        <v>0.36</v>
      </c>
      <c r="I71" s="9">
        <f t="shared" si="49"/>
        <v>1.4999999999999999E-2</v>
      </c>
      <c r="J71" s="9" t="str">
        <f t="shared" ref="J71:K71" si="68">K42</f>
        <v>1/100</v>
      </c>
      <c r="K71" s="9" t="str">
        <f t="shared" si="68"/>
        <v>U80</v>
      </c>
      <c r="L71" s="9">
        <f t="shared" si="47"/>
        <v>0.26</v>
      </c>
      <c r="M71" s="9">
        <f t="shared" si="48"/>
        <v>0.22</v>
      </c>
      <c r="N71" s="9">
        <v>1.218</v>
      </c>
      <c r="O71" s="9">
        <v>1.1359999999999999</v>
      </c>
      <c r="P71" s="13">
        <f t="shared" si="51"/>
        <v>0.21346469622331693</v>
      </c>
      <c r="Q71" s="13">
        <f t="shared" si="52"/>
        <v>0.19366197183098594</v>
      </c>
      <c r="R71" s="9">
        <f t="shared" ref="R71:S71" si="69">O42</f>
        <v>0.39000000000000007</v>
      </c>
      <c r="S71" s="9">
        <f t="shared" si="69"/>
        <v>0.8</v>
      </c>
      <c r="W71" s="23"/>
      <c r="Y71" s="3"/>
    </row>
    <row r="72" spans="2:25">
      <c r="B72" s="10">
        <f t="shared" si="45"/>
        <v>2000</v>
      </c>
      <c r="C72" s="9">
        <f t="shared" si="45"/>
        <v>0.61</v>
      </c>
      <c r="D72" s="9">
        <f t="shared" si="49"/>
        <v>0.47</v>
      </c>
      <c r="E72" s="9">
        <f t="shared" si="49"/>
        <v>2.35</v>
      </c>
      <c r="F72" s="9">
        <f t="shared" si="49"/>
        <v>2.14</v>
      </c>
      <c r="G72" s="9">
        <f t="shared" si="49"/>
        <v>0.41</v>
      </c>
      <c r="H72" s="9">
        <f t="shared" si="49"/>
        <v>0.36</v>
      </c>
      <c r="I72" s="9">
        <f t="shared" si="49"/>
        <v>1.4999999999999999E-2</v>
      </c>
      <c r="J72" s="9" t="str">
        <f t="shared" ref="J72:K72" si="70">K43</f>
        <v>1/100</v>
      </c>
      <c r="K72" s="9" t="str">
        <f t="shared" si="70"/>
        <v>U80</v>
      </c>
      <c r="L72" s="9">
        <f t="shared" si="47"/>
        <v>0.26</v>
      </c>
      <c r="M72" s="9">
        <f t="shared" si="48"/>
        <v>0.22</v>
      </c>
      <c r="N72" s="9">
        <v>1.218</v>
      </c>
      <c r="O72" s="9">
        <v>1.1359999999999999</v>
      </c>
      <c r="P72" s="13">
        <f t="shared" si="51"/>
        <v>0.21346469622331693</v>
      </c>
      <c r="Q72" s="13">
        <f t="shared" si="52"/>
        <v>0.19366197183098594</v>
      </c>
      <c r="R72" s="9">
        <f t="shared" ref="R72:S72" si="71">O43</f>
        <v>0.39000000000000007</v>
      </c>
      <c r="S72" s="9">
        <f t="shared" si="71"/>
        <v>0.8</v>
      </c>
      <c r="W72" s="23"/>
      <c r="Y72" s="3"/>
    </row>
    <row r="73" spans="2:25">
      <c r="B73" s="10">
        <f t="shared" si="45"/>
        <v>2200</v>
      </c>
      <c r="C73" s="9">
        <f t="shared" si="45"/>
        <v>0.61</v>
      </c>
      <c r="D73" s="9">
        <f t="shared" ref="D73:I82" si="72">D44</f>
        <v>0.47</v>
      </c>
      <c r="E73" s="9">
        <f t="shared" si="72"/>
        <v>2.35</v>
      </c>
      <c r="F73" s="9">
        <f t="shared" si="72"/>
        <v>2.14</v>
      </c>
      <c r="G73" s="9">
        <f t="shared" si="72"/>
        <v>0.41</v>
      </c>
      <c r="H73" s="9">
        <f t="shared" si="72"/>
        <v>0.36</v>
      </c>
      <c r="I73" s="9">
        <f t="shared" si="72"/>
        <v>1.4999999999999999E-2</v>
      </c>
      <c r="J73" s="9" t="str">
        <f t="shared" ref="J73:K73" si="73">K44</f>
        <v>1/100</v>
      </c>
      <c r="K73" s="9" t="str">
        <f t="shared" si="73"/>
        <v>U80</v>
      </c>
      <c r="L73" s="9">
        <f t="shared" si="47"/>
        <v>0.26</v>
      </c>
      <c r="M73" s="9">
        <f t="shared" si="48"/>
        <v>0.22</v>
      </c>
      <c r="N73" s="9">
        <v>1.218</v>
      </c>
      <c r="O73" s="9">
        <v>1.1359999999999999</v>
      </c>
      <c r="P73" s="13">
        <f t="shared" si="51"/>
        <v>0.21346469622331693</v>
      </c>
      <c r="Q73" s="13">
        <f t="shared" si="52"/>
        <v>0.19366197183098594</v>
      </c>
      <c r="R73" s="9">
        <f t="shared" ref="R73:S73" si="74">O44</f>
        <v>0.39000000000000007</v>
      </c>
      <c r="S73" s="9">
        <f t="shared" si="74"/>
        <v>0.8</v>
      </c>
      <c r="W73" s="23"/>
      <c r="Y73" s="3"/>
    </row>
    <row r="74" spans="2:25">
      <c r="B74" s="10">
        <f t="shared" si="45"/>
        <v>2400</v>
      </c>
      <c r="C74" s="9">
        <f t="shared" si="45"/>
        <v>0.61</v>
      </c>
      <c r="D74" s="9">
        <f t="shared" si="72"/>
        <v>0.47</v>
      </c>
      <c r="E74" s="9">
        <f t="shared" si="72"/>
        <v>2.35</v>
      </c>
      <c r="F74" s="9">
        <f t="shared" si="72"/>
        <v>2.14</v>
      </c>
      <c r="G74" s="9">
        <f t="shared" si="72"/>
        <v>0.41</v>
      </c>
      <c r="H74" s="9">
        <f t="shared" si="72"/>
        <v>0.36</v>
      </c>
      <c r="I74" s="9">
        <f t="shared" si="72"/>
        <v>1.4999999999999999E-2</v>
      </c>
      <c r="J74" s="9" t="str">
        <f t="shared" ref="J74:K74" si="75">K45</f>
        <v>1/100</v>
      </c>
      <c r="K74" s="9" t="str">
        <f t="shared" si="75"/>
        <v>U80</v>
      </c>
      <c r="L74" s="9">
        <f t="shared" si="47"/>
        <v>0.26</v>
      </c>
      <c r="M74" s="9">
        <f t="shared" si="48"/>
        <v>0.22</v>
      </c>
      <c r="N74" s="9">
        <v>1.218</v>
      </c>
      <c r="O74" s="9">
        <v>1.1359999999999999</v>
      </c>
      <c r="P74" s="13">
        <f t="shared" si="51"/>
        <v>0.21346469622331693</v>
      </c>
      <c r="Q74" s="13">
        <f t="shared" si="52"/>
        <v>0.19366197183098594</v>
      </c>
      <c r="R74" s="9">
        <f t="shared" ref="R74:S74" si="76">O45</f>
        <v>0.39000000000000007</v>
      </c>
      <c r="S74" s="9">
        <f t="shared" si="76"/>
        <v>0.8</v>
      </c>
      <c r="W74" s="23"/>
      <c r="Y74" s="3"/>
    </row>
    <row r="75" spans="2:25">
      <c r="B75" s="10">
        <f t="shared" si="45"/>
        <v>2600</v>
      </c>
      <c r="C75" s="9">
        <f t="shared" si="45"/>
        <v>0.61</v>
      </c>
      <c r="D75" s="9">
        <f t="shared" si="72"/>
        <v>0.47</v>
      </c>
      <c r="E75" s="9">
        <f t="shared" si="72"/>
        <v>2.35</v>
      </c>
      <c r="F75" s="9">
        <f t="shared" si="72"/>
        <v>2.14</v>
      </c>
      <c r="G75" s="9">
        <f t="shared" si="72"/>
        <v>0.41</v>
      </c>
      <c r="H75" s="9">
        <f t="shared" si="72"/>
        <v>0.36</v>
      </c>
      <c r="I75" s="9">
        <f t="shared" si="72"/>
        <v>1.4999999999999999E-2</v>
      </c>
      <c r="J75" s="9" t="str">
        <f t="shared" ref="J75:K75" si="77">K46</f>
        <v>1/100</v>
      </c>
      <c r="K75" s="9" t="str">
        <f t="shared" si="77"/>
        <v>U80</v>
      </c>
      <c r="L75" s="9">
        <f t="shared" si="47"/>
        <v>0.26</v>
      </c>
      <c r="M75" s="9">
        <f t="shared" si="48"/>
        <v>0.22</v>
      </c>
      <c r="N75" s="9">
        <v>1.218</v>
      </c>
      <c r="O75" s="9">
        <v>1.1359999999999999</v>
      </c>
      <c r="P75" s="13">
        <f t="shared" si="51"/>
        <v>0.21346469622331693</v>
      </c>
      <c r="Q75" s="13">
        <f t="shared" si="52"/>
        <v>0.19366197183098594</v>
      </c>
      <c r="R75" s="9">
        <f t="shared" ref="R75:S75" si="78">O46</f>
        <v>0.39000000000000007</v>
      </c>
      <c r="S75" s="9">
        <f t="shared" si="78"/>
        <v>0.8</v>
      </c>
      <c r="W75" s="23"/>
      <c r="Y75" s="3"/>
    </row>
    <row r="76" spans="2:25">
      <c r="B76" s="10">
        <f t="shared" si="45"/>
        <v>2610</v>
      </c>
      <c r="C76" s="9">
        <f t="shared" si="45"/>
        <v>0.3</v>
      </c>
      <c r="D76" s="9">
        <f t="shared" si="72"/>
        <v>0.23</v>
      </c>
      <c r="E76" s="9">
        <f t="shared" si="72"/>
        <v>2.14</v>
      </c>
      <c r="F76" s="9">
        <f t="shared" si="72"/>
        <v>1.92</v>
      </c>
      <c r="G76" s="9">
        <f t="shared" si="72"/>
        <v>0.3</v>
      </c>
      <c r="H76" s="9">
        <f t="shared" si="72"/>
        <v>0.26</v>
      </c>
      <c r="I76" s="9">
        <f t="shared" si="72"/>
        <v>1.4999999999999999E-2</v>
      </c>
      <c r="J76" s="9" t="str">
        <f t="shared" ref="J76:K76" si="79">K47</f>
        <v>1/100</v>
      </c>
      <c r="K76" s="9" t="str">
        <f t="shared" si="79"/>
        <v>U60</v>
      </c>
      <c r="L76" s="9">
        <f t="shared" si="47"/>
        <v>0.14000000000000001</v>
      </c>
      <c r="M76" s="9">
        <f t="shared" si="48"/>
        <v>0.12</v>
      </c>
      <c r="N76" s="9">
        <v>0.94399999999999995</v>
      </c>
      <c r="O76" s="9">
        <v>0.86199999999999999</v>
      </c>
      <c r="P76" s="13">
        <f t="shared" si="51"/>
        <v>0.14830508474576273</v>
      </c>
      <c r="Q76" s="13">
        <f t="shared" si="52"/>
        <v>0.13921113689095127</v>
      </c>
      <c r="R76" s="9">
        <f t="shared" ref="R76:S76" si="80">O47</f>
        <v>0.3</v>
      </c>
      <c r="S76" s="9">
        <f t="shared" si="80"/>
        <v>0.6</v>
      </c>
      <c r="W76" s="23"/>
      <c r="Y76" s="3"/>
    </row>
    <row r="77" spans="2:25">
      <c r="B77" s="10">
        <f t="shared" si="45"/>
        <v>2800</v>
      </c>
      <c r="C77" s="9">
        <f t="shared" si="45"/>
        <v>0.3</v>
      </c>
      <c r="D77" s="9">
        <f t="shared" si="72"/>
        <v>0.23</v>
      </c>
      <c r="E77" s="9">
        <f t="shared" si="72"/>
        <v>2.14</v>
      </c>
      <c r="F77" s="9">
        <f t="shared" si="72"/>
        <v>1.92</v>
      </c>
      <c r="G77" s="9">
        <f t="shared" si="72"/>
        <v>0.3</v>
      </c>
      <c r="H77" s="9">
        <f t="shared" si="72"/>
        <v>0.26</v>
      </c>
      <c r="I77" s="9">
        <f t="shared" si="72"/>
        <v>1.4999999999999999E-2</v>
      </c>
      <c r="J77" s="9" t="str">
        <f t="shared" ref="J77:K77" si="81">K48</f>
        <v>1/100</v>
      </c>
      <c r="K77" s="9" t="str">
        <f t="shared" si="81"/>
        <v>U60</v>
      </c>
      <c r="L77" s="9">
        <f t="shared" si="47"/>
        <v>0.14000000000000001</v>
      </c>
      <c r="M77" s="9">
        <f t="shared" si="48"/>
        <v>0.12</v>
      </c>
      <c r="N77" s="9">
        <v>0.94399999999999995</v>
      </c>
      <c r="O77" s="9">
        <v>0.86199999999999999</v>
      </c>
      <c r="P77" s="13">
        <f t="shared" si="51"/>
        <v>0.14830508474576273</v>
      </c>
      <c r="Q77" s="13">
        <f t="shared" si="52"/>
        <v>0.13921113689095127</v>
      </c>
      <c r="R77" s="9">
        <f t="shared" ref="R77:S77" si="82">O48</f>
        <v>0.3</v>
      </c>
      <c r="S77" s="9">
        <f t="shared" si="82"/>
        <v>0.6</v>
      </c>
      <c r="W77" s="23"/>
      <c r="Y77" s="3"/>
    </row>
    <row r="78" spans="2:25">
      <c r="B78" s="10">
        <f t="shared" si="45"/>
        <v>3000</v>
      </c>
      <c r="C78" s="9">
        <f t="shared" si="45"/>
        <v>0.3</v>
      </c>
      <c r="D78" s="9">
        <f t="shared" si="72"/>
        <v>0.23</v>
      </c>
      <c r="E78" s="9">
        <f t="shared" si="72"/>
        <v>2.14</v>
      </c>
      <c r="F78" s="9">
        <f t="shared" si="72"/>
        <v>1.92</v>
      </c>
      <c r="G78" s="9">
        <f t="shared" si="72"/>
        <v>0.3</v>
      </c>
      <c r="H78" s="9">
        <f t="shared" si="72"/>
        <v>0.26</v>
      </c>
      <c r="I78" s="9">
        <f t="shared" si="72"/>
        <v>1.4999999999999999E-2</v>
      </c>
      <c r="J78" s="9" t="str">
        <f t="shared" ref="J78:K78" si="83">K49</f>
        <v>1/100</v>
      </c>
      <c r="K78" s="9" t="str">
        <f t="shared" si="83"/>
        <v>U60</v>
      </c>
      <c r="L78" s="9">
        <f t="shared" si="47"/>
        <v>0.14000000000000001</v>
      </c>
      <c r="M78" s="9">
        <f t="shared" si="48"/>
        <v>0.12</v>
      </c>
      <c r="N78" s="9">
        <v>0.94399999999999995</v>
      </c>
      <c r="O78" s="9">
        <v>0.86199999999999999</v>
      </c>
      <c r="P78" s="13">
        <f t="shared" si="51"/>
        <v>0.14830508474576273</v>
      </c>
      <c r="Q78" s="13">
        <f t="shared" si="52"/>
        <v>0.13921113689095127</v>
      </c>
      <c r="R78" s="9">
        <f t="shared" ref="R78:S78" si="84">O49</f>
        <v>0.3</v>
      </c>
      <c r="S78" s="9">
        <f t="shared" si="84"/>
        <v>0.6</v>
      </c>
      <c r="W78" s="23"/>
      <c r="Y78" s="3"/>
    </row>
    <row r="79" spans="2:25">
      <c r="B79" s="10">
        <f t="shared" si="45"/>
        <v>3200</v>
      </c>
      <c r="C79" s="9">
        <f t="shared" si="45"/>
        <v>0.3</v>
      </c>
      <c r="D79" s="9">
        <f t="shared" si="72"/>
        <v>0.23</v>
      </c>
      <c r="E79" s="9">
        <f t="shared" si="72"/>
        <v>2.14</v>
      </c>
      <c r="F79" s="9">
        <f t="shared" si="72"/>
        <v>1.92</v>
      </c>
      <c r="G79" s="9">
        <f t="shared" si="72"/>
        <v>0.3</v>
      </c>
      <c r="H79" s="9">
        <f t="shared" si="72"/>
        <v>0.26</v>
      </c>
      <c r="I79" s="9">
        <f t="shared" si="72"/>
        <v>1.4999999999999999E-2</v>
      </c>
      <c r="J79" s="9" t="str">
        <f t="shared" ref="J79:K79" si="85">K50</f>
        <v>1/100</v>
      </c>
      <c r="K79" s="9" t="str">
        <f t="shared" si="85"/>
        <v>U60</v>
      </c>
      <c r="L79" s="9">
        <f t="shared" si="47"/>
        <v>0.14000000000000001</v>
      </c>
      <c r="M79" s="9">
        <f t="shared" si="48"/>
        <v>0.12</v>
      </c>
      <c r="N79" s="9">
        <v>0.94399999999999995</v>
      </c>
      <c r="O79" s="9">
        <v>0.86199999999999999</v>
      </c>
      <c r="P79" s="13">
        <f t="shared" si="51"/>
        <v>0.14830508474576273</v>
      </c>
      <c r="Q79" s="13">
        <f t="shared" si="52"/>
        <v>0.13921113689095127</v>
      </c>
      <c r="R79" s="9">
        <f t="shared" ref="R79:S79" si="86">O50</f>
        <v>0.3</v>
      </c>
      <c r="S79" s="9">
        <f t="shared" si="86"/>
        <v>0.6</v>
      </c>
      <c r="W79" s="23"/>
      <c r="Y79" s="3"/>
    </row>
    <row r="80" spans="2:25">
      <c r="B80" s="10">
        <f t="shared" si="45"/>
        <v>3400</v>
      </c>
      <c r="C80" s="9">
        <f t="shared" si="45"/>
        <v>0.3</v>
      </c>
      <c r="D80" s="9">
        <f t="shared" si="72"/>
        <v>0.23</v>
      </c>
      <c r="E80" s="9">
        <f t="shared" si="72"/>
        <v>2.14</v>
      </c>
      <c r="F80" s="9">
        <f t="shared" si="72"/>
        <v>1.92</v>
      </c>
      <c r="G80" s="9">
        <f t="shared" si="72"/>
        <v>0.3</v>
      </c>
      <c r="H80" s="9">
        <f t="shared" si="72"/>
        <v>0.26</v>
      </c>
      <c r="I80" s="9">
        <f t="shared" si="72"/>
        <v>1.4999999999999999E-2</v>
      </c>
      <c r="J80" s="9" t="str">
        <f t="shared" ref="J80:K80" si="87">K51</f>
        <v>1/100</v>
      </c>
      <c r="K80" s="9" t="str">
        <f t="shared" si="87"/>
        <v>U60</v>
      </c>
      <c r="L80" s="9">
        <f t="shared" si="47"/>
        <v>0.14000000000000001</v>
      </c>
      <c r="M80" s="9">
        <f t="shared" si="48"/>
        <v>0.12</v>
      </c>
      <c r="N80" s="9">
        <v>0.94399999999999995</v>
      </c>
      <c r="O80" s="9">
        <v>0.86199999999999999</v>
      </c>
      <c r="P80" s="13">
        <f t="shared" si="51"/>
        <v>0.14830508474576273</v>
      </c>
      <c r="Q80" s="13">
        <f t="shared" si="52"/>
        <v>0.13921113689095127</v>
      </c>
      <c r="R80" s="9">
        <f t="shared" ref="R80:S80" si="88">O51</f>
        <v>0.3</v>
      </c>
      <c r="S80" s="9">
        <f t="shared" si="88"/>
        <v>0.6</v>
      </c>
      <c r="W80" s="23"/>
      <c r="Y80" s="3"/>
    </row>
    <row r="81" spans="1:27">
      <c r="B81" s="10">
        <f t="shared" si="45"/>
        <v>3600</v>
      </c>
      <c r="C81" s="9">
        <f t="shared" si="45"/>
        <v>0.3</v>
      </c>
      <c r="D81" s="9">
        <f t="shared" si="72"/>
        <v>0.23</v>
      </c>
      <c r="E81" s="9">
        <f t="shared" si="72"/>
        <v>2.14</v>
      </c>
      <c r="F81" s="9">
        <f t="shared" si="72"/>
        <v>1.92</v>
      </c>
      <c r="G81" s="9">
        <f t="shared" si="72"/>
        <v>0.3</v>
      </c>
      <c r="H81" s="9">
        <f t="shared" si="72"/>
        <v>0.26</v>
      </c>
      <c r="I81" s="9">
        <f t="shared" si="72"/>
        <v>1.4999999999999999E-2</v>
      </c>
      <c r="J81" s="9" t="str">
        <f t="shared" ref="J81:K81" si="89">K52</f>
        <v>1/100</v>
      </c>
      <c r="K81" s="9" t="str">
        <f t="shared" si="89"/>
        <v>U60</v>
      </c>
      <c r="L81" s="9">
        <f t="shared" si="47"/>
        <v>0.14000000000000001</v>
      </c>
      <c r="M81" s="9">
        <f t="shared" si="48"/>
        <v>0.12</v>
      </c>
      <c r="N81" s="9">
        <v>0.94399999999999995</v>
      </c>
      <c r="O81" s="9">
        <v>0.86199999999999999</v>
      </c>
      <c r="P81" s="13">
        <f t="shared" si="51"/>
        <v>0.14830508474576273</v>
      </c>
      <c r="Q81" s="13">
        <f t="shared" si="52"/>
        <v>0.13921113689095127</v>
      </c>
      <c r="R81" s="9">
        <f t="shared" ref="R81:S81" si="90">O52</f>
        <v>0.3</v>
      </c>
      <c r="S81" s="9">
        <f t="shared" si="90"/>
        <v>0.6</v>
      </c>
      <c r="W81" s="23"/>
      <c r="Y81" s="3"/>
    </row>
    <row r="82" spans="1:27">
      <c r="B82" s="10">
        <f t="shared" si="45"/>
        <v>3800</v>
      </c>
      <c r="C82" s="9">
        <f t="shared" si="45"/>
        <v>0.3</v>
      </c>
      <c r="D82" s="9">
        <f t="shared" si="72"/>
        <v>0.23</v>
      </c>
      <c r="E82" s="9">
        <f t="shared" si="72"/>
        <v>2.14</v>
      </c>
      <c r="F82" s="9">
        <f t="shared" si="72"/>
        <v>1.92</v>
      </c>
      <c r="G82" s="9">
        <f t="shared" si="72"/>
        <v>0.3</v>
      </c>
      <c r="H82" s="9">
        <f t="shared" si="72"/>
        <v>0.26</v>
      </c>
      <c r="I82" s="9">
        <f t="shared" si="72"/>
        <v>1.4999999999999999E-2</v>
      </c>
      <c r="J82" s="9" t="str">
        <f t="shared" ref="J82:K82" si="91">K53</f>
        <v>1/100</v>
      </c>
      <c r="K82" s="9" t="str">
        <f t="shared" si="91"/>
        <v>U60</v>
      </c>
      <c r="L82" s="9">
        <f t="shared" si="47"/>
        <v>0.14000000000000001</v>
      </c>
      <c r="M82" s="9">
        <f t="shared" si="48"/>
        <v>0.12</v>
      </c>
      <c r="N82" s="9">
        <v>0.94399999999999995</v>
      </c>
      <c r="O82" s="9">
        <v>0.86199999999999999</v>
      </c>
      <c r="P82" s="13">
        <f t="shared" si="51"/>
        <v>0.14830508474576273</v>
      </c>
      <c r="Q82" s="13">
        <f t="shared" si="52"/>
        <v>0.13921113689095127</v>
      </c>
      <c r="R82" s="9">
        <f t="shared" ref="R82:S82" si="92">O53</f>
        <v>0.3</v>
      </c>
      <c r="S82" s="9">
        <f t="shared" si="92"/>
        <v>0.6</v>
      </c>
      <c r="W82" s="23"/>
      <c r="Y82" s="3"/>
    </row>
    <row r="83" spans="1:27">
      <c r="B83" s="10">
        <f>B54</f>
        <v>4000</v>
      </c>
      <c r="C83" s="9">
        <f t="shared" ref="C83:I83" si="93">C54</f>
        <v>0.3</v>
      </c>
      <c r="D83" s="9">
        <f t="shared" si="93"/>
        <v>0.23</v>
      </c>
      <c r="E83" s="9">
        <f t="shared" si="93"/>
        <v>2.14</v>
      </c>
      <c r="F83" s="9">
        <f t="shared" si="93"/>
        <v>1.92</v>
      </c>
      <c r="G83" s="9">
        <f t="shared" si="93"/>
        <v>0.3</v>
      </c>
      <c r="H83" s="9">
        <f t="shared" si="93"/>
        <v>0.26</v>
      </c>
      <c r="I83" s="9">
        <f t="shared" si="93"/>
        <v>1.4999999999999999E-2</v>
      </c>
      <c r="J83" s="9" t="str">
        <f t="shared" ref="J83:K83" si="94">K54</f>
        <v>1/100</v>
      </c>
      <c r="K83" s="9" t="str">
        <f t="shared" si="94"/>
        <v>U60</v>
      </c>
      <c r="L83" s="9">
        <f t="shared" si="47"/>
        <v>0.14000000000000001</v>
      </c>
      <c r="M83" s="9">
        <f t="shared" si="48"/>
        <v>0.12</v>
      </c>
      <c r="N83" s="9">
        <v>0.94399999999999995</v>
      </c>
      <c r="O83" s="9">
        <v>0.86199999999999999</v>
      </c>
      <c r="P83" s="13">
        <f t="shared" si="51"/>
        <v>0.14830508474576273</v>
      </c>
      <c r="Q83" s="13">
        <f t="shared" si="52"/>
        <v>0.13921113689095127</v>
      </c>
      <c r="R83" s="9">
        <f t="shared" ref="R83:S83" si="95">O54</f>
        <v>0.3</v>
      </c>
      <c r="S83" s="9">
        <f t="shared" si="95"/>
        <v>0.6</v>
      </c>
      <c r="W83" s="23"/>
      <c r="Y83" s="3"/>
    </row>
    <row r="84" spans="1:27">
      <c r="B84" s="10">
        <f>B55</f>
        <v>4150</v>
      </c>
      <c r="C84" s="9">
        <f t="shared" ref="C84:I84" si="96">C55</f>
        <v>0.3</v>
      </c>
      <c r="D84" s="9">
        <f t="shared" si="96"/>
        <v>0.23</v>
      </c>
      <c r="E84" s="9">
        <f t="shared" si="96"/>
        <v>2.14</v>
      </c>
      <c r="F84" s="9">
        <f t="shared" si="96"/>
        <v>1.92</v>
      </c>
      <c r="G84" s="9">
        <f t="shared" si="96"/>
        <v>0.3</v>
      </c>
      <c r="H84" s="9">
        <f t="shared" si="96"/>
        <v>0.26</v>
      </c>
      <c r="I84" s="9">
        <f t="shared" si="96"/>
        <v>1.4999999999999999E-2</v>
      </c>
      <c r="J84" s="9" t="str">
        <f t="shared" ref="J84:K84" si="97">K55</f>
        <v>1/100</v>
      </c>
      <c r="K84" s="9" t="str">
        <f t="shared" si="97"/>
        <v>U60</v>
      </c>
      <c r="L84" s="9">
        <f t="shared" si="47"/>
        <v>0.14000000000000001</v>
      </c>
      <c r="M84" s="9">
        <f t="shared" si="48"/>
        <v>0.12</v>
      </c>
      <c r="N84" s="9">
        <v>0.94399999999999995</v>
      </c>
      <c r="O84" s="9">
        <v>0.86199999999999999</v>
      </c>
      <c r="P84" s="13">
        <f t="shared" si="51"/>
        <v>0.14830508474576273</v>
      </c>
      <c r="Q84" s="13">
        <f t="shared" si="52"/>
        <v>0.13921113689095127</v>
      </c>
      <c r="R84" s="9">
        <f t="shared" ref="R84:S84" si="98">O55</f>
        <v>0.3</v>
      </c>
      <c r="S84" s="9">
        <f t="shared" si="98"/>
        <v>0.6</v>
      </c>
      <c r="W84" s="23"/>
      <c r="Y84" s="3"/>
    </row>
    <row r="85" spans="1:27">
      <c r="B85" s="23"/>
      <c r="W85" s="23"/>
      <c r="Y85" s="3"/>
    </row>
    <row r="86" spans="1:27">
      <c r="B86" s="23"/>
      <c r="W86" s="23"/>
      <c r="Y86" s="3"/>
    </row>
    <row r="87" spans="1:27">
      <c r="A87" s="15" t="s">
        <v>534</v>
      </c>
    </row>
    <row r="88" spans="1:27">
      <c r="A88" s="43" t="s">
        <v>359</v>
      </c>
      <c r="B88" s="43" t="s">
        <v>336</v>
      </c>
      <c r="C88" s="43" t="s">
        <v>337</v>
      </c>
      <c r="D88" s="43"/>
      <c r="E88" s="43" t="s">
        <v>338</v>
      </c>
      <c r="F88" s="43"/>
      <c r="G88" s="43" t="s">
        <v>339</v>
      </c>
      <c r="H88" s="43"/>
      <c r="I88" s="9" t="s">
        <v>340</v>
      </c>
      <c r="J88" s="9" t="s">
        <v>289</v>
      </c>
      <c r="K88" s="9"/>
      <c r="L88" s="9" t="s">
        <v>438</v>
      </c>
      <c r="M88" s="11"/>
      <c r="N88" s="11"/>
      <c r="O88" s="9" t="s">
        <v>343</v>
      </c>
      <c r="P88" s="9" t="s">
        <v>344</v>
      </c>
      <c r="Q88" s="43" t="s">
        <v>521</v>
      </c>
      <c r="R88" s="43" t="s">
        <v>522</v>
      </c>
      <c r="S88" s="43" t="s">
        <v>346</v>
      </c>
      <c r="T88" s="43" t="s">
        <v>347</v>
      </c>
      <c r="U88" s="43" t="s">
        <v>359</v>
      </c>
    </row>
    <row r="89" spans="1:27" ht="15.6">
      <c r="A89" s="43"/>
      <c r="B89" s="43"/>
      <c r="C89" s="9" t="s">
        <v>349</v>
      </c>
      <c r="D89" s="9" t="s">
        <v>348</v>
      </c>
      <c r="E89" s="9" t="s">
        <v>351</v>
      </c>
      <c r="F89" s="9" t="s">
        <v>352</v>
      </c>
      <c r="G89" s="9" t="s">
        <v>353</v>
      </c>
      <c r="H89" s="9" t="s">
        <v>354</v>
      </c>
      <c r="I89" s="9" t="s">
        <v>309</v>
      </c>
      <c r="J89" s="9" t="s">
        <v>308</v>
      </c>
      <c r="K89" s="9"/>
      <c r="L89" s="9" t="s">
        <v>306</v>
      </c>
      <c r="M89" s="11" t="s">
        <v>368</v>
      </c>
      <c r="N89" s="11" t="s">
        <v>366</v>
      </c>
      <c r="O89" s="9" t="s">
        <v>355</v>
      </c>
      <c r="P89" s="9" t="s">
        <v>310</v>
      </c>
      <c r="Q89" s="43"/>
      <c r="R89" s="43"/>
      <c r="S89" s="43"/>
      <c r="T89" s="43"/>
      <c r="U89" s="43"/>
    </row>
    <row r="90" spans="1:27" ht="16.2">
      <c r="A90" s="9"/>
      <c r="B90" s="9" t="s">
        <v>356</v>
      </c>
      <c r="C90" s="9" t="s">
        <v>358</v>
      </c>
      <c r="D90" s="9" t="s">
        <v>358</v>
      </c>
      <c r="E90" s="9" t="s">
        <v>357</v>
      </c>
      <c r="F90" s="9" t="s">
        <v>357</v>
      </c>
      <c r="G90" s="9" t="s">
        <v>307</v>
      </c>
      <c r="H90" s="9" t="s">
        <v>307</v>
      </c>
      <c r="I90" s="9"/>
      <c r="J90" s="9"/>
      <c r="K90" s="9"/>
      <c r="L90" s="9" t="s">
        <v>307</v>
      </c>
      <c r="M90" s="9"/>
      <c r="N90" s="9"/>
      <c r="O90" s="9" t="s">
        <v>307</v>
      </c>
      <c r="P90" s="9" t="s">
        <v>307</v>
      </c>
      <c r="Q90" s="9" t="s">
        <v>307</v>
      </c>
      <c r="R90" s="9" t="s">
        <v>307</v>
      </c>
      <c r="S90" s="9" t="s">
        <v>307</v>
      </c>
      <c r="T90" s="9" t="s">
        <v>307</v>
      </c>
      <c r="U90" s="9"/>
      <c r="W90" t="s">
        <v>336</v>
      </c>
      <c r="X90" t="s">
        <v>773</v>
      </c>
      <c r="Y90" t="s">
        <v>774</v>
      </c>
      <c r="Z90" t="s">
        <v>776</v>
      </c>
      <c r="AA90" t="s">
        <v>775</v>
      </c>
    </row>
    <row r="91" spans="1:27">
      <c r="A91" s="9"/>
      <c r="B91" s="10">
        <f t="shared" ref="B91:B115" si="99">D2</f>
        <v>0</v>
      </c>
      <c r="C91" s="9">
        <f>ROUND(D91*1.3,2)</f>
        <v>0.27</v>
      </c>
      <c r="D91" s="9">
        <f>支渠!M9</f>
        <v>0.21</v>
      </c>
      <c r="E91" s="9">
        <f>ROUND(C91/N91,2)</f>
        <v>1.93</v>
      </c>
      <c r="F91" s="9">
        <f>ROUND(D91/M91,2)</f>
        <v>1.75</v>
      </c>
      <c r="G91" s="9">
        <v>0.3</v>
      </c>
      <c r="H91" s="9">
        <v>0.26</v>
      </c>
      <c r="I91" s="9">
        <v>1.4999999999999999E-2</v>
      </c>
      <c r="J91" s="9">
        <v>0.01</v>
      </c>
      <c r="K91" s="9" t="str">
        <f>"1/"&amp;ROUND(1/J91,0)</f>
        <v>1/100</v>
      </c>
      <c r="L91" s="9" t="s">
        <v>531</v>
      </c>
      <c r="M91" s="9">
        <v>0.12</v>
      </c>
      <c r="N91" s="9">
        <v>0.14000000000000001</v>
      </c>
      <c r="O91" s="9">
        <f t="shared" ref="O91" si="100">P91-G91</f>
        <v>0.3</v>
      </c>
      <c r="P91" s="9">
        <v>0.6</v>
      </c>
      <c r="Q91" s="9">
        <f>R91+0.3</f>
        <v>1722</v>
      </c>
      <c r="R91" s="9">
        <f t="shared" ref="R91:R110" si="101">E2</f>
        <v>1721.7</v>
      </c>
      <c r="S91" s="9">
        <f>R91-0.1</f>
        <v>1721.6000000000001</v>
      </c>
      <c r="T91" s="14">
        <f t="shared" ref="T91:T113" si="102">S91+H91</f>
        <v>1721.8600000000001</v>
      </c>
      <c r="U91" s="9"/>
      <c r="W91" s="23">
        <f>B91</f>
        <v>0</v>
      </c>
      <c r="X91">
        <f t="shared" ref="X91:X115" si="103">Z91+P91</f>
        <v>1722.2</v>
      </c>
      <c r="Y91" s="3">
        <f>T91</f>
        <v>1721.8600000000001</v>
      </c>
      <c r="Z91">
        <f>S91</f>
        <v>1721.6000000000001</v>
      </c>
      <c r="AA91">
        <f>Q91</f>
        <v>1722</v>
      </c>
    </row>
    <row r="92" spans="1:27">
      <c r="A92" s="12"/>
      <c r="B92" s="10">
        <f t="shared" si="99"/>
        <v>200</v>
      </c>
      <c r="C92" s="9">
        <f t="shared" ref="C92:C104" si="104">ROUND(D92*1.3,2)</f>
        <v>0.27</v>
      </c>
      <c r="D92" s="9">
        <f>D91</f>
        <v>0.21</v>
      </c>
      <c r="E92" s="9">
        <f>ROUND(C92/N92,2)</f>
        <v>1.93</v>
      </c>
      <c r="F92" s="9">
        <f>ROUND(D92/M92,2)</f>
        <v>1.75</v>
      </c>
      <c r="G92" s="9">
        <f>G91</f>
        <v>0.3</v>
      </c>
      <c r="H92" s="9">
        <f>H91</f>
        <v>0.26</v>
      </c>
      <c r="I92" s="9">
        <v>1.4999999999999999E-2</v>
      </c>
      <c r="J92" s="9">
        <v>0.01</v>
      </c>
      <c r="K92" s="9" t="str">
        <f>"1/"&amp;ROUND(1/J92,0)</f>
        <v>1/100</v>
      </c>
      <c r="L92" s="9" t="s">
        <v>531</v>
      </c>
      <c r="M92" s="9">
        <f>M91</f>
        <v>0.12</v>
      </c>
      <c r="N92" s="9">
        <f>N91</f>
        <v>0.14000000000000001</v>
      </c>
      <c r="O92" s="9">
        <f t="shared" ref="O92:O113" si="105">P92-G92</f>
        <v>0.3</v>
      </c>
      <c r="P92" s="9">
        <v>0.6</v>
      </c>
      <c r="Q92" s="9">
        <f>R92+0.3</f>
        <v>1719.19</v>
      </c>
      <c r="R92" s="9">
        <f t="shared" si="101"/>
        <v>1718.89</v>
      </c>
      <c r="S92" s="9">
        <f>R92-0.1</f>
        <v>1718.7900000000002</v>
      </c>
      <c r="T92" s="14">
        <f t="shared" si="102"/>
        <v>1719.0500000000002</v>
      </c>
      <c r="U92" s="9"/>
      <c r="W92" s="23">
        <f t="shared" ref="W92:W115" si="106">B92</f>
        <v>200</v>
      </c>
      <c r="X92">
        <f t="shared" si="103"/>
        <v>1719.39</v>
      </c>
      <c r="Y92" s="3">
        <f t="shared" ref="Y92:Y115" si="107">T92</f>
        <v>1719.0500000000002</v>
      </c>
      <c r="Z92">
        <f t="shared" ref="Z92:Z115" si="108">S92</f>
        <v>1718.7900000000002</v>
      </c>
      <c r="AA92">
        <f t="shared" ref="AA92:AA115" si="109">Q92</f>
        <v>1719.19</v>
      </c>
    </row>
    <row r="93" spans="1:27">
      <c r="A93" s="9"/>
      <c r="B93" s="10">
        <f t="shared" si="99"/>
        <v>400</v>
      </c>
      <c r="C93" s="9">
        <f t="shared" si="104"/>
        <v>0.27</v>
      </c>
      <c r="D93" s="9">
        <f t="shared" ref="D93:D115" si="110">D92</f>
        <v>0.21</v>
      </c>
      <c r="E93" s="9">
        <f t="shared" ref="E93:E113" si="111">ROUND(C93/N93,2)</f>
        <v>1.93</v>
      </c>
      <c r="F93" s="9">
        <f t="shared" ref="F93:F113" si="112">ROUND(D93/M93,2)</f>
        <v>1.75</v>
      </c>
      <c r="G93" s="9">
        <f>G92</f>
        <v>0.3</v>
      </c>
      <c r="H93" s="9">
        <f>H92</f>
        <v>0.26</v>
      </c>
      <c r="I93" s="9">
        <v>1.4999999999999999E-2</v>
      </c>
      <c r="J93" s="9">
        <f>J92</f>
        <v>0.01</v>
      </c>
      <c r="K93" s="9" t="str">
        <f t="shared" ref="K93:K113" si="113">"1/"&amp;ROUND(1/J93,0)</f>
        <v>1/100</v>
      </c>
      <c r="L93" s="9" t="str">
        <f>L92</f>
        <v>U60</v>
      </c>
      <c r="M93" s="9">
        <f>M92</f>
        <v>0.12</v>
      </c>
      <c r="N93" s="9">
        <f>N92</f>
        <v>0.14000000000000001</v>
      </c>
      <c r="O93" s="9">
        <f t="shared" si="105"/>
        <v>0.3</v>
      </c>
      <c r="P93" s="9">
        <f>P92</f>
        <v>0.6</v>
      </c>
      <c r="Q93" s="9">
        <f t="shared" ref="Q93:Q110" si="114">R93+0.3</f>
        <v>1714.4199999999998</v>
      </c>
      <c r="R93" s="9">
        <f t="shared" si="101"/>
        <v>1714.12</v>
      </c>
      <c r="S93" s="9">
        <f t="shared" ref="S93:S110" si="115">R93-0.1</f>
        <v>1714.02</v>
      </c>
      <c r="T93" s="14">
        <f t="shared" si="102"/>
        <v>1714.28</v>
      </c>
      <c r="U93" s="9"/>
      <c r="W93" s="23">
        <f t="shared" si="106"/>
        <v>400</v>
      </c>
      <c r="X93">
        <f t="shared" si="103"/>
        <v>1714.62</v>
      </c>
      <c r="Y93" s="3">
        <f t="shared" si="107"/>
        <v>1714.28</v>
      </c>
      <c r="Z93">
        <f t="shared" si="108"/>
        <v>1714.02</v>
      </c>
      <c r="AA93">
        <f t="shared" si="109"/>
        <v>1714.4199999999998</v>
      </c>
    </row>
    <row r="94" spans="1:27">
      <c r="A94" s="9"/>
      <c r="B94" s="10">
        <f t="shared" si="99"/>
        <v>600</v>
      </c>
      <c r="C94" s="9">
        <f t="shared" si="104"/>
        <v>0.27</v>
      </c>
      <c r="D94" s="9">
        <f t="shared" si="110"/>
        <v>0.21</v>
      </c>
      <c r="E94" s="9">
        <f t="shared" si="111"/>
        <v>1.93</v>
      </c>
      <c r="F94" s="9">
        <f t="shared" si="112"/>
        <v>1.75</v>
      </c>
      <c r="G94" s="9">
        <f t="shared" ref="G94:H94" si="116">G93</f>
        <v>0.3</v>
      </c>
      <c r="H94" s="9">
        <f t="shared" si="116"/>
        <v>0.26</v>
      </c>
      <c r="I94" s="9">
        <v>1.4999999999999999E-2</v>
      </c>
      <c r="J94" s="9">
        <f t="shared" ref="J94:J113" si="117">J93</f>
        <v>0.01</v>
      </c>
      <c r="K94" s="9" t="str">
        <f t="shared" si="113"/>
        <v>1/100</v>
      </c>
      <c r="L94" s="9" t="str">
        <f t="shared" ref="L94:N94" si="118">L93</f>
        <v>U60</v>
      </c>
      <c r="M94" s="9">
        <f t="shared" si="118"/>
        <v>0.12</v>
      </c>
      <c r="N94" s="9">
        <f t="shared" si="118"/>
        <v>0.14000000000000001</v>
      </c>
      <c r="O94" s="9">
        <f t="shared" si="105"/>
        <v>0.3</v>
      </c>
      <c r="P94" s="9">
        <f t="shared" ref="P94:P115" si="119">P93</f>
        <v>0.6</v>
      </c>
      <c r="Q94" s="9">
        <f t="shared" si="114"/>
        <v>1712.32</v>
      </c>
      <c r="R94" s="9">
        <f t="shared" si="101"/>
        <v>1712.02</v>
      </c>
      <c r="S94" s="9">
        <f t="shared" si="115"/>
        <v>1711.92</v>
      </c>
      <c r="T94" s="14">
        <f t="shared" si="102"/>
        <v>1712.18</v>
      </c>
      <c r="U94" s="9"/>
      <c r="W94" s="23">
        <f t="shared" si="106"/>
        <v>600</v>
      </c>
      <c r="X94">
        <f t="shared" si="103"/>
        <v>1712.52</v>
      </c>
      <c r="Y94" s="3">
        <f t="shared" si="107"/>
        <v>1712.18</v>
      </c>
      <c r="Z94">
        <f t="shared" si="108"/>
        <v>1711.92</v>
      </c>
      <c r="AA94">
        <f t="shared" si="109"/>
        <v>1712.32</v>
      </c>
    </row>
    <row r="95" spans="1:27">
      <c r="A95" s="9"/>
      <c r="B95" s="10">
        <f t="shared" si="99"/>
        <v>800</v>
      </c>
      <c r="C95" s="9">
        <f t="shared" si="104"/>
        <v>0.27</v>
      </c>
      <c r="D95" s="9">
        <f t="shared" si="110"/>
        <v>0.21</v>
      </c>
      <c r="E95" s="9">
        <f t="shared" si="111"/>
        <v>1.93</v>
      </c>
      <c r="F95" s="9">
        <f t="shared" si="112"/>
        <v>1.75</v>
      </c>
      <c r="G95" s="9">
        <f t="shared" ref="G95:H95" si="120">G94</f>
        <v>0.3</v>
      </c>
      <c r="H95" s="9">
        <f t="shared" si="120"/>
        <v>0.26</v>
      </c>
      <c r="I95" s="9">
        <v>1.4999999999999999E-2</v>
      </c>
      <c r="J95" s="9">
        <f t="shared" si="117"/>
        <v>0.01</v>
      </c>
      <c r="K95" s="9" t="str">
        <f t="shared" si="113"/>
        <v>1/100</v>
      </c>
      <c r="L95" s="9" t="str">
        <f t="shared" ref="L95:N95" si="121">L94</f>
        <v>U60</v>
      </c>
      <c r="M95" s="9">
        <f t="shared" si="121"/>
        <v>0.12</v>
      </c>
      <c r="N95" s="9">
        <f t="shared" si="121"/>
        <v>0.14000000000000001</v>
      </c>
      <c r="O95" s="9">
        <f t="shared" si="105"/>
        <v>0.3</v>
      </c>
      <c r="P95" s="9">
        <f t="shared" si="119"/>
        <v>0.6</v>
      </c>
      <c r="Q95" s="9">
        <f t="shared" si="114"/>
        <v>1709.45</v>
      </c>
      <c r="R95" s="9">
        <f t="shared" si="101"/>
        <v>1709.15</v>
      </c>
      <c r="S95" s="9">
        <f t="shared" si="115"/>
        <v>1709.0500000000002</v>
      </c>
      <c r="T95" s="14">
        <f t="shared" si="102"/>
        <v>1709.3100000000002</v>
      </c>
      <c r="U95" s="9"/>
      <c r="W95" s="23">
        <f t="shared" si="106"/>
        <v>800</v>
      </c>
      <c r="X95">
        <f t="shared" si="103"/>
        <v>1709.65</v>
      </c>
      <c r="Y95" s="3">
        <f t="shared" si="107"/>
        <v>1709.3100000000002</v>
      </c>
      <c r="Z95">
        <f t="shared" si="108"/>
        <v>1709.0500000000002</v>
      </c>
      <c r="AA95">
        <f t="shared" si="109"/>
        <v>1709.45</v>
      </c>
    </row>
    <row r="96" spans="1:27">
      <c r="A96" s="9"/>
      <c r="B96" s="10">
        <f t="shared" si="99"/>
        <v>1000</v>
      </c>
      <c r="C96" s="9">
        <f t="shared" si="104"/>
        <v>0.27</v>
      </c>
      <c r="D96" s="9">
        <f t="shared" si="110"/>
        <v>0.21</v>
      </c>
      <c r="E96" s="9">
        <f t="shared" si="111"/>
        <v>1.93</v>
      </c>
      <c r="F96" s="9">
        <f t="shared" si="112"/>
        <v>1.75</v>
      </c>
      <c r="G96" s="9">
        <f t="shared" ref="G96:H96" si="122">G95</f>
        <v>0.3</v>
      </c>
      <c r="H96" s="9">
        <f t="shared" si="122"/>
        <v>0.26</v>
      </c>
      <c r="I96" s="9">
        <v>1.4999999999999999E-2</v>
      </c>
      <c r="J96" s="9">
        <f t="shared" si="117"/>
        <v>0.01</v>
      </c>
      <c r="K96" s="9" t="str">
        <f t="shared" si="113"/>
        <v>1/100</v>
      </c>
      <c r="L96" s="9" t="str">
        <f t="shared" ref="L96:N96" si="123">L95</f>
        <v>U60</v>
      </c>
      <c r="M96" s="9">
        <f t="shared" si="123"/>
        <v>0.12</v>
      </c>
      <c r="N96" s="9">
        <f t="shared" si="123"/>
        <v>0.14000000000000001</v>
      </c>
      <c r="O96" s="9">
        <f t="shared" si="105"/>
        <v>0.3</v>
      </c>
      <c r="P96" s="9">
        <f t="shared" si="119"/>
        <v>0.6</v>
      </c>
      <c r="Q96" s="9">
        <f t="shared" si="114"/>
        <v>1707.6</v>
      </c>
      <c r="R96" s="9">
        <f t="shared" si="101"/>
        <v>1707.3</v>
      </c>
      <c r="S96" s="9">
        <f t="shared" si="115"/>
        <v>1707.2</v>
      </c>
      <c r="T96" s="14">
        <f t="shared" si="102"/>
        <v>1707.46</v>
      </c>
      <c r="U96" s="9"/>
      <c r="W96" s="23">
        <f t="shared" si="106"/>
        <v>1000</v>
      </c>
      <c r="X96">
        <f t="shared" si="103"/>
        <v>1707.8</v>
      </c>
      <c r="Y96" s="3">
        <f t="shared" si="107"/>
        <v>1707.46</v>
      </c>
      <c r="Z96">
        <f t="shared" si="108"/>
        <v>1707.2</v>
      </c>
      <c r="AA96">
        <f t="shared" si="109"/>
        <v>1707.6</v>
      </c>
    </row>
    <row r="97" spans="1:27">
      <c r="A97" s="9"/>
      <c r="B97" s="10">
        <f t="shared" si="99"/>
        <v>1200</v>
      </c>
      <c r="C97" s="9">
        <f t="shared" si="104"/>
        <v>0.27</v>
      </c>
      <c r="D97" s="9">
        <f t="shared" si="110"/>
        <v>0.21</v>
      </c>
      <c r="E97" s="9">
        <f t="shared" si="111"/>
        <v>1.93</v>
      </c>
      <c r="F97" s="9">
        <f t="shared" si="112"/>
        <v>1.75</v>
      </c>
      <c r="G97" s="9">
        <f t="shared" ref="G97:H97" si="124">G96</f>
        <v>0.3</v>
      </c>
      <c r="H97" s="9">
        <f t="shared" si="124"/>
        <v>0.26</v>
      </c>
      <c r="I97" s="9">
        <v>1.4999999999999999E-2</v>
      </c>
      <c r="J97" s="9">
        <f t="shared" si="117"/>
        <v>0.01</v>
      </c>
      <c r="K97" s="9" t="str">
        <f t="shared" si="113"/>
        <v>1/100</v>
      </c>
      <c r="L97" s="9" t="str">
        <f t="shared" ref="L97:N97" si="125">L96</f>
        <v>U60</v>
      </c>
      <c r="M97" s="9">
        <f t="shared" si="125"/>
        <v>0.12</v>
      </c>
      <c r="N97" s="9">
        <f t="shared" si="125"/>
        <v>0.14000000000000001</v>
      </c>
      <c r="O97" s="9">
        <f t="shared" si="105"/>
        <v>0.3</v>
      </c>
      <c r="P97" s="9">
        <f t="shared" si="119"/>
        <v>0.6</v>
      </c>
      <c r="Q97" s="9">
        <f t="shared" si="114"/>
        <v>1704.45</v>
      </c>
      <c r="R97" s="9">
        <f t="shared" si="101"/>
        <v>1704.15</v>
      </c>
      <c r="S97" s="9">
        <f t="shared" si="115"/>
        <v>1704.0500000000002</v>
      </c>
      <c r="T97" s="14">
        <f t="shared" si="102"/>
        <v>1704.3100000000002</v>
      </c>
      <c r="U97" s="9"/>
      <c r="W97" s="23">
        <f t="shared" si="106"/>
        <v>1200</v>
      </c>
      <c r="X97">
        <f t="shared" si="103"/>
        <v>1704.65</v>
      </c>
      <c r="Y97" s="3">
        <f t="shared" si="107"/>
        <v>1704.3100000000002</v>
      </c>
      <c r="Z97">
        <f t="shared" si="108"/>
        <v>1704.0500000000002</v>
      </c>
      <c r="AA97">
        <f t="shared" si="109"/>
        <v>1704.45</v>
      </c>
    </row>
    <row r="98" spans="1:27">
      <c r="A98" s="9"/>
      <c r="B98" s="10">
        <f t="shared" si="99"/>
        <v>1400</v>
      </c>
      <c r="C98" s="9">
        <f t="shared" si="104"/>
        <v>0.27</v>
      </c>
      <c r="D98" s="9">
        <f t="shared" si="110"/>
        <v>0.21</v>
      </c>
      <c r="E98" s="9">
        <f t="shared" si="111"/>
        <v>1.93</v>
      </c>
      <c r="F98" s="9">
        <f t="shared" si="112"/>
        <v>1.75</v>
      </c>
      <c r="G98" s="9">
        <f t="shared" ref="G98:H98" si="126">G97</f>
        <v>0.3</v>
      </c>
      <c r="H98" s="9">
        <f t="shared" si="126"/>
        <v>0.26</v>
      </c>
      <c r="I98" s="9">
        <v>1.4999999999999999E-2</v>
      </c>
      <c r="J98" s="9">
        <f t="shared" si="117"/>
        <v>0.01</v>
      </c>
      <c r="K98" s="9" t="str">
        <f t="shared" si="113"/>
        <v>1/100</v>
      </c>
      <c r="L98" s="9" t="str">
        <f t="shared" ref="L98:N98" si="127">L97</f>
        <v>U60</v>
      </c>
      <c r="M98" s="9">
        <f t="shared" si="127"/>
        <v>0.12</v>
      </c>
      <c r="N98" s="9">
        <f t="shared" si="127"/>
        <v>0.14000000000000001</v>
      </c>
      <c r="O98" s="9">
        <f t="shared" si="105"/>
        <v>0.3</v>
      </c>
      <c r="P98" s="9">
        <f t="shared" si="119"/>
        <v>0.6</v>
      </c>
      <c r="Q98" s="9">
        <f t="shared" si="114"/>
        <v>1703.5</v>
      </c>
      <c r="R98" s="9">
        <f t="shared" si="101"/>
        <v>1703.2</v>
      </c>
      <c r="S98" s="9">
        <f t="shared" si="115"/>
        <v>1703.1000000000001</v>
      </c>
      <c r="T98" s="14">
        <f t="shared" si="102"/>
        <v>1703.3600000000001</v>
      </c>
      <c r="U98" s="9"/>
      <c r="W98" s="23">
        <f t="shared" si="106"/>
        <v>1400</v>
      </c>
      <c r="X98">
        <f t="shared" si="103"/>
        <v>1703.7</v>
      </c>
      <c r="Y98" s="3">
        <f t="shared" si="107"/>
        <v>1703.3600000000001</v>
      </c>
      <c r="Z98">
        <f t="shared" si="108"/>
        <v>1703.1000000000001</v>
      </c>
      <c r="AA98">
        <f t="shared" si="109"/>
        <v>1703.5</v>
      </c>
    </row>
    <row r="99" spans="1:27">
      <c r="A99" s="9"/>
      <c r="B99" s="10">
        <f t="shared" si="99"/>
        <v>1600</v>
      </c>
      <c r="C99" s="9">
        <f t="shared" si="104"/>
        <v>0.27</v>
      </c>
      <c r="D99" s="9">
        <f t="shared" si="110"/>
        <v>0.21</v>
      </c>
      <c r="E99" s="9">
        <f t="shared" si="111"/>
        <v>1.93</v>
      </c>
      <c r="F99" s="9">
        <f t="shared" si="112"/>
        <v>1.75</v>
      </c>
      <c r="G99" s="9">
        <f t="shared" ref="G99:H99" si="128">G98</f>
        <v>0.3</v>
      </c>
      <c r="H99" s="9">
        <f t="shared" si="128"/>
        <v>0.26</v>
      </c>
      <c r="I99" s="9">
        <v>1.4999999999999999E-2</v>
      </c>
      <c r="J99" s="9">
        <f t="shared" si="117"/>
        <v>0.01</v>
      </c>
      <c r="K99" s="9" t="str">
        <f t="shared" si="113"/>
        <v>1/100</v>
      </c>
      <c r="L99" s="9" t="str">
        <f t="shared" ref="L99:N99" si="129">L98</f>
        <v>U60</v>
      </c>
      <c r="M99" s="9">
        <f t="shared" si="129"/>
        <v>0.12</v>
      </c>
      <c r="N99" s="9">
        <f t="shared" si="129"/>
        <v>0.14000000000000001</v>
      </c>
      <c r="O99" s="9">
        <f t="shared" si="105"/>
        <v>0.3</v>
      </c>
      <c r="P99" s="9">
        <f t="shared" si="119"/>
        <v>0.6</v>
      </c>
      <c r="Q99" s="9">
        <f t="shared" si="114"/>
        <v>1699.8999999999999</v>
      </c>
      <c r="R99" s="9">
        <f t="shared" si="101"/>
        <v>1699.6</v>
      </c>
      <c r="S99" s="9">
        <f t="shared" si="115"/>
        <v>1699.5</v>
      </c>
      <c r="T99" s="14">
        <f t="shared" si="102"/>
        <v>1699.76</v>
      </c>
      <c r="U99" s="9"/>
      <c r="W99" s="23">
        <f t="shared" si="106"/>
        <v>1600</v>
      </c>
      <c r="X99">
        <f t="shared" si="103"/>
        <v>1700.1</v>
      </c>
      <c r="Y99" s="3">
        <f t="shared" si="107"/>
        <v>1699.76</v>
      </c>
      <c r="Z99">
        <f t="shared" si="108"/>
        <v>1699.5</v>
      </c>
      <c r="AA99">
        <f t="shared" si="109"/>
        <v>1699.8999999999999</v>
      </c>
    </row>
    <row r="100" spans="1:27">
      <c r="A100" s="9"/>
      <c r="B100" s="10">
        <f t="shared" si="99"/>
        <v>1800</v>
      </c>
      <c r="C100" s="9">
        <f t="shared" si="104"/>
        <v>0.27</v>
      </c>
      <c r="D100" s="9">
        <f t="shared" si="110"/>
        <v>0.21</v>
      </c>
      <c r="E100" s="9">
        <f t="shared" si="111"/>
        <v>1.93</v>
      </c>
      <c r="F100" s="9">
        <f t="shared" si="112"/>
        <v>1.75</v>
      </c>
      <c r="G100" s="9">
        <f t="shared" ref="G100:H100" si="130">G99</f>
        <v>0.3</v>
      </c>
      <c r="H100" s="9">
        <f t="shared" si="130"/>
        <v>0.26</v>
      </c>
      <c r="I100" s="9">
        <v>1.4999999999999999E-2</v>
      </c>
      <c r="J100" s="9">
        <f t="shared" si="117"/>
        <v>0.01</v>
      </c>
      <c r="K100" s="9" t="str">
        <f t="shared" si="113"/>
        <v>1/100</v>
      </c>
      <c r="L100" s="9" t="str">
        <f t="shared" ref="L100:N100" si="131">L99</f>
        <v>U60</v>
      </c>
      <c r="M100" s="9">
        <f t="shared" si="131"/>
        <v>0.12</v>
      </c>
      <c r="N100" s="9">
        <f t="shared" si="131"/>
        <v>0.14000000000000001</v>
      </c>
      <c r="O100" s="9">
        <f t="shared" si="105"/>
        <v>0.3</v>
      </c>
      <c r="P100" s="9">
        <f t="shared" si="119"/>
        <v>0.6</v>
      </c>
      <c r="Q100" s="9">
        <f t="shared" si="114"/>
        <v>1698.7</v>
      </c>
      <c r="R100" s="9">
        <f t="shared" si="101"/>
        <v>1698.4</v>
      </c>
      <c r="S100" s="9">
        <f t="shared" si="115"/>
        <v>1698.3000000000002</v>
      </c>
      <c r="T100" s="14">
        <f t="shared" si="102"/>
        <v>1698.5600000000002</v>
      </c>
      <c r="U100" s="9"/>
      <c r="W100" s="23">
        <f t="shared" si="106"/>
        <v>1800</v>
      </c>
      <c r="X100">
        <f t="shared" si="103"/>
        <v>1698.9</v>
      </c>
      <c r="Y100" s="3">
        <f t="shared" si="107"/>
        <v>1698.5600000000002</v>
      </c>
      <c r="Z100">
        <f t="shared" si="108"/>
        <v>1698.3000000000002</v>
      </c>
      <c r="AA100">
        <f t="shared" si="109"/>
        <v>1698.7</v>
      </c>
    </row>
    <row r="101" spans="1:27">
      <c r="A101" s="12"/>
      <c r="B101" s="10">
        <f t="shared" si="99"/>
        <v>2000</v>
      </c>
      <c r="C101" s="9">
        <f t="shared" si="104"/>
        <v>0.27</v>
      </c>
      <c r="D101" s="9">
        <f t="shared" si="110"/>
        <v>0.21</v>
      </c>
      <c r="E101" s="9">
        <f t="shared" si="111"/>
        <v>1.93</v>
      </c>
      <c r="F101" s="9">
        <f t="shared" si="112"/>
        <v>1.75</v>
      </c>
      <c r="G101" s="9">
        <f t="shared" ref="G101:H101" si="132">G100</f>
        <v>0.3</v>
      </c>
      <c r="H101" s="9">
        <f t="shared" si="132"/>
        <v>0.26</v>
      </c>
      <c r="I101" s="9">
        <v>1.4999999999999999E-2</v>
      </c>
      <c r="J101" s="9">
        <f t="shared" si="117"/>
        <v>0.01</v>
      </c>
      <c r="K101" s="9" t="str">
        <f t="shared" si="113"/>
        <v>1/100</v>
      </c>
      <c r="L101" s="9" t="str">
        <f t="shared" ref="L101:N101" si="133">L100</f>
        <v>U60</v>
      </c>
      <c r="M101" s="9">
        <f t="shared" si="133"/>
        <v>0.12</v>
      </c>
      <c r="N101" s="9">
        <f t="shared" si="133"/>
        <v>0.14000000000000001</v>
      </c>
      <c r="O101" s="9">
        <f t="shared" si="105"/>
        <v>0.3</v>
      </c>
      <c r="P101" s="9">
        <f t="shared" si="119"/>
        <v>0.6</v>
      </c>
      <c r="Q101" s="9">
        <f t="shared" si="114"/>
        <v>1697.5</v>
      </c>
      <c r="R101" s="9">
        <f t="shared" si="101"/>
        <v>1697.2</v>
      </c>
      <c r="S101" s="9">
        <f t="shared" si="115"/>
        <v>1697.1000000000001</v>
      </c>
      <c r="T101" s="14">
        <f t="shared" si="102"/>
        <v>1697.3600000000001</v>
      </c>
      <c r="U101" s="9"/>
      <c r="W101" s="23">
        <f t="shared" si="106"/>
        <v>2000</v>
      </c>
      <c r="X101">
        <f t="shared" si="103"/>
        <v>1697.7</v>
      </c>
      <c r="Y101" s="3">
        <f t="shared" si="107"/>
        <v>1697.3600000000001</v>
      </c>
      <c r="Z101">
        <f t="shared" si="108"/>
        <v>1697.1000000000001</v>
      </c>
      <c r="AA101">
        <f t="shared" si="109"/>
        <v>1697.5</v>
      </c>
    </row>
    <row r="102" spans="1:27">
      <c r="A102" s="9"/>
      <c r="B102" s="10">
        <f t="shared" si="99"/>
        <v>2200</v>
      </c>
      <c r="C102" s="9">
        <f t="shared" si="104"/>
        <v>0.27</v>
      </c>
      <c r="D102" s="9">
        <f t="shared" si="110"/>
        <v>0.21</v>
      </c>
      <c r="E102" s="9">
        <f t="shared" si="111"/>
        <v>1.93</v>
      </c>
      <c r="F102" s="9">
        <f t="shared" si="112"/>
        <v>1.75</v>
      </c>
      <c r="G102" s="9">
        <f t="shared" ref="G102:H102" si="134">G101</f>
        <v>0.3</v>
      </c>
      <c r="H102" s="9">
        <f t="shared" si="134"/>
        <v>0.26</v>
      </c>
      <c r="I102" s="9">
        <v>1.4999999999999999E-2</v>
      </c>
      <c r="J102" s="9">
        <f t="shared" si="117"/>
        <v>0.01</v>
      </c>
      <c r="K102" s="9" t="str">
        <f t="shared" si="113"/>
        <v>1/100</v>
      </c>
      <c r="L102" s="9" t="str">
        <f t="shared" ref="L102:N102" si="135">L101</f>
        <v>U60</v>
      </c>
      <c r="M102" s="9">
        <f t="shared" si="135"/>
        <v>0.12</v>
      </c>
      <c r="N102" s="9">
        <f t="shared" si="135"/>
        <v>0.14000000000000001</v>
      </c>
      <c r="O102" s="9">
        <f t="shared" si="105"/>
        <v>0.3</v>
      </c>
      <c r="P102" s="9">
        <f t="shared" si="119"/>
        <v>0.6</v>
      </c>
      <c r="Q102" s="9">
        <f t="shared" si="114"/>
        <v>1695.58</v>
      </c>
      <c r="R102" s="9">
        <f t="shared" si="101"/>
        <v>1695.28</v>
      </c>
      <c r="S102" s="9">
        <f t="shared" si="115"/>
        <v>1695.18</v>
      </c>
      <c r="T102" s="14">
        <f t="shared" si="102"/>
        <v>1695.44</v>
      </c>
      <c r="U102" s="9"/>
      <c r="W102" s="23">
        <f t="shared" si="106"/>
        <v>2200</v>
      </c>
      <c r="X102">
        <f t="shared" si="103"/>
        <v>1695.78</v>
      </c>
      <c r="Y102" s="3">
        <f t="shared" si="107"/>
        <v>1695.44</v>
      </c>
      <c r="Z102">
        <f t="shared" si="108"/>
        <v>1695.18</v>
      </c>
      <c r="AA102">
        <f t="shared" si="109"/>
        <v>1695.58</v>
      </c>
    </row>
    <row r="103" spans="1:27">
      <c r="A103" s="9"/>
      <c r="B103" s="10">
        <f t="shared" si="99"/>
        <v>2400</v>
      </c>
      <c r="C103" s="9">
        <f t="shared" si="104"/>
        <v>0.27</v>
      </c>
      <c r="D103" s="9">
        <f t="shared" si="110"/>
        <v>0.21</v>
      </c>
      <c r="E103" s="9">
        <f t="shared" si="111"/>
        <v>1.93</v>
      </c>
      <c r="F103" s="9">
        <f t="shared" si="112"/>
        <v>1.75</v>
      </c>
      <c r="G103" s="9">
        <f t="shared" ref="G103:H103" si="136">G102</f>
        <v>0.3</v>
      </c>
      <c r="H103" s="9">
        <f t="shared" si="136"/>
        <v>0.26</v>
      </c>
      <c r="I103" s="9">
        <v>1.4999999999999999E-2</v>
      </c>
      <c r="J103" s="9">
        <f t="shared" si="117"/>
        <v>0.01</v>
      </c>
      <c r="K103" s="9" t="str">
        <f t="shared" si="113"/>
        <v>1/100</v>
      </c>
      <c r="L103" s="9" t="str">
        <f t="shared" ref="L103:N103" si="137">L102</f>
        <v>U60</v>
      </c>
      <c r="M103" s="9">
        <f t="shared" si="137"/>
        <v>0.12</v>
      </c>
      <c r="N103" s="9">
        <f t="shared" si="137"/>
        <v>0.14000000000000001</v>
      </c>
      <c r="O103" s="9">
        <f t="shared" si="105"/>
        <v>0.3</v>
      </c>
      <c r="P103" s="9">
        <f t="shared" si="119"/>
        <v>0.6</v>
      </c>
      <c r="Q103" s="9">
        <f t="shared" si="114"/>
        <v>1693.69</v>
      </c>
      <c r="R103" s="9">
        <f t="shared" si="101"/>
        <v>1693.39</v>
      </c>
      <c r="S103" s="9">
        <f t="shared" si="115"/>
        <v>1693.2900000000002</v>
      </c>
      <c r="T103" s="14">
        <f t="shared" si="102"/>
        <v>1693.5500000000002</v>
      </c>
      <c r="U103" s="9"/>
      <c r="W103" s="23">
        <f t="shared" si="106"/>
        <v>2400</v>
      </c>
      <c r="X103">
        <f t="shared" si="103"/>
        <v>1693.89</v>
      </c>
      <c r="Y103" s="3">
        <f t="shared" si="107"/>
        <v>1693.5500000000002</v>
      </c>
      <c r="Z103">
        <f t="shared" si="108"/>
        <v>1693.2900000000002</v>
      </c>
      <c r="AA103">
        <f t="shared" si="109"/>
        <v>1693.69</v>
      </c>
    </row>
    <row r="104" spans="1:27">
      <c r="A104" s="9"/>
      <c r="B104" s="10">
        <f t="shared" si="99"/>
        <v>2600</v>
      </c>
      <c r="C104" s="9">
        <f t="shared" si="104"/>
        <v>0.27</v>
      </c>
      <c r="D104" s="9">
        <f t="shared" si="110"/>
        <v>0.21</v>
      </c>
      <c r="E104" s="9">
        <f t="shared" si="111"/>
        <v>1.93</v>
      </c>
      <c r="F104" s="9">
        <f t="shared" si="112"/>
        <v>1.75</v>
      </c>
      <c r="G104" s="9">
        <f t="shared" ref="G104:H104" si="138">G103</f>
        <v>0.3</v>
      </c>
      <c r="H104" s="9">
        <f t="shared" si="138"/>
        <v>0.26</v>
      </c>
      <c r="I104" s="9">
        <v>1.4999999999999999E-2</v>
      </c>
      <c r="J104" s="9">
        <f t="shared" si="117"/>
        <v>0.01</v>
      </c>
      <c r="K104" s="9" t="str">
        <f t="shared" si="113"/>
        <v>1/100</v>
      </c>
      <c r="L104" s="9" t="str">
        <f t="shared" ref="L104:N104" si="139">L103</f>
        <v>U60</v>
      </c>
      <c r="M104" s="9">
        <f t="shared" si="139"/>
        <v>0.12</v>
      </c>
      <c r="N104" s="9">
        <f t="shared" si="139"/>
        <v>0.14000000000000001</v>
      </c>
      <c r="O104" s="9">
        <f t="shared" si="105"/>
        <v>0.3</v>
      </c>
      <c r="P104" s="9">
        <f t="shared" si="119"/>
        <v>0.6</v>
      </c>
      <c r="Q104" s="9">
        <f t="shared" si="114"/>
        <v>1691.53</v>
      </c>
      <c r="R104" s="9">
        <f t="shared" si="101"/>
        <v>1691.23</v>
      </c>
      <c r="S104" s="9">
        <f t="shared" si="115"/>
        <v>1691.13</v>
      </c>
      <c r="T104" s="14">
        <f t="shared" si="102"/>
        <v>1691.39</v>
      </c>
      <c r="U104" s="9"/>
      <c r="W104" s="23">
        <f t="shared" si="106"/>
        <v>2600</v>
      </c>
      <c r="X104">
        <f t="shared" si="103"/>
        <v>1691.73</v>
      </c>
      <c r="Y104" s="3">
        <f t="shared" si="107"/>
        <v>1691.39</v>
      </c>
      <c r="Z104">
        <f t="shared" si="108"/>
        <v>1691.13</v>
      </c>
      <c r="AA104">
        <f t="shared" si="109"/>
        <v>1691.53</v>
      </c>
    </row>
    <row r="105" spans="1:27">
      <c r="A105" s="9"/>
      <c r="B105" s="10">
        <f t="shared" si="99"/>
        <v>2800</v>
      </c>
      <c r="C105" s="9">
        <f t="shared" ref="C105:C113" si="140">ROUND(D105*1.3,2)</f>
        <v>0.27</v>
      </c>
      <c r="D105" s="9">
        <f t="shared" si="110"/>
        <v>0.21</v>
      </c>
      <c r="E105" s="9">
        <f t="shared" si="111"/>
        <v>1.93</v>
      </c>
      <c r="F105" s="9">
        <f t="shared" si="112"/>
        <v>1.75</v>
      </c>
      <c r="G105" s="9">
        <f t="shared" ref="G105:H105" si="141">G104</f>
        <v>0.3</v>
      </c>
      <c r="H105" s="9">
        <f t="shared" si="141"/>
        <v>0.26</v>
      </c>
      <c r="I105" s="9">
        <v>1.4999999999999999E-2</v>
      </c>
      <c r="J105" s="9">
        <f t="shared" si="117"/>
        <v>0.01</v>
      </c>
      <c r="K105" s="9" t="str">
        <f t="shared" si="113"/>
        <v>1/100</v>
      </c>
      <c r="L105" s="9" t="str">
        <f t="shared" ref="L105:N105" si="142">L104</f>
        <v>U60</v>
      </c>
      <c r="M105" s="9">
        <f t="shared" si="142"/>
        <v>0.12</v>
      </c>
      <c r="N105" s="9">
        <f t="shared" si="142"/>
        <v>0.14000000000000001</v>
      </c>
      <c r="O105" s="9">
        <f t="shared" si="105"/>
        <v>0.3</v>
      </c>
      <c r="P105" s="9">
        <f t="shared" si="119"/>
        <v>0.6</v>
      </c>
      <c r="Q105" s="9">
        <f t="shared" si="114"/>
        <v>1689.58</v>
      </c>
      <c r="R105" s="9">
        <f t="shared" si="101"/>
        <v>1689.28</v>
      </c>
      <c r="S105" s="9">
        <f t="shared" si="115"/>
        <v>1689.18</v>
      </c>
      <c r="T105" s="14">
        <f t="shared" si="102"/>
        <v>1689.44</v>
      </c>
      <c r="U105" s="9"/>
      <c r="W105" s="23">
        <f t="shared" si="106"/>
        <v>2800</v>
      </c>
      <c r="X105">
        <f t="shared" si="103"/>
        <v>1689.78</v>
      </c>
      <c r="Y105" s="3">
        <f t="shared" si="107"/>
        <v>1689.44</v>
      </c>
      <c r="Z105">
        <f t="shared" si="108"/>
        <v>1689.18</v>
      </c>
      <c r="AA105">
        <f t="shared" si="109"/>
        <v>1689.58</v>
      </c>
    </row>
    <row r="106" spans="1:27">
      <c r="A106" s="9"/>
      <c r="B106" s="10">
        <f t="shared" si="99"/>
        <v>3000</v>
      </c>
      <c r="C106" s="9">
        <f t="shared" si="140"/>
        <v>0.27</v>
      </c>
      <c r="D106" s="9">
        <f t="shared" si="110"/>
        <v>0.21</v>
      </c>
      <c r="E106" s="9">
        <f t="shared" si="111"/>
        <v>1.93</v>
      </c>
      <c r="F106" s="9">
        <f t="shared" si="112"/>
        <v>1.75</v>
      </c>
      <c r="G106" s="9">
        <f t="shared" ref="G106:H106" si="143">G105</f>
        <v>0.3</v>
      </c>
      <c r="H106" s="9">
        <f t="shared" si="143"/>
        <v>0.26</v>
      </c>
      <c r="I106" s="9">
        <v>1.4999999999999999E-2</v>
      </c>
      <c r="J106" s="9">
        <f t="shared" si="117"/>
        <v>0.01</v>
      </c>
      <c r="K106" s="9" t="str">
        <f t="shared" si="113"/>
        <v>1/100</v>
      </c>
      <c r="L106" s="9" t="str">
        <f t="shared" ref="L106:N106" si="144">L105</f>
        <v>U60</v>
      </c>
      <c r="M106" s="9">
        <f t="shared" si="144"/>
        <v>0.12</v>
      </c>
      <c r="N106" s="9">
        <f t="shared" si="144"/>
        <v>0.14000000000000001</v>
      </c>
      <c r="O106" s="9">
        <f t="shared" si="105"/>
        <v>0.3</v>
      </c>
      <c r="P106" s="9">
        <f t="shared" si="119"/>
        <v>0.6</v>
      </c>
      <c r="Q106" s="9">
        <f t="shared" si="114"/>
        <v>1687.59</v>
      </c>
      <c r="R106" s="9">
        <f t="shared" si="101"/>
        <v>1687.29</v>
      </c>
      <c r="S106" s="9">
        <f t="shared" si="115"/>
        <v>1687.19</v>
      </c>
      <c r="T106" s="14">
        <f t="shared" si="102"/>
        <v>1687.45</v>
      </c>
      <c r="U106" s="9"/>
      <c r="W106" s="23">
        <f t="shared" si="106"/>
        <v>3000</v>
      </c>
      <c r="X106">
        <f t="shared" si="103"/>
        <v>1687.79</v>
      </c>
      <c r="Y106" s="3">
        <f t="shared" si="107"/>
        <v>1687.45</v>
      </c>
      <c r="Z106">
        <f t="shared" si="108"/>
        <v>1687.19</v>
      </c>
      <c r="AA106">
        <f t="shared" si="109"/>
        <v>1687.59</v>
      </c>
    </row>
    <row r="107" spans="1:27">
      <c r="A107" s="9"/>
      <c r="B107" s="10">
        <f t="shared" si="99"/>
        <v>3200</v>
      </c>
      <c r="C107" s="9">
        <f t="shared" si="140"/>
        <v>0.27</v>
      </c>
      <c r="D107" s="9">
        <f t="shared" si="110"/>
        <v>0.21</v>
      </c>
      <c r="E107" s="9">
        <f t="shared" si="111"/>
        <v>1.93</v>
      </c>
      <c r="F107" s="9">
        <f t="shared" si="112"/>
        <v>1.75</v>
      </c>
      <c r="G107" s="9">
        <f t="shared" ref="G107:H107" si="145">G106</f>
        <v>0.3</v>
      </c>
      <c r="H107" s="9">
        <f t="shared" si="145"/>
        <v>0.26</v>
      </c>
      <c r="I107" s="9">
        <v>1.4999999999999999E-2</v>
      </c>
      <c r="J107" s="9">
        <f t="shared" si="117"/>
        <v>0.01</v>
      </c>
      <c r="K107" s="9" t="str">
        <f t="shared" si="113"/>
        <v>1/100</v>
      </c>
      <c r="L107" s="9" t="str">
        <f t="shared" ref="L107:N107" si="146">L106</f>
        <v>U60</v>
      </c>
      <c r="M107" s="9">
        <f t="shared" si="146"/>
        <v>0.12</v>
      </c>
      <c r="N107" s="9">
        <f t="shared" si="146"/>
        <v>0.14000000000000001</v>
      </c>
      <c r="O107" s="9">
        <f t="shared" si="105"/>
        <v>0.3</v>
      </c>
      <c r="P107" s="9">
        <f t="shared" si="119"/>
        <v>0.6</v>
      </c>
      <c r="Q107" s="9">
        <f t="shared" si="114"/>
        <v>1685.75</v>
      </c>
      <c r="R107" s="9">
        <f t="shared" si="101"/>
        <v>1685.45</v>
      </c>
      <c r="S107" s="9">
        <f t="shared" si="115"/>
        <v>1685.3500000000001</v>
      </c>
      <c r="T107" s="14">
        <f t="shared" si="102"/>
        <v>1685.6100000000001</v>
      </c>
      <c r="U107" s="9"/>
      <c r="W107" s="23">
        <f t="shared" si="106"/>
        <v>3200</v>
      </c>
      <c r="X107">
        <f t="shared" si="103"/>
        <v>1685.95</v>
      </c>
      <c r="Y107" s="3">
        <f t="shared" si="107"/>
        <v>1685.6100000000001</v>
      </c>
      <c r="Z107">
        <f t="shared" si="108"/>
        <v>1685.3500000000001</v>
      </c>
      <c r="AA107">
        <f t="shared" si="109"/>
        <v>1685.75</v>
      </c>
    </row>
    <row r="108" spans="1:27">
      <c r="A108" s="9"/>
      <c r="B108" s="10">
        <f t="shared" si="99"/>
        <v>3400</v>
      </c>
      <c r="C108" s="9">
        <f t="shared" si="140"/>
        <v>0.27</v>
      </c>
      <c r="D108" s="9">
        <f t="shared" si="110"/>
        <v>0.21</v>
      </c>
      <c r="E108" s="9">
        <f t="shared" si="111"/>
        <v>1.93</v>
      </c>
      <c r="F108" s="9">
        <f t="shared" si="112"/>
        <v>1.75</v>
      </c>
      <c r="G108" s="9">
        <f t="shared" ref="G108:H108" si="147">G107</f>
        <v>0.3</v>
      </c>
      <c r="H108" s="9">
        <f t="shared" si="147"/>
        <v>0.26</v>
      </c>
      <c r="I108" s="9">
        <v>1.4999999999999999E-2</v>
      </c>
      <c r="J108" s="9">
        <f t="shared" si="117"/>
        <v>0.01</v>
      </c>
      <c r="K108" s="9" t="str">
        <f t="shared" si="113"/>
        <v>1/100</v>
      </c>
      <c r="L108" s="9" t="str">
        <f t="shared" ref="L108:N108" si="148">L107</f>
        <v>U60</v>
      </c>
      <c r="M108" s="9">
        <f t="shared" si="148"/>
        <v>0.12</v>
      </c>
      <c r="N108" s="9">
        <f t="shared" si="148"/>
        <v>0.14000000000000001</v>
      </c>
      <c r="O108" s="9">
        <f t="shared" si="105"/>
        <v>0.3</v>
      </c>
      <c r="P108" s="9">
        <f t="shared" si="119"/>
        <v>0.6</v>
      </c>
      <c r="Q108" s="9">
        <f t="shared" si="114"/>
        <v>1683.83</v>
      </c>
      <c r="R108" s="9">
        <f t="shared" si="101"/>
        <v>1683.53</v>
      </c>
      <c r="S108" s="9">
        <f t="shared" si="115"/>
        <v>1683.43</v>
      </c>
      <c r="T108" s="14">
        <f t="shared" si="102"/>
        <v>1683.69</v>
      </c>
      <c r="U108" s="9"/>
      <c r="W108" s="23">
        <f t="shared" si="106"/>
        <v>3400</v>
      </c>
      <c r="X108">
        <f t="shared" si="103"/>
        <v>1684.03</v>
      </c>
      <c r="Y108" s="3">
        <f t="shared" si="107"/>
        <v>1683.69</v>
      </c>
      <c r="Z108">
        <f t="shared" si="108"/>
        <v>1683.43</v>
      </c>
      <c r="AA108">
        <f t="shared" si="109"/>
        <v>1683.83</v>
      </c>
    </row>
    <row r="109" spans="1:27">
      <c r="A109" s="9"/>
      <c r="B109" s="10">
        <f t="shared" si="99"/>
        <v>3600</v>
      </c>
      <c r="C109" s="9">
        <f t="shared" si="140"/>
        <v>0.27</v>
      </c>
      <c r="D109" s="9">
        <f t="shared" si="110"/>
        <v>0.21</v>
      </c>
      <c r="E109" s="9">
        <f t="shared" si="111"/>
        <v>1.93</v>
      </c>
      <c r="F109" s="9">
        <f t="shared" si="112"/>
        <v>1.75</v>
      </c>
      <c r="G109" s="9">
        <f t="shared" ref="G109:H109" si="149">G108</f>
        <v>0.3</v>
      </c>
      <c r="H109" s="9">
        <f t="shared" si="149"/>
        <v>0.26</v>
      </c>
      <c r="I109" s="9">
        <v>1.4999999999999999E-2</v>
      </c>
      <c r="J109" s="9">
        <f t="shared" si="117"/>
        <v>0.01</v>
      </c>
      <c r="K109" s="9" t="str">
        <f t="shared" si="113"/>
        <v>1/100</v>
      </c>
      <c r="L109" s="9" t="str">
        <f t="shared" ref="L109:N109" si="150">L108</f>
        <v>U60</v>
      </c>
      <c r="M109" s="9">
        <f t="shared" si="150"/>
        <v>0.12</v>
      </c>
      <c r="N109" s="9">
        <f t="shared" si="150"/>
        <v>0.14000000000000001</v>
      </c>
      <c r="O109" s="9">
        <f t="shared" si="105"/>
        <v>0.3</v>
      </c>
      <c r="P109" s="9">
        <f t="shared" si="119"/>
        <v>0.6</v>
      </c>
      <c r="Q109" s="9">
        <f t="shared" si="114"/>
        <v>1682.2</v>
      </c>
      <c r="R109" s="9">
        <f t="shared" si="101"/>
        <v>1681.9</v>
      </c>
      <c r="S109" s="9">
        <f t="shared" si="115"/>
        <v>1681.8000000000002</v>
      </c>
      <c r="T109" s="14">
        <f t="shared" si="102"/>
        <v>1682.0600000000002</v>
      </c>
      <c r="U109" s="9"/>
      <c r="W109" s="23">
        <f t="shared" si="106"/>
        <v>3600</v>
      </c>
      <c r="X109">
        <f t="shared" si="103"/>
        <v>1682.4</v>
      </c>
      <c r="Y109" s="3">
        <f t="shared" si="107"/>
        <v>1682.0600000000002</v>
      </c>
      <c r="Z109">
        <f t="shared" si="108"/>
        <v>1681.8000000000002</v>
      </c>
      <c r="AA109">
        <f t="shared" si="109"/>
        <v>1682.2</v>
      </c>
    </row>
    <row r="110" spans="1:27">
      <c r="A110" s="9"/>
      <c r="B110" s="10">
        <f t="shared" si="99"/>
        <v>3800</v>
      </c>
      <c r="C110" s="9">
        <f t="shared" si="140"/>
        <v>0.27</v>
      </c>
      <c r="D110" s="9">
        <f t="shared" si="110"/>
        <v>0.21</v>
      </c>
      <c r="E110" s="9">
        <f t="shared" si="111"/>
        <v>1.93</v>
      </c>
      <c r="F110" s="9">
        <f t="shared" si="112"/>
        <v>1.75</v>
      </c>
      <c r="G110" s="9">
        <f t="shared" ref="G110:H110" si="151">G109</f>
        <v>0.3</v>
      </c>
      <c r="H110" s="9">
        <f t="shared" si="151"/>
        <v>0.26</v>
      </c>
      <c r="I110" s="9">
        <v>1.4999999999999999E-2</v>
      </c>
      <c r="J110" s="9">
        <f t="shared" si="117"/>
        <v>0.01</v>
      </c>
      <c r="K110" s="9" t="str">
        <f t="shared" si="113"/>
        <v>1/100</v>
      </c>
      <c r="L110" s="9" t="str">
        <f t="shared" ref="L110:N110" si="152">L109</f>
        <v>U60</v>
      </c>
      <c r="M110" s="9">
        <f t="shared" si="152"/>
        <v>0.12</v>
      </c>
      <c r="N110" s="9">
        <f t="shared" si="152"/>
        <v>0.14000000000000001</v>
      </c>
      <c r="O110" s="9">
        <f t="shared" si="105"/>
        <v>0.3</v>
      </c>
      <c r="P110" s="9">
        <f t="shared" si="119"/>
        <v>0.6</v>
      </c>
      <c r="Q110" s="9">
        <f t="shared" si="114"/>
        <v>1680.35</v>
      </c>
      <c r="R110" s="9">
        <f t="shared" si="101"/>
        <v>1680.05</v>
      </c>
      <c r="S110" s="9">
        <f t="shared" si="115"/>
        <v>1679.95</v>
      </c>
      <c r="T110" s="14">
        <f t="shared" si="102"/>
        <v>1680.21</v>
      </c>
      <c r="U110" s="9"/>
      <c r="W110" s="23">
        <f t="shared" si="106"/>
        <v>3800</v>
      </c>
      <c r="X110">
        <f t="shared" si="103"/>
        <v>1680.55</v>
      </c>
      <c r="Y110" s="3">
        <f t="shared" si="107"/>
        <v>1680.21</v>
      </c>
      <c r="Z110">
        <f t="shared" si="108"/>
        <v>1679.95</v>
      </c>
      <c r="AA110">
        <f t="shared" si="109"/>
        <v>1680.35</v>
      </c>
    </row>
    <row r="111" spans="1:27">
      <c r="A111" s="9"/>
      <c r="B111" s="10">
        <f t="shared" si="99"/>
        <v>4000</v>
      </c>
      <c r="C111" s="9">
        <f t="shared" si="140"/>
        <v>0.27</v>
      </c>
      <c r="D111" s="9">
        <f t="shared" si="110"/>
        <v>0.21</v>
      </c>
      <c r="E111" s="9">
        <f t="shared" si="111"/>
        <v>1.93</v>
      </c>
      <c r="F111" s="9">
        <f t="shared" si="112"/>
        <v>1.75</v>
      </c>
      <c r="G111" s="9">
        <f t="shared" ref="G111:H111" si="153">G110</f>
        <v>0.3</v>
      </c>
      <c r="H111" s="9">
        <f t="shared" si="153"/>
        <v>0.26</v>
      </c>
      <c r="I111" s="9">
        <v>1.4999999999999999E-2</v>
      </c>
      <c r="J111" s="9">
        <f t="shared" si="117"/>
        <v>0.01</v>
      </c>
      <c r="K111" s="9" t="str">
        <f t="shared" si="113"/>
        <v>1/100</v>
      </c>
      <c r="L111" s="9" t="str">
        <f t="shared" ref="L111:N111" si="154">L110</f>
        <v>U60</v>
      </c>
      <c r="M111" s="9">
        <f t="shared" si="154"/>
        <v>0.12</v>
      </c>
      <c r="N111" s="9">
        <f t="shared" si="154"/>
        <v>0.14000000000000001</v>
      </c>
      <c r="O111" s="9">
        <f t="shared" si="105"/>
        <v>0.3</v>
      </c>
      <c r="P111" s="9">
        <f t="shared" si="119"/>
        <v>0.6</v>
      </c>
      <c r="Q111" s="9">
        <f>E22</f>
        <v>1678.2</v>
      </c>
      <c r="R111" s="19"/>
      <c r="S111" s="9">
        <f>Q111-0.3</f>
        <v>1677.9</v>
      </c>
      <c r="T111" s="14">
        <f t="shared" si="102"/>
        <v>1678.16</v>
      </c>
      <c r="U111" s="9"/>
      <c r="W111" s="23">
        <f t="shared" si="106"/>
        <v>4000</v>
      </c>
      <c r="X111">
        <f t="shared" si="103"/>
        <v>1678.5</v>
      </c>
      <c r="Y111" s="3">
        <f t="shared" si="107"/>
        <v>1678.16</v>
      </c>
      <c r="Z111">
        <f t="shared" si="108"/>
        <v>1677.9</v>
      </c>
      <c r="AA111">
        <f t="shared" si="109"/>
        <v>1678.2</v>
      </c>
    </row>
    <row r="112" spans="1:27">
      <c r="A112" s="9"/>
      <c r="B112" s="10">
        <f t="shared" si="99"/>
        <v>4200</v>
      </c>
      <c r="C112" s="9">
        <f t="shared" si="140"/>
        <v>0.27</v>
      </c>
      <c r="D112" s="9">
        <f t="shared" si="110"/>
        <v>0.21</v>
      </c>
      <c r="E112" s="9">
        <f t="shared" si="111"/>
        <v>1.93</v>
      </c>
      <c r="F112" s="9">
        <f t="shared" si="112"/>
        <v>1.75</v>
      </c>
      <c r="G112" s="9">
        <f t="shared" ref="G112:H112" si="155">G111</f>
        <v>0.3</v>
      </c>
      <c r="H112" s="9">
        <f t="shared" si="155"/>
        <v>0.26</v>
      </c>
      <c r="I112" s="9">
        <v>1.4999999999999999E-2</v>
      </c>
      <c r="J112" s="9">
        <f t="shared" si="117"/>
        <v>0.01</v>
      </c>
      <c r="K112" s="9" t="str">
        <f t="shared" si="113"/>
        <v>1/100</v>
      </c>
      <c r="L112" s="9" t="str">
        <f t="shared" ref="L112:N112" si="156">L111</f>
        <v>U60</v>
      </c>
      <c r="M112" s="9">
        <f t="shared" si="156"/>
        <v>0.12</v>
      </c>
      <c r="N112" s="9">
        <f t="shared" si="156"/>
        <v>0.14000000000000001</v>
      </c>
      <c r="O112" s="9">
        <f t="shared" si="105"/>
        <v>0.3</v>
      </c>
      <c r="P112" s="9">
        <f t="shared" si="119"/>
        <v>0.6</v>
      </c>
      <c r="Q112" s="9">
        <f>E23</f>
        <v>1676.3</v>
      </c>
      <c r="R112" s="19"/>
      <c r="S112" s="9">
        <f t="shared" ref="S112:S115" si="157">Q112-0.3</f>
        <v>1676</v>
      </c>
      <c r="T112" s="14">
        <f t="shared" si="102"/>
        <v>1676.26</v>
      </c>
      <c r="U112" s="9"/>
      <c r="W112" s="23">
        <f t="shared" si="106"/>
        <v>4200</v>
      </c>
      <c r="X112">
        <f t="shared" si="103"/>
        <v>1676.6</v>
      </c>
      <c r="Y112" s="3">
        <f t="shared" si="107"/>
        <v>1676.26</v>
      </c>
      <c r="Z112">
        <f t="shared" si="108"/>
        <v>1676</v>
      </c>
      <c r="AA112">
        <f t="shared" si="109"/>
        <v>1676.3</v>
      </c>
    </row>
    <row r="113" spans="1:27">
      <c r="A113" s="9"/>
      <c r="B113" s="10">
        <f t="shared" si="99"/>
        <v>4400</v>
      </c>
      <c r="C113" s="9">
        <f t="shared" si="140"/>
        <v>0.27</v>
      </c>
      <c r="D113" s="9">
        <f t="shared" si="110"/>
        <v>0.21</v>
      </c>
      <c r="E113" s="9">
        <f t="shared" si="111"/>
        <v>1.93</v>
      </c>
      <c r="F113" s="9">
        <f t="shared" si="112"/>
        <v>1.75</v>
      </c>
      <c r="G113" s="9">
        <f t="shared" ref="G113:H113" si="158">G112</f>
        <v>0.3</v>
      </c>
      <c r="H113" s="9">
        <f t="shared" si="158"/>
        <v>0.26</v>
      </c>
      <c r="I113" s="9">
        <v>1.4999999999999999E-2</v>
      </c>
      <c r="J113" s="9">
        <f t="shared" si="117"/>
        <v>0.01</v>
      </c>
      <c r="K113" s="9" t="str">
        <f t="shared" si="113"/>
        <v>1/100</v>
      </c>
      <c r="L113" s="9" t="str">
        <f t="shared" ref="L113:N113" si="159">L112</f>
        <v>U60</v>
      </c>
      <c r="M113" s="9">
        <f t="shared" si="159"/>
        <v>0.12</v>
      </c>
      <c r="N113" s="9">
        <f t="shared" si="159"/>
        <v>0.14000000000000001</v>
      </c>
      <c r="O113" s="9">
        <f t="shared" si="105"/>
        <v>0.3</v>
      </c>
      <c r="P113" s="9">
        <f t="shared" si="119"/>
        <v>0.6</v>
      </c>
      <c r="Q113" s="9">
        <f>E24</f>
        <v>1674.6</v>
      </c>
      <c r="R113" s="19"/>
      <c r="S113" s="9">
        <f t="shared" si="157"/>
        <v>1674.3</v>
      </c>
      <c r="T113" s="14">
        <f t="shared" si="102"/>
        <v>1674.56</v>
      </c>
      <c r="U113" s="9"/>
      <c r="W113" s="23">
        <f t="shared" si="106"/>
        <v>4400</v>
      </c>
      <c r="X113">
        <f t="shared" si="103"/>
        <v>1674.8999999999999</v>
      </c>
      <c r="Y113" s="3">
        <f t="shared" si="107"/>
        <v>1674.56</v>
      </c>
      <c r="Z113">
        <f t="shared" si="108"/>
        <v>1674.3</v>
      </c>
      <c r="AA113">
        <f t="shared" si="109"/>
        <v>1674.6</v>
      </c>
    </row>
    <row r="114" spans="1:27">
      <c r="A114" s="12"/>
      <c r="B114" s="10">
        <f t="shared" si="99"/>
        <v>4600</v>
      </c>
      <c r="C114" s="9">
        <f t="shared" ref="C114:C115" si="160">ROUND(D114*1.3,2)</f>
        <v>0.27</v>
      </c>
      <c r="D114" s="9">
        <f t="shared" si="110"/>
        <v>0.21</v>
      </c>
      <c r="E114" s="9">
        <f t="shared" ref="E114:E115" si="161">ROUND(C114/N114,2)</f>
        <v>1.93</v>
      </c>
      <c r="F114" s="9">
        <f t="shared" ref="F114:F115" si="162">ROUND(D114/M114,2)</f>
        <v>1.75</v>
      </c>
      <c r="G114" s="9">
        <f t="shared" ref="G114:H114" si="163">G113</f>
        <v>0.3</v>
      </c>
      <c r="H114" s="9">
        <f t="shared" si="163"/>
        <v>0.26</v>
      </c>
      <c r="I114" s="9">
        <v>1.4999999999999999E-2</v>
      </c>
      <c r="J114" s="9">
        <f t="shared" ref="J114:J115" si="164">J113</f>
        <v>0.01</v>
      </c>
      <c r="K114" s="9" t="str">
        <f t="shared" ref="K114:K115" si="165">"1/"&amp;ROUND(1/J114,0)</f>
        <v>1/100</v>
      </c>
      <c r="L114" s="9" t="str">
        <f t="shared" ref="L114:N114" si="166">L113</f>
        <v>U60</v>
      </c>
      <c r="M114" s="9">
        <f t="shared" si="166"/>
        <v>0.12</v>
      </c>
      <c r="N114" s="9">
        <f t="shared" si="166"/>
        <v>0.14000000000000001</v>
      </c>
      <c r="O114" s="9">
        <f t="shared" ref="O114:O115" si="167">P114-G114</f>
        <v>0.3</v>
      </c>
      <c r="P114" s="9">
        <f t="shared" si="119"/>
        <v>0.6</v>
      </c>
      <c r="Q114" s="9">
        <f>E25</f>
        <v>1673.17</v>
      </c>
      <c r="R114" s="19"/>
      <c r="S114" s="9">
        <f t="shared" si="157"/>
        <v>1672.8700000000001</v>
      </c>
      <c r="T114" s="14">
        <f t="shared" ref="T114:T115" si="168">S114+H114</f>
        <v>1673.13</v>
      </c>
      <c r="U114" s="9"/>
      <c r="W114" s="23">
        <f t="shared" si="106"/>
        <v>4600</v>
      </c>
      <c r="X114">
        <f t="shared" si="103"/>
        <v>1673.47</v>
      </c>
      <c r="Y114" s="3">
        <f t="shared" si="107"/>
        <v>1673.13</v>
      </c>
      <c r="Z114">
        <f t="shared" si="108"/>
        <v>1672.8700000000001</v>
      </c>
      <c r="AA114">
        <f t="shared" si="109"/>
        <v>1673.17</v>
      </c>
    </row>
    <row r="115" spans="1:27">
      <c r="A115" s="12"/>
      <c r="B115" s="10">
        <f t="shared" si="99"/>
        <v>4800</v>
      </c>
      <c r="C115" s="9">
        <f t="shared" si="160"/>
        <v>0.27</v>
      </c>
      <c r="D115" s="9">
        <f t="shared" si="110"/>
        <v>0.21</v>
      </c>
      <c r="E115" s="9">
        <f t="shared" si="161"/>
        <v>1.93</v>
      </c>
      <c r="F115" s="9">
        <f t="shared" si="162"/>
        <v>1.75</v>
      </c>
      <c r="G115" s="9">
        <f t="shared" ref="G115:H115" si="169">G114</f>
        <v>0.3</v>
      </c>
      <c r="H115" s="9">
        <f t="shared" si="169"/>
        <v>0.26</v>
      </c>
      <c r="I115" s="9">
        <v>1.4999999999999999E-2</v>
      </c>
      <c r="J115" s="9">
        <f t="shared" si="164"/>
        <v>0.01</v>
      </c>
      <c r="K115" s="9" t="str">
        <f t="shared" si="165"/>
        <v>1/100</v>
      </c>
      <c r="L115" s="9" t="str">
        <f t="shared" ref="L115:N115" si="170">L114</f>
        <v>U60</v>
      </c>
      <c r="M115" s="9">
        <f t="shared" si="170"/>
        <v>0.12</v>
      </c>
      <c r="N115" s="9">
        <f t="shared" si="170"/>
        <v>0.14000000000000001</v>
      </c>
      <c r="O115" s="9">
        <f t="shared" si="167"/>
        <v>0.3</v>
      </c>
      <c r="P115" s="9">
        <f t="shared" si="119"/>
        <v>0.6</v>
      </c>
      <c r="Q115" s="9">
        <f>E26</f>
        <v>1671.48</v>
      </c>
      <c r="R115" s="19"/>
      <c r="S115" s="9">
        <f t="shared" si="157"/>
        <v>1671.18</v>
      </c>
      <c r="T115" s="14">
        <f t="shared" si="168"/>
        <v>1671.44</v>
      </c>
      <c r="U115" s="9"/>
      <c r="W115" s="23">
        <f t="shared" si="106"/>
        <v>4800</v>
      </c>
      <c r="X115">
        <f t="shared" si="103"/>
        <v>1671.78</v>
      </c>
      <c r="Y115" s="3">
        <f t="shared" si="107"/>
        <v>1671.44</v>
      </c>
      <c r="Z115">
        <f t="shared" si="108"/>
        <v>1671.18</v>
      </c>
      <c r="AA115">
        <f t="shared" si="109"/>
        <v>1671.48</v>
      </c>
    </row>
    <row r="118" spans="1:27">
      <c r="B118" s="43" t="s">
        <v>336</v>
      </c>
      <c r="C118" s="43" t="s">
        <v>337</v>
      </c>
      <c r="D118" s="43"/>
      <c r="E118" s="43" t="s">
        <v>338</v>
      </c>
      <c r="F118" s="43"/>
      <c r="G118" s="43" t="s">
        <v>339</v>
      </c>
      <c r="H118" s="43"/>
      <c r="I118" s="9" t="s">
        <v>340</v>
      </c>
      <c r="J118" s="9" t="s">
        <v>289</v>
      </c>
      <c r="K118" s="9" t="s">
        <v>863</v>
      </c>
      <c r="L118" s="43" t="s">
        <v>786</v>
      </c>
      <c r="M118" s="43"/>
      <c r="N118" s="43" t="s">
        <v>793</v>
      </c>
      <c r="O118" s="43"/>
      <c r="P118" s="43" t="s">
        <v>794</v>
      </c>
      <c r="Q118" s="43"/>
      <c r="R118" s="9" t="s">
        <v>789</v>
      </c>
      <c r="S118" s="9" t="s">
        <v>790</v>
      </c>
    </row>
    <row r="119" spans="1:27" ht="15.6">
      <c r="B119" s="43"/>
      <c r="C119" s="9" t="s">
        <v>349</v>
      </c>
      <c r="D119" s="9" t="s">
        <v>348</v>
      </c>
      <c r="E119" s="9" t="s">
        <v>351</v>
      </c>
      <c r="F119" s="9" t="s">
        <v>352</v>
      </c>
      <c r="G119" s="9" t="s">
        <v>353</v>
      </c>
      <c r="H119" s="9" t="s">
        <v>354</v>
      </c>
      <c r="I119" s="9" t="s">
        <v>309</v>
      </c>
      <c r="J119" s="9" t="s">
        <v>308</v>
      </c>
      <c r="K119" s="9" t="s">
        <v>864</v>
      </c>
      <c r="L119" s="9" t="s">
        <v>787</v>
      </c>
      <c r="M119" s="9" t="s">
        <v>788</v>
      </c>
      <c r="N119" s="9" t="s">
        <v>798</v>
      </c>
      <c r="O119" s="9" t="s">
        <v>799</v>
      </c>
      <c r="P119" s="9" t="s">
        <v>800</v>
      </c>
      <c r="Q119" s="9" t="s">
        <v>801</v>
      </c>
      <c r="R119" s="9" t="s">
        <v>792</v>
      </c>
      <c r="S119" s="9" t="s">
        <v>791</v>
      </c>
    </row>
    <row r="120" spans="1:27" ht="16.2">
      <c r="B120" s="9" t="s">
        <v>356</v>
      </c>
      <c r="C120" s="9" t="s">
        <v>358</v>
      </c>
      <c r="D120" s="9" t="s">
        <v>358</v>
      </c>
      <c r="E120" s="9" t="s">
        <v>357</v>
      </c>
      <c r="F120" s="9" t="s">
        <v>357</v>
      </c>
      <c r="G120" s="9" t="s">
        <v>307</v>
      </c>
      <c r="H120" s="9" t="s">
        <v>307</v>
      </c>
      <c r="I120" s="9"/>
      <c r="J120" s="9"/>
      <c r="K120" s="9" t="s">
        <v>795</v>
      </c>
      <c r="L120" s="9" t="s">
        <v>796</v>
      </c>
      <c r="M120" s="9" t="s">
        <v>796</v>
      </c>
      <c r="N120" s="9" t="s">
        <v>797</v>
      </c>
      <c r="O120" s="9"/>
      <c r="P120" s="9" t="s">
        <v>797</v>
      </c>
      <c r="Q120" s="9"/>
      <c r="R120" s="9" t="s">
        <v>797</v>
      </c>
      <c r="S120" s="9" t="s">
        <v>797</v>
      </c>
    </row>
    <row r="121" spans="1:27">
      <c r="B121" s="10">
        <f t="shared" ref="B121:C142" si="171">B91</f>
        <v>0</v>
      </c>
      <c r="C121" s="9">
        <f t="shared" si="171"/>
        <v>0.27</v>
      </c>
      <c r="D121" s="9">
        <f t="shared" ref="D121:I121" si="172">D91</f>
        <v>0.21</v>
      </c>
      <c r="E121" s="9">
        <f t="shared" si="172"/>
        <v>1.93</v>
      </c>
      <c r="F121" s="9">
        <f t="shared" si="172"/>
        <v>1.75</v>
      </c>
      <c r="G121" s="9">
        <f t="shared" si="172"/>
        <v>0.3</v>
      </c>
      <c r="H121" s="9">
        <f t="shared" si="172"/>
        <v>0.26</v>
      </c>
      <c r="I121" s="9">
        <f t="shared" si="172"/>
        <v>1.4999999999999999E-2</v>
      </c>
      <c r="J121" s="9" t="str">
        <f>K91</f>
        <v>1/100</v>
      </c>
      <c r="K121" s="9" t="str">
        <f>L91</f>
        <v>U60</v>
      </c>
      <c r="L121" s="9">
        <f t="shared" ref="L121:L145" si="173">N91</f>
        <v>0.14000000000000001</v>
      </c>
      <c r="M121" s="9">
        <f t="shared" ref="M121:M145" si="174">M91</f>
        <v>0.12</v>
      </c>
      <c r="N121" s="9">
        <v>0.90300000000000002</v>
      </c>
      <c r="O121" s="9">
        <v>0.82199999999999995</v>
      </c>
      <c r="P121" s="13">
        <f t="shared" ref="P121:Q121" si="175">L121/N121</f>
        <v>0.15503875968992248</v>
      </c>
      <c r="Q121" s="13">
        <f t="shared" si="175"/>
        <v>0.14598540145985403</v>
      </c>
      <c r="R121" s="9">
        <f>O91</f>
        <v>0.3</v>
      </c>
      <c r="S121" s="9">
        <f>P91</f>
        <v>0.6</v>
      </c>
    </row>
    <row r="122" spans="1:27">
      <c r="B122" s="10">
        <f t="shared" si="171"/>
        <v>200</v>
      </c>
      <c r="C122" s="9">
        <f t="shared" si="171"/>
        <v>0.27</v>
      </c>
      <c r="D122" s="9">
        <f t="shared" ref="D122:I131" si="176">D92</f>
        <v>0.21</v>
      </c>
      <c r="E122" s="9">
        <f t="shared" si="176"/>
        <v>1.93</v>
      </c>
      <c r="F122" s="9">
        <f t="shared" si="176"/>
        <v>1.75</v>
      </c>
      <c r="G122" s="9">
        <f t="shared" si="176"/>
        <v>0.3</v>
      </c>
      <c r="H122" s="9">
        <f t="shared" si="176"/>
        <v>0.26</v>
      </c>
      <c r="I122" s="9">
        <f t="shared" si="176"/>
        <v>1.4999999999999999E-2</v>
      </c>
      <c r="J122" s="9" t="str">
        <f t="shared" ref="J122:K122" si="177">K92</f>
        <v>1/100</v>
      </c>
      <c r="K122" s="9" t="str">
        <f t="shared" si="177"/>
        <v>U60</v>
      </c>
      <c r="L122" s="9">
        <f t="shared" si="173"/>
        <v>0.14000000000000001</v>
      </c>
      <c r="M122" s="9">
        <f t="shared" si="174"/>
        <v>0.12</v>
      </c>
      <c r="N122" s="9">
        <v>0.90300000000000002</v>
      </c>
      <c r="O122" s="9">
        <v>0.82199999999999995</v>
      </c>
      <c r="P122" s="13">
        <f t="shared" ref="P122:P145" si="178">L122/N122</f>
        <v>0.15503875968992248</v>
      </c>
      <c r="Q122" s="13">
        <f t="shared" ref="Q122:Q145" si="179">M122/O122</f>
        <v>0.14598540145985403</v>
      </c>
      <c r="R122" s="9">
        <f t="shared" ref="R122:S122" si="180">O92</f>
        <v>0.3</v>
      </c>
      <c r="S122" s="9">
        <f t="shared" si="180"/>
        <v>0.6</v>
      </c>
    </row>
    <row r="123" spans="1:27">
      <c r="B123" s="10">
        <f t="shared" si="171"/>
        <v>400</v>
      </c>
      <c r="C123" s="9">
        <f t="shared" si="171"/>
        <v>0.27</v>
      </c>
      <c r="D123" s="9">
        <f t="shared" si="176"/>
        <v>0.21</v>
      </c>
      <c r="E123" s="9">
        <f t="shared" si="176"/>
        <v>1.93</v>
      </c>
      <c r="F123" s="9">
        <f t="shared" si="176"/>
        <v>1.75</v>
      </c>
      <c r="G123" s="9">
        <f t="shared" si="176"/>
        <v>0.3</v>
      </c>
      <c r="H123" s="9">
        <f t="shared" si="176"/>
        <v>0.26</v>
      </c>
      <c r="I123" s="9">
        <f t="shared" si="176"/>
        <v>1.4999999999999999E-2</v>
      </c>
      <c r="J123" s="9" t="str">
        <f t="shared" ref="J123:K123" si="181">K93</f>
        <v>1/100</v>
      </c>
      <c r="K123" s="9" t="str">
        <f t="shared" si="181"/>
        <v>U60</v>
      </c>
      <c r="L123" s="9">
        <f t="shared" si="173"/>
        <v>0.14000000000000001</v>
      </c>
      <c r="M123" s="9">
        <f t="shared" si="174"/>
        <v>0.12</v>
      </c>
      <c r="N123" s="9">
        <v>0.90300000000000002</v>
      </c>
      <c r="O123" s="9">
        <v>0.82199999999999995</v>
      </c>
      <c r="P123" s="13">
        <f t="shared" si="178"/>
        <v>0.15503875968992248</v>
      </c>
      <c r="Q123" s="13">
        <f t="shared" si="179"/>
        <v>0.14598540145985403</v>
      </c>
      <c r="R123" s="9">
        <f t="shared" ref="R123:S123" si="182">O93</f>
        <v>0.3</v>
      </c>
      <c r="S123" s="9">
        <f t="shared" si="182"/>
        <v>0.6</v>
      </c>
    </row>
    <row r="124" spans="1:27">
      <c r="B124" s="10">
        <f t="shared" si="171"/>
        <v>600</v>
      </c>
      <c r="C124" s="9">
        <f t="shared" si="171"/>
        <v>0.27</v>
      </c>
      <c r="D124" s="9">
        <f t="shared" si="176"/>
        <v>0.21</v>
      </c>
      <c r="E124" s="9">
        <f t="shared" si="176"/>
        <v>1.93</v>
      </c>
      <c r="F124" s="9">
        <f t="shared" si="176"/>
        <v>1.75</v>
      </c>
      <c r="G124" s="9">
        <f t="shared" si="176"/>
        <v>0.3</v>
      </c>
      <c r="H124" s="9">
        <f t="shared" si="176"/>
        <v>0.26</v>
      </c>
      <c r="I124" s="9">
        <f t="shared" si="176"/>
        <v>1.4999999999999999E-2</v>
      </c>
      <c r="J124" s="9" t="str">
        <f t="shared" ref="J124:K124" si="183">K94</f>
        <v>1/100</v>
      </c>
      <c r="K124" s="9" t="str">
        <f t="shared" si="183"/>
        <v>U60</v>
      </c>
      <c r="L124" s="9">
        <f t="shared" si="173"/>
        <v>0.14000000000000001</v>
      </c>
      <c r="M124" s="9">
        <f t="shared" si="174"/>
        <v>0.12</v>
      </c>
      <c r="N124" s="9">
        <v>0.90300000000000002</v>
      </c>
      <c r="O124" s="9">
        <v>0.82199999999999995</v>
      </c>
      <c r="P124" s="13">
        <f t="shared" si="178"/>
        <v>0.15503875968992248</v>
      </c>
      <c r="Q124" s="13">
        <f t="shared" si="179"/>
        <v>0.14598540145985403</v>
      </c>
      <c r="R124" s="9">
        <f t="shared" ref="R124:S124" si="184">O94</f>
        <v>0.3</v>
      </c>
      <c r="S124" s="9">
        <f t="shared" si="184"/>
        <v>0.6</v>
      </c>
    </row>
    <row r="125" spans="1:27">
      <c r="B125" s="10">
        <f t="shared" si="171"/>
        <v>800</v>
      </c>
      <c r="C125" s="9">
        <f t="shared" si="171"/>
        <v>0.27</v>
      </c>
      <c r="D125" s="9">
        <f t="shared" si="176"/>
        <v>0.21</v>
      </c>
      <c r="E125" s="9">
        <f t="shared" si="176"/>
        <v>1.93</v>
      </c>
      <c r="F125" s="9">
        <f t="shared" si="176"/>
        <v>1.75</v>
      </c>
      <c r="G125" s="9">
        <f t="shared" si="176"/>
        <v>0.3</v>
      </c>
      <c r="H125" s="9">
        <f t="shared" si="176"/>
        <v>0.26</v>
      </c>
      <c r="I125" s="9">
        <f t="shared" si="176"/>
        <v>1.4999999999999999E-2</v>
      </c>
      <c r="J125" s="9" t="str">
        <f t="shared" ref="J125:K125" si="185">K95</f>
        <v>1/100</v>
      </c>
      <c r="K125" s="9" t="str">
        <f t="shared" si="185"/>
        <v>U60</v>
      </c>
      <c r="L125" s="9">
        <f t="shared" si="173"/>
        <v>0.14000000000000001</v>
      </c>
      <c r="M125" s="9">
        <f t="shared" si="174"/>
        <v>0.12</v>
      </c>
      <c r="N125" s="9">
        <v>0.90300000000000002</v>
      </c>
      <c r="O125" s="9">
        <v>0.82199999999999995</v>
      </c>
      <c r="P125" s="13">
        <f t="shared" si="178"/>
        <v>0.15503875968992248</v>
      </c>
      <c r="Q125" s="13">
        <f t="shared" si="179"/>
        <v>0.14598540145985403</v>
      </c>
      <c r="R125" s="9">
        <f t="shared" ref="R125:S125" si="186">O95</f>
        <v>0.3</v>
      </c>
      <c r="S125" s="9">
        <f t="shared" si="186"/>
        <v>0.6</v>
      </c>
    </row>
    <row r="126" spans="1:27">
      <c r="B126" s="10">
        <f t="shared" si="171"/>
        <v>1000</v>
      </c>
      <c r="C126" s="9">
        <f t="shared" si="171"/>
        <v>0.27</v>
      </c>
      <c r="D126" s="9">
        <f t="shared" si="176"/>
        <v>0.21</v>
      </c>
      <c r="E126" s="9">
        <f t="shared" si="176"/>
        <v>1.93</v>
      </c>
      <c r="F126" s="9">
        <f t="shared" si="176"/>
        <v>1.75</v>
      </c>
      <c r="G126" s="9">
        <f t="shared" si="176"/>
        <v>0.3</v>
      </c>
      <c r="H126" s="9">
        <f t="shared" si="176"/>
        <v>0.26</v>
      </c>
      <c r="I126" s="9">
        <f t="shared" si="176"/>
        <v>1.4999999999999999E-2</v>
      </c>
      <c r="J126" s="9" t="str">
        <f t="shared" ref="J126:K126" si="187">K96</f>
        <v>1/100</v>
      </c>
      <c r="K126" s="9" t="str">
        <f t="shared" si="187"/>
        <v>U60</v>
      </c>
      <c r="L126" s="9">
        <f t="shared" si="173"/>
        <v>0.14000000000000001</v>
      </c>
      <c r="M126" s="9">
        <f t="shared" si="174"/>
        <v>0.12</v>
      </c>
      <c r="N126" s="9">
        <v>0.90300000000000002</v>
      </c>
      <c r="O126" s="9">
        <v>0.82199999999999995</v>
      </c>
      <c r="P126" s="13">
        <f t="shared" si="178"/>
        <v>0.15503875968992248</v>
      </c>
      <c r="Q126" s="13">
        <f t="shared" si="179"/>
        <v>0.14598540145985403</v>
      </c>
      <c r="R126" s="9">
        <f t="shared" ref="R126:S126" si="188">O96</f>
        <v>0.3</v>
      </c>
      <c r="S126" s="9">
        <f t="shared" si="188"/>
        <v>0.6</v>
      </c>
    </row>
    <row r="127" spans="1:27">
      <c r="B127" s="10">
        <f t="shared" si="171"/>
        <v>1200</v>
      </c>
      <c r="C127" s="9">
        <f t="shared" si="171"/>
        <v>0.27</v>
      </c>
      <c r="D127" s="9">
        <f t="shared" si="176"/>
        <v>0.21</v>
      </c>
      <c r="E127" s="9">
        <f t="shared" si="176"/>
        <v>1.93</v>
      </c>
      <c r="F127" s="9">
        <f t="shared" si="176"/>
        <v>1.75</v>
      </c>
      <c r="G127" s="9">
        <f t="shared" si="176"/>
        <v>0.3</v>
      </c>
      <c r="H127" s="9">
        <f t="shared" si="176"/>
        <v>0.26</v>
      </c>
      <c r="I127" s="9">
        <f t="shared" si="176"/>
        <v>1.4999999999999999E-2</v>
      </c>
      <c r="J127" s="9" t="str">
        <f t="shared" ref="J127:K127" si="189">K97</f>
        <v>1/100</v>
      </c>
      <c r="K127" s="9" t="str">
        <f t="shared" si="189"/>
        <v>U60</v>
      </c>
      <c r="L127" s="9">
        <f t="shared" si="173"/>
        <v>0.14000000000000001</v>
      </c>
      <c r="M127" s="9">
        <f t="shared" si="174"/>
        <v>0.12</v>
      </c>
      <c r="N127" s="9">
        <v>0.90300000000000002</v>
      </c>
      <c r="O127" s="9">
        <v>0.82199999999999995</v>
      </c>
      <c r="P127" s="13">
        <f t="shared" si="178"/>
        <v>0.15503875968992248</v>
      </c>
      <c r="Q127" s="13">
        <f t="shared" si="179"/>
        <v>0.14598540145985403</v>
      </c>
      <c r="R127" s="9">
        <f t="shared" ref="R127:S127" si="190">O97</f>
        <v>0.3</v>
      </c>
      <c r="S127" s="9">
        <f t="shared" si="190"/>
        <v>0.6</v>
      </c>
    </row>
    <row r="128" spans="1:27">
      <c r="B128" s="10">
        <f t="shared" si="171"/>
        <v>1400</v>
      </c>
      <c r="C128" s="9">
        <f t="shared" si="171"/>
        <v>0.27</v>
      </c>
      <c r="D128" s="9">
        <f t="shared" si="176"/>
        <v>0.21</v>
      </c>
      <c r="E128" s="9">
        <f t="shared" si="176"/>
        <v>1.93</v>
      </c>
      <c r="F128" s="9">
        <f t="shared" si="176"/>
        <v>1.75</v>
      </c>
      <c r="G128" s="9">
        <f t="shared" si="176"/>
        <v>0.3</v>
      </c>
      <c r="H128" s="9">
        <f t="shared" si="176"/>
        <v>0.26</v>
      </c>
      <c r="I128" s="9">
        <f t="shared" si="176"/>
        <v>1.4999999999999999E-2</v>
      </c>
      <c r="J128" s="9" t="str">
        <f t="shared" ref="J128:K128" si="191">K98</f>
        <v>1/100</v>
      </c>
      <c r="K128" s="9" t="str">
        <f t="shared" si="191"/>
        <v>U60</v>
      </c>
      <c r="L128" s="9">
        <f t="shared" si="173"/>
        <v>0.14000000000000001</v>
      </c>
      <c r="M128" s="9">
        <f t="shared" si="174"/>
        <v>0.12</v>
      </c>
      <c r="N128" s="9">
        <v>0.90300000000000002</v>
      </c>
      <c r="O128" s="9">
        <v>0.82199999999999995</v>
      </c>
      <c r="P128" s="13">
        <f t="shared" si="178"/>
        <v>0.15503875968992248</v>
      </c>
      <c r="Q128" s="13">
        <f t="shared" si="179"/>
        <v>0.14598540145985403</v>
      </c>
      <c r="R128" s="9">
        <f t="shared" ref="R128:S128" si="192">O98</f>
        <v>0.3</v>
      </c>
      <c r="S128" s="9">
        <f t="shared" si="192"/>
        <v>0.6</v>
      </c>
    </row>
    <row r="129" spans="2:19">
      <c r="B129" s="10">
        <f t="shared" si="171"/>
        <v>1600</v>
      </c>
      <c r="C129" s="9">
        <f t="shared" si="171"/>
        <v>0.27</v>
      </c>
      <c r="D129" s="9">
        <f t="shared" si="176"/>
        <v>0.21</v>
      </c>
      <c r="E129" s="9">
        <f t="shared" si="176"/>
        <v>1.93</v>
      </c>
      <c r="F129" s="9">
        <f t="shared" si="176"/>
        <v>1.75</v>
      </c>
      <c r="G129" s="9">
        <f t="shared" si="176"/>
        <v>0.3</v>
      </c>
      <c r="H129" s="9">
        <f t="shared" si="176"/>
        <v>0.26</v>
      </c>
      <c r="I129" s="9">
        <f t="shared" si="176"/>
        <v>1.4999999999999999E-2</v>
      </c>
      <c r="J129" s="9" t="str">
        <f t="shared" ref="J129:K129" si="193">K99</f>
        <v>1/100</v>
      </c>
      <c r="K129" s="9" t="str">
        <f t="shared" si="193"/>
        <v>U60</v>
      </c>
      <c r="L129" s="9">
        <f t="shared" si="173"/>
        <v>0.14000000000000001</v>
      </c>
      <c r="M129" s="9">
        <f t="shared" si="174"/>
        <v>0.12</v>
      </c>
      <c r="N129" s="9">
        <v>0.90300000000000002</v>
      </c>
      <c r="O129" s="9">
        <v>0.82199999999999995</v>
      </c>
      <c r="P129" s="13">
        <f t="shared" si="178"/>
        <v>0.15503875968992248</v>
      </c>
      <c r="Q129" s="13">
        <f t="shared" si="179"/>
        <v>0.14598540145985403</v>
      </c>
      <c r="R129" s="9">
        <f t="shared" ref="R129:S129" si="194">O99</f>
        <v>0.3</v>
      </c>
      <c r="S129" s="9">
        <f t="shared" si="194"/>
        <v>0.6</v>
      </c>
    </row>
    <row r="130" spans="2:19">
      <c r="B130" s="10">
        <f t="shared" si="171"/>
        <v>1800</v>
      </c>
      <c r="C130" s="9">
        <f t="shared" si="171"/>
        <v>0.27</v>
      </c>
      <c r="D130" s="9">
        <f t="shared" si="176"/>
        <v>0.21</v>
      </c>
      <c r="E130" s="9">
        <f t="shared" si="176"/>
        <v>1.93</v>
      </c>
      <c r="F130" s="9">
        <f t="shared" si="176"/>
        <v>1.75</v>
      </c>
      <c r="G130" s="9">
        <f t="shared" si="176"/>
        <v>0.3</v>
      </c>
      <c r="H130" s="9">
        <f t="shared" si="176"/>
        <v>0.26</v>
      </c>
      <c r="I130" s="9">
        <f t="shared" si="176"/>
        <v>1.4999999999999999E-2</v>
      </c>
      <c r="J130" s="9" t="str">
        <f t="shared" ref="J130:K130" si="195">K100</f>
        <v>1/100</v>
      </c>
      <c r="K130" s="9" t="str">
        <f t="shared" si="195"/>
        <v>U60</v>
      </c>
      <c r="L130" s="9">
        <f t="shared" si="173"/>
        <v>0.14000000000000001</v>
      </c>
      <c r="M130" s="9">
        <f t="shared" si="174"/>
        <v>0.12</v>
      </c>
      <c r="N130" s="9">
        <v>0.90300000000000002</v>
      </c>
      <c r="O130" s="9">
        <v>0.82199999999999995</v>
      </c>
      <c r="P130" s="13">
        <f t="shared" si="178"/>
        <v>0.15503875968992248</v>
      </c>
      <c r="Q130" s="13">
        <f t="shared" si="179"/>
        <v>0.14598540145985403</v>
      </c>
      <c r="R130" s="9">
        <f t="shared" ref="R130:S130" si="196">O100</f>
        <v>0.3</v>
      </c>
      <c r="S130" s="9">
        <f t="shared" si="196"/>
        <v>0.6</v>
      </c>
    </row>
    <row r="131" spans="2:19">
      <c r="B131" s="10">
        <f t="shared" si="171"/>
        <v>2000</v>
      </c>
      <c r="C131" s="9">
        <f t="shared" si="171"/>
        <v>0.27</v>
      </c>
      <c r="D131" s="9">
        <f t="shared" si="176"/>
        <v>0.21</v>
      </c>
      <c r="E131" s="9">
        <f t="shared" si="176"/>
        <v>1.93</v>
      </c>
      <c r="F131" s="9">
        <f t="shared" si="176"/>
        <v>1.75</v>
      </c>
      <c r="G131" s="9">
        <f t="shared" si="176"/>
        <v>0.3</v>
      </c>
      <c r="H131" s="9">
        <f t="shared" si="176"/>
        <v>0.26</v>
      </c>
      <c r="I131" s="9">
        <f t="shared" si="176"/>
        <v>1.4999999999999999E-2</v>
      </c>
      <c r="J131" s="9" t="str">
        <f t="shared" ref="J131:K131" si="197">K101</f>
        <v>1/100</v>
      </c>
      <c r="K131" s="9" t="str">
        <f t="shared" si="197"/>
        <v>U60</v>
      </c>
      <c r="L131" s="9">
        <f t="shared" si="173"/>
        <v>0.14000000000000001</v>
      </c>
      <c r="M131" s="9">
        <f t="shared" si="174"/>
        <v>0.12</v>
      </c>
      <c r="N131" s="9">
        <v>0.90300000000000002</v>
      </c>
      <c r="O131" s="9">
        <v>0.82199999999999995</v>
      </c>
      <c r="P131" s="13">
        <f t="shared" si="178"/>
        <v>0.15503875968992248</v>
      </c>
      <c r="Q131" s="13">
        <f t="shared" si="179"/>
        <v>0.14598540145985403</v>
      </c>
      <c r="R131" s="9">
        <f t="shared" ref="R131:S131" si="198">O101</f>
        <v>0.3</v>
      </c>
      <c r="S131" s="9">
        <f t="shared" si="198"/>
        <v>0.6</v>
      </c>
    </row>
    <row r="132" spans="2:19">
      <c r="B132" s="10">
        <f t="shared" si="171"/>
        <v>2200</v>
      </c>
      <c r="C132" s="9">
        <f t="shared" si="171"/>
        <v>0.27</v>
      </c>
      <c r="D132" s="9">
        <f t="shared" ref="D132:I141" si="199">D102</f>
        <v>0.21</v>
      </c>
      <c r="E132" s="9">
        <f t="shared" si="199"/>
        <v>1.93</v>
      </c>
      <c r="F132" s="9">
        <f t="shared" si="199"/>
        <v>1.75</v>
      </c>
      <c r="G132" s="9">
        <f t="shared" si="199"/>
        <v>0.3</v>
      </c>
      <c r="H132" s="9">
        <f t="shared" si="199"/>
        <v>0.26</v>
      </c>
      <c r="I132" s="9">
        <f t="shared" si="199"/>
        <v>1.4999999999999999E-2</v>
      </c>
      <c r="J132" s="9" t="str">
        <f t="shared" ref="J132:K132" si="200">K102</f>
        <v>1/100</v>
      </c>
      <c r="K132" s="9" t="str">
        <f t="shared" si="200"/>
        <v>U60</v>
      </c>
      <c r="L132" s="9">
        <f t="shared" si="173"/>
        <v>0.14000000000000001</v>
      </c>
      <c r="M132" s="9">
        <f t="shared" si="174"/>
        <v>0.12</v>
      </c>
      <c r="N132" s="9">
        <v>0.90300000000000002</v>
      </c>
      <c r="O132" s="9">
        <v>0.82199999999999995</v>
      </c>
      <c r="P132" s="13">
        <f t="shared" si="178"/>
        <v>0.15503875968992248</v>
      </c>
      <c r="Q132" s="13">
        <f t="shared" si="179"/>
        <v>0.14598540145985403</v>
      </c>
      <c r="R132" s="9">
        <f t="shared" ref="R132:S132" si="201">O102</f>
        <v>0.3</v>
      </c>
      <c r="S132" s="9">
        <f t="shared" si="201"/>
        <v>0.6</v>
      </c>
    </row>
    <row r="133" spans="2:19">
      <c r="B133" s="10">
        <f t="shared" si="171"/>
        <v>2400</v>
      </c>
      <c r="C133" s="9">
        <f t="shared" si="171"/>
        <v>0.27</v>
      </c>
      <c r="D133" s="9">
        <f t="shared" si="199"/>
        <v>0.21</v>
      </c>
      <c r="E133" s="9">
        <f t="shared" si="199"/>
        <v>1.93</v>
      </c>
      <c r="F133" s="9">
        <f t="shared" si="199"/>
        <v>1.75</v>
      </c>
      <c r="G133" s="9">
        <f t="shared" si="199"/>
        <v>0.3</v>
      </c>
      <c r="H133" s="9">
        <f t="shared" si="199"/>
        <v>0.26</v>
      </c>
      <c r="I133" s="9">
        <f t="shared" si="199"/>
        <v>1.4999999999999999E-2</v>
      </c>
      <c r="J133" s="9" t="str">
        <f t="shared" ref="J133:K133" si="202">K103</f>
        <v>1/100</v>
      </c>
      <c r="K133" s="9" t="str">
        <f t="shared" si="202"/>
        <v>U60</v>
      </c>
      <c r="L133" s="9">
        <f t="shared" si="173"/>
        <v>0.14000000000000001</v>
      </c>
      <c r="M133" s="9">
        <f t="shared" si="174"/>
        <v>0.12</v>
      </c>
      <c r="N133" s="9">
        <v>0.90300000000000002</v>
      </c>
      <c r="O133" s="9">
        <v>0.82199999999999995</v>
      </c>
      <c r="P133" s="13">
        <f t="shared" si="178"/>
        <v>0.15503875968992248</v>
      </c>
      <c r="Q133" s="13">
        <f t="shared" si="179"/>
        <v>0.14598540145985403</v>
      </c>
      <c r="R133" s="9">
        <f t="shared" ref="R133:S133" si="203">O103</f>
        <v>0.3</v>
      </c>
      <c r="S133" s="9">
        <f t="shared" si="203"/>
        <v>0.6</v>
      </c>
    </row>
    <row r="134" spans="2:19">
      <c r="B134" s="10">
        <f t="shared" si="171"/>
        <v>2600</v>
      </c>
      <c r="C134" s="9">
        <f t="shared" si="171"/>
        <v>0.27</v>
      </c>
      <c r="D134" s="9">
        <f t="shared" si="199"/>
        <v>0.21</v>
      </c>
      <c r="E134" s="9">
        <f t="shared" si="199"/>
        <v>1.93</v>
      </c>
      <c r="F134" s="9">
        <f t="shared" si="199"/>
        <v>1.75</v>
      </c>
      <c r="G134" s="9">
        <f t="shared" si="199"/>
        <v>0.3</v>
      </c>
      <c r="H134" s="9">
        <f t="shared" si="199"/>
        <v>0.26</v>
      </c>
      <c r="I134" s="9">
        <f t="shared" si="199"/>
        <v>1.4999999999999999E-2</v>
      </c>
      <c r="J134" s="9" t="str">
        <f t="shared" ref="J134:K134" si="204">K104</f>
        <v>1/100</v>
      </c>
      <c r="K134" s="9" t="str">
        <f t="shared" si="204"/>
        <v>U60</v>
      </c>
      <c r="L134" s="9">
        <f t="shared" si="173"/>
        <v>0.14000000000000001</v>
      </c>
      <c r="M134" s="9">
        <f t="shared" si="174"/>
        <v>0.12</v>
      </c>
      <c r="N134" s="9">
        <v>0.90300000000000002</v>
      </c>
      <c r="O134" s="9">
        <v>0.82199999999999995</v>
      </c>
      <c r="P134" s="13">
        <f t="shared" si="178"/>
        <v>0.15503875968992248</v>
      </c>
      <c r="Q134" s="13">
        <f t="shared" si="179"/>
        <v>0.14598540145985403</v>
      </c>
      <c r="R134" s="9">
        <f t="shared" ref="R134:S134" si="205">O104</f>
        <v>0.3</v>
      </c>
      <c r="S134" s="9">
        <f t="shared" si="205"/>
        <v>0.6</v>
      </c>
    </row>
    <row r="135" spans="2:19">
      <c r="B135" s="10">
        <f t="shared" si="171"/>
        <v>2800</v>
      </c>
      <c r="C135" s="9">
        <f t="shared" si="171"/>
        <v>0.27</v>
      </c>
      <c r="D135" s="9">
        <f t="shared" si="199"/>
        <v>0.21</v>
      </c>
      <c r="E135" s="9">
        <f t="shared" si="199"/>
        <v>1.93</v>
      </c>
      <c r="F135" s="9">
        <f t="shared" si="199"/>
        <v>1.75</v>
      </c>
      <c r="G135" s="9">
        <f t="shared" si="199"/>
        <v>0.3</v>
      </c>
      <c r="H135" s="9">
        <f t="shared" si="199"/>
        <v>0.26</v>
      </c>
      <c r="I135" s="9">
        <f t="shared" si="199"/>
        <v>1.4999999999999999E-2</v>
      </c>
      <c r="J135" s="9" t="str">
        <f t="shared" ref="J135:K135" si="206">K105</f>
        <v>1/100</v>
      </c>
      <c r="K135" s="9" t="str">
        <f t="shared" si="206"/>
        <v>U60</v>
      </c>
      <c r="L135" s="9">
        <f t="shared" si="173"/>
        <v>0.14000000000000001</v>
      </c>
      <c r="M135" s="9">
        <f t="shared" si="174"/>
        <v>0.12</v>
      </c>
      <c r="N135" s="9">
        <v>0.90300000000000002</v>
      </c>
      <c r="O135" s="9">
        <v>0.82199999999999995</v>
      </c>
      <c r="P135" s="13">
        <f t="shared" si="178"/>
        <v>0.15503875968992248</v>
      </c>
      <c r="Q135" s="13">
        <f t="shared" si="179"/>
        <v>0.14598540145985403</v>
      </c>
      <c r="R135" s="9">
        <f t="shared" ref="R135:S135" si="207">O105</f>
        <v>0.3</v>
      </c>
      <c r="S135" s="9">
        <f t="shared" si="207"/>
        <v>0.6</v>
      </c>
    </row>
    <row r="136" spans="2:19">
      <c r="B136" s="10">
        <f t="shared" si="171"/>
        <v>3000</v>
      </c>
      <c r="C136" s="9">
        <f t="shared" si="171"/>
        <v>0.27</v>
      </c>
      <c r="D136" s="9">
        <f t="shared" si="199"/>
        <v>0.21</v>
      </c>
      <c r="E136" s="9">
        <f t="shared" si="199"/>
        <v>1.93</v>
      </c>
      <c r="F136" s="9">
        <f t="shared" si="199"/>
        <v>1.75</v>
      </c>
      <c r="G136" s="9">
        <f t="shared" si="199"/>
        <v>0.3</v>
      </c>
      <c r="H136" s="9">
        <f t="shared" si="199"/>
        <v>0.26</v>
      </c>
      <c r="I136" s="9">
        <f t="shared" si="199"/>
        <v>1.4999999999999999E-2</v>
      </c>
      <c r="J136" s="9" t="str">
        <f t="shared" ref="J136:K136" si="208">K106</f>
        <v>1/100</v>
      </c>
      <c r="K136" s="9" t="str">
        <f t="shared" si="208"/>
        <v>U60</v>
      </c>
      <c r="L136" s="9">
        <f t="shared" si="173"/>
        <v>0.14000000000000001</v>
      </c>
      <c r="M136" s="9">
        <f t="shared" si="174"/>
        <v>0.12</v>
      </c>
      <c r="N136" s="9">
        <v>0.90300000000000002</v>
      </c>
      <c r="O136" s="9">
        <v>0.82199999999999995</v>
      </c>
      <c r="P136" s="13">
        <f t="shared" si="178"/>
        <v>0.15503875968992248</v>
      </c>
      <c r="Q136" s="13">
        <f t="shared" si="179"/>
        <v>0.14598540145985403</v>
      </c>
      <c r="R136" s="9">
        <f t="shared" ref="R136:S136" si="209">O106</f>
        <v>0.3</v>
      </c>
      <c r="S136" s="9">
        <f t="shared" si="209"/>
        <v>0.6</v>
      </c>
    </row>
    <row r="137" spans="2:19">
      <c r="B137" s="10">
        <f t="shared" si="171"/>
        <v>3200</v>
      </c>
      <c r="C137" s="9">
        <f t="shared" si="171"/>
        <v>0.27</v>
      </c>
      <c r="D137" s="9">
        <f t="shared" si="199"/>
        <v>0.21</v>
      </c>
      <c r="E137" s="9">
        <f t="shared" si="199"/>
        <v>1.93</v>
      </c>
      <c r="F137" s="9">
        <f t="shared" si="199"/>
        <v>1.75</v>
      </c>
      <c r="G137" s="9">
        <f t="shared" si="199"/>
        <v>0.3</v>
      </c>
      <c r="H137" s="9">
        <f t="shared" si="199"/>
        <v>0.26</v>
      </c>
      <c r="I137" s="9">
        <f t="shared" si="199"/>
        <v>1.4999999999999999E-2</v>
      </c>
      <c r="J137" s="9" t="str">
        <f t="shared" ref="J137:K137" si="210">K107</f>
        <v>1/100</v>
      </c>
      <c r="K137" s="9" t="str">
        <f t="shared" si="210"/>
        <v>U60</v>
      </c>
      <c r="L137" s="9">
        <f t="shared" si="173"/>
        <v>0.14000000000000001</v>
      </c>
      <c r="M137" s="9">
        <f t="shared" si="174"/>
        <v>0.12</v>
      </c>
      <c r="N137" s="9">
        <v>0.90300000000000002</v>
      </c>
      <c r="O137" s="9">
        <v>0.82199999999999995</v>
      </c>
      <c r="P137" s="13">
        <f t="shared" si="178"/>
        <v>0.15503875968992248</v>
      </c>
      <c r="Q137" s="13">
        <f t="shared" si="179"/>
        <v>0.14598540145985403</v>
      </c>
      <c r="R137" s="9">
        <f t="shared" ref="R137:S137" si="211">O107</f>
        <v>0.3</v>
      </c>
      <c r="S137" s="9">
        <f t="shared" si="211"/>
        <v>0.6</v>
      </c>
    </row>
    <row r="138" spans="2:19">
      <c r="B138" s="10">
        <f t="shared" si="171"/>
        <v>3400</v>
      </c>
      <c r="C138" s="9">
        <f t="shared" si="171"/>
        <v>0.27</v>
      </c>
      <c r="D138" s="9">
        <f t="shared" si="199"/>
        <v>0.21</v>
      </c>
      <c r="E138" s="9">
        <f t="shared" si="199"/>
        <v>1.93</v>
      </c>
      <c r="F138" s="9">
        <f t="shared" si="199"/>
        <v>1.75</v>
      </c>
      <c r="G138" s="9">
        <f t="shared" si="199"/>
        <v>0.3</v>
      </c>
      <c r="H138" s="9">
        <f t="shared" si="199"/>
        <v>0.26</v>
      </c>
      <c r="I138" s="9">
        <f t="shared" si="199"/>
        <v>1.4999999999999999E-2</v>
      </c>
      <c r="J138" s="9" t="str">
        <f t="shared" ref="J138:K138" si="212">K108</f>
        <v>1/100</v>
      </c>
      <c r="K138" s="9" t="str">
        <f t="shared" si="212"/>
        <v>U60</v>
      </c>
      <c r="L138" s="9">
        <f t="shared" si="173"/>
        <v>0.14000000000000001</v>
      </c>
      <c r="M138" s="9">
        <f t="shared" si="174"/>
        <v>0.12</v>
      </c>
      <c r="N138" s="9">
        <v>0.90300000000000002</v>
      </c>
      <c r="O138" s="9">
        <v>0.82199999999999995</v>
      </c>
      <c r="P138" s="13">
        <f t="shared" si="178"/>
        <v>0.15503875968992248</v>
      </c>
      <c r="Q138" s="13">
        <f t="shared" si="179"/>
        <v>0.14598540145985403</v>
      </c>
      <c r="R138" s="9">
        <f t="shared" ref="R138:S138" si="213">O108</f>
        <v>0.3</v>
      </c>
      <c r="S138" s="9">
        <f t="shared" si="213"/>
        <v>0.6</v>
      </c>
    </row>
    <row r="139" spans="2:19">
      <c r="B139" s="10">
        <f t="shared" si="171"/>
        <v>3600</v>
      </c>
      <c r="C139" s="9">
        <f t="shared" si="171"/>
        <v>0.27</v>
      </c>
      <c r="D139" s="9">
        <f t="shared" si="199"/>
        <v>0.21</v>
      </c>
      <c r="E139" s="9">
        <f t="shared" si="199"/>
        <v>1.93</v>
      </c>
      <c r="F139" s="9">
        <f t="shared" si="199"/>
        <v>1.75</v>
      </c>
      <c r="G139" s="9">
        <f t="shared" si="199"/>
        <v>0.3</v>
      </c>
      <c r="H139" s="9">
        <f t="shared" si="199"/>
        <v>0.26</v>
      </c>
      <c r="I139" s="9">
        <f t="shared" si="199"/>
        <v>1.4999999999999999E-2</v>
      </c>
      <c r="J139" s="9" t="str">
        <f t="shared" ref="J139:K139" si="214">K109</f>
        <v>1/100</v>
      </c>
      <c r="K139" s="9" t="str">
        <f t="shared" si="214"/>
        <v>U60</v>
      </c>
      <c r="L139" s="9">
        <f t="shared" si="173"/>
        <v>0.14000000000000001</v>
      </c>
      <c r="M139" s="9">
        <f t="shared" si="174"/>
        <v>0.12</v>
      </c>
      <c r="N139" s="9">
        <v>0.90300000000000002</v>
      </c>
      <c r="O139" s="9">
        <v>0.82199999999999995</v>
      </c>
      <c r="P139" s="13">
        <f t="shared" si="178"/>
        <v>0.15503875968992248</v>
      </c>
      <c r="Q139" s="13">
        <f t="shared" si="179"/>
        <v>0.14598540145985403</v>
      </c>
      <c r="R139" s="9">
        <f t="shared" ref="R139:S139" si="215">O109</f>
        <v>0.3</v>
      </c>
      <c r="S139" s="9">
        <f t="shared" si="215"/>
        <v>0.6</v>
      </c>
    </row>
    <row r="140" spans="2:19">
      <c r="B140" s="10">
        <f t="shared" si="171"/>
        <v>3800</v>
      </c>
      <c r="C140" s="9">
        <f t="shared" si="171"/>
        <v>0.27</v>
      </c>
      <c r="D140" s="9">
        <f t="shared" si="199"/>
        <v>0.21</v>
      </c>
      <c r="E140" s="9">
        <f t="shared" si="199"/>
        <v>1.93</v>
      </c>
      <c r="F140" s="9">
        <f t="shared" si="199"/>
        <v>1.75</v>
      </c>
      <c r="G140" s="9">
        <f t="shared" si="199"/>
        <v>0.3</v>
      </c>
      <c r="H140" s="9">
        <f t="shared" si="199"/>
        <v>0.26</v>
      </c>
      <c r="I140" s="9">
        <f t="shared" si="199"/>
        <v>1.4999999999999999E-2</v>
      </c>
      <c r="J140" s="9" t="str">
        <f t="shared" ref="J140:K140" si="216">K110</f>
        <v>1/100</v>
      </c>
      <c r="K140" s="9" t="str">
        <f t="shared" si="216"/>
        <v>U60</v>
      </c>
      <c r="L140" s="9">
        <f t="shared" si="173"/>
        <v>0.14000000000000001</v>
      </c>
      <c r="M140" s="9">
        <f t="shared" si="174"/>
        <v>0.12</v>
      </c>
      <c r="N140" s="9">
        <v>0.90300000000000002</v>
      </c>
      <c r="O140" s="9">
        <v>0.82199999999999995</v>
      </c>
      <c r="P140" s="13">
        <f t="shared" si="178"/>
        <v>0.15503875968992248</v>
      </c>
      <c r="Q140" s="13">
        <f t="shared" si="179"/>
        <v>0.14598540145985403</v>
      </c>
      <c r="R140" s="9">
        <f t="shared" ref="R140:S140" si="217">O110</f>
        <v>0.3</v>
      </c>
      <c r="S140" s="9">
        <f t="shared" si="217"/>
        <v>0.6</v>
      </c>
    </row>
    <row r="141" spans="2:19">
      <c r="B141" s="10">
        <f t="shared" si="171"/>
        <v>4000</v>
      </c>
      <c r="C141" s="9">
        <f t="shared" si="171"/>
        <v>0.27</v>
      </c>
      <c r="D141" s="9">
        <f t="shared" si="199"/>
        <v>0.21</v>
      </c>
      <c r="E141" s="9">
        <f t="shared" si="199"/>
        <v>1.93</v>
      </c>
      <c r="F141" s="9">
        <f t="shared" si="199"/>
        <v>1.75</v>
      </c>
      <c r="G141" s="9">
        <f t="shared" si="199"/>
        <v>0.3</v>
      </c>
      <c r="H141" s="9">
        <f t="shared" si="199"/>
        <v>0.26</v>
      </c>
      <c r="I141" s="9">
        <f t="shared" si="199"/>
        <v>1.4999999999999999E-2</v>
      </c>
      <c r="J141" s="9" t="str">
        <f t="shared" ref="J141:K141" si="218">K111</f>
        <v>1/100</v>
      </c>
      <c r="K141" s="9" t="str">
        <f t="shared" si="218"/>
        <v>U60</v>
      </c>
      <c r="L141" s="9">
        <f t="shared" si="173"/>
        <v>0.14000000000000001</v>
      </c>
      <c r="M141" s="9">
        <f t="shared" si="174"/>
        <v>0.12</v>
      </c>
      <c r="N141" s="9">
        <v>0.90300000000000002</v>
      </c>
      <c r="O141" s="9">
        <v>0.82199999999999995</v>
      </c>
      <c r="P141" s="13">
        <f t="shared" si="178"/>
        <v>0.15503875968992248</v>
      </c>
      <c r="Q141" s="13">
        <f t="shared" si="179"/>
        <v>0.14598540145985403</v>
      </c>
      <c r="R141" s="9">
        <f t="shared" ref="R141:S141" si="219">O111</f>
        <v>0.3</v>
      </c>
      <c r="S141" s="9">
        <f t="shared" si="219"/>
        <v>0.6</v>
      </c>
    </row>
    <row r="142" spans="2:19">
      <c r="B142" s="10">
        <f t="shared" si="171"/>
        <v>4200</v>
      </c>
      <c r="C142" s="9">
        <f t="shared" si="171"/>
        <v>0.27</v>
      </c>
      <c r="D142" s="9">
        <f t="shared" ref="D142:I142" si="220">D112</f>
        <v>0.21</v>
      </c>
      <c r="E142" s="9">
        <f t="shared" si="220"/>
        <v>1.93</v>
      </c>
      <c r="F142" s="9">
        <f t="shared" si="220"/>
        <v>1.75</v>
      </c>
      <c r="G142" s="9">
        <f t="shared" si="220"/>
        <v>0.3</v>
      </c>
      <c r="H142" s="9">
        <f t="shared" si="220"/>
        <v>0.26</v>
      </c>
      <c r="I142" s="9">
        <f t="shared" si="220"/>
        <v>1.4999999999999999E-2</v>
      </c>
      <c r="J142" s="9" t="str">
        <f t="shared" ref="J142:K142" si="221">K112</f>
        <v>1/100</v>
      </c>
      <c r="K142" s="9" t="str">
        <f t="shared" si="221"/>
        <v>U60</v>
      </c>
      <c r="L142" s="9">
        <f t="shared" si="173"/>
        <v>0.14000000000000001</v>
      </c>
      <c r="M142" s="9">
        <f t="shared" si="174"/>
        <v>0.12</v>
      </c>
      <c r="N142" s="9">
        <v>0.90300000000000002</v>
      </c>
      <c r="O142" s="9">
        <v>0.82199999999999995</v>
      </c>
      <c r="P142" s="13">
        <f t="shared" si="178"/>
        <v>0.15503875968992248</v>
      </c>
      <c r="Q142" s="13">
        <f t="shared" si="179"/>
        <v>0.14598540145985403</v>
      </c>
      <c r="R142" s="9">
        <f t="shared" ref="R142:S142" si="222">O112</f>
        <v>0.3</v>
      </c>
      <c r="S142" s="9">
        <f t="shared" si="222"/>
        <v>0.6</v>
      </c>
    </row>
    <row r="143" spans="2:19">
      <c r="B143" s="10">
        <f>B113</f>
        <v>4400</v>
      </c>
      <c r="C143" s="9">
        <f t="shared" ref="C143:I143" si="223">C113</f>
        <v>0.27</v>
      </c>
      <c r="D143" s="9">
        <f t="shared" si="223"/>
        <v>0.21</v>
      </c>
      <c r="E143" s="9">
        <f t="shared" si="223"/>
        <v>1.93</v>
      </c>
      <c r="F143" s="9">
        <f t="shared" si="223"/>
        <v>1.75</v>
      </c>
      <c r="G143" s="9">
        <f t="shared" si="223"/>
        <v>0.3</v>
      </c>
      <c r="H143" s="9">
        <f t="shared" si="223"/>
        <v>0.26</v>
      </c>
      <c r="I143" s="9">
        <f t="shared" si="223"/>
        <v>1.4999999999999999E-2</v>
      </c>
      <c r="J143" s="9" t="str">
        <f t="shared" ref="J143:K143" si="224">K113</f>
        <v>1/100</v>
      </c>
      <c r="K143" s="9" t="str">
        <f t="shared" si="224"/>
        <v>U60</v>
      </c>
      <c r="L143" s="9">
        <f t="shared" si="173"/>
        <v>0.14000000000000001</v>
      </c>
      <c r="M143" s="9">
        <f t="shared" si="174"/>
        <v>0.12</v>
      </c>
      <c r="N143" s="9">
        <v>0.90300000000000002</v>
      </c>
      <c r="O143" s="9">
        <v>0.82199999999999995</v>
      </c>
      <c r="P143" s="13">
        <f t="shared" si="178"/>
        <v>0.15503875968992248</v>
      </c>
      <c r="Q143" s="13">
        <f t="shared" si="179"/>
        <v>0.14598540145985403</v>
      </c>
      <c r="R143" s="9">
        <f t="shared" ref="R143:S143" si="225">O113</f>
        <v>0.3</v>
      </c>
      <c r="S143" s="9">
        <f t="shared" si="225"/>
        <v>0.6</v>
      </c>
    </row>
    <row r="144" spans="2:19">
      <c r="B144" s="10">
        <f>B114</f>
        <v>4600</v>
      </c>
      <c r="C144" s="9">
        <f t="shared" ref="C144:I145" si="226">C114</f>
        <v>0.27</v>
      </c>
      <c r="D144" s="9">
        <f t="shared" si="226"/>
        <v>0.21</v>
      </c>
      <c r="E144" s="9">
        <f t="shared" si="226"/>
        <v>1.93</v>
      </c>
      <c r="F144" s="9">
        <f t="shared" si="226"/>
        <v>1.75</v>
      </c>
      <c r="G144" s="9">
        <f t="shared" si="226"/>
        <v>0.3</v>
      </c>
      <c r="H144" s="9">
        <f t="shared" si="226"/>
        <v>0.26</v>
      </c>
      <c r="I144" s="9">
        <f t="shared" si="226"/>
        <v>1.4999999999999999E-2</v>
      </c>
      <c r="J144" s="9" t="str">
        <f t="shared" ref="J144:K144" si="227">K114</f>
        <v>1/100</v>
      </c>
      <c r="K144" s="9" t="str">
        <f t="shared" si="227"/>
        <v>U60</v>
      </c>
      <c r="L144" s="9">
        <f t="shared" si="173"/>
        <v>0.14000000000000001</v>
      </c>
      <c r="M144" s="9">
        <f t="shared" si="174"/>
        <v>0.12</v>
      </c>
      <c r="N144" s="9">
        <v>0.90300000000000002</v>
      </c>
      <c r="O144" s="9">
        <v>0.82199999999999995</v>
      </c>
      <c r="P144" s="13">
        <f t="shared" si="178"/>
        <v>0.15503875968992248</v>
      </c>
      <c r="Q144" s="13">
        <f t="shared" si="179"/>
        <v>0.14598540145985403</v>
      </c>
      <c r="R144" s="9">
        <f t="shared" ref="R144:S144" si="228">O114</f>
        <v>0.3</v>
      </c>
      <c r="S144" s="9">
        <f t="shared" si="228"/>
        <v>0.6</v>
      </c>
    </row>
    <row r="145" spans="1:27">
      <c r="B145" s="10">
        <f>B115</f>
        <v>4800</v>
      </c>
      <c r="C145" s="9">
        <f t="shared" si="226"/>
        <v>0.27</v>
      </c>
      <c r="D145" s="9">
        <f t="shared" si="226"/>
        <v>0.21</v>
      </c>
      <c r="E145" s="9">
        <f t="shared" si="226"/>
        <v>1.93</v>
      </c>
      <c r="F145" s="9">
        <f t="shared" si="226"/>
        <v>1.75</v>
      </c>
      <c r="G145" s="9">
        <f t="shared" si="226"/>
        <v>0.3</v>
      </c>
      <c r="H145" s="9">
        <f t="shared" si="226"/>
        <v>0.26</v>
      </c>
      <c r="I145" s="9">
        <f t="shared" si="226"/>
        <v>1.4999999999999999E-2</v>
      </c>
      <c r="J145" s="9" t="str">
        <f t="shared" ref="J145:K145" si="229">K115</f>
        <v>1/100</v>
      </c>
      <c r="K145" s="9" t="str">
        <f t="shared" si="229"/>
        <v>U60</v>
      </c>
      <c r="L145" s="9">
        <f t="shared" si="173"/>
        <v>0.14000000000000001</v>
      </c>
      <c r="M145" s="9">
        <f t="shared" si="174"/>
        <v>0.12</v>
      </c>
      <c r="N145" s="9">
        <v>0.90300000000000002</v>
      </c>
      <c r="O145" s="9">
        <v>0.82199999999999995</v>
      </c>
      <c r="P145" s="13">
        <f t="shared" si="178"/>
        <v>0.15503875968992248</v>
      </c>
      <c r="Q145" s="13">
        <f t="shared" si="179"/>
        <v>0.14598540145985403</v>
      </c>
      <c r="R145" s="9">
        <f t="shared" ref="R145:S145" si="230">O115</f>
        <v>0.3</v>
      </c>
      <c r="S145" s="9">
        <f t="shared" si="230"/>
        <v>0.6</v>
      </c>
    </row>
    <row r="146" spans="1:27">
      <c r="B146" s="23"/>
    </row>
    <row r="148" spans="1:27">
      <c r="A148" s="15" t="s">
        <v>533</v>
      </c>
    </row>
    <row r="149" spans="1:27">
      <c r="A149" s="43" t="s">
        <v>359</v>
      </c>
      <c r="B149" s="43" t="s">
        <v>336</v>
      </c>
      <c r="C149" s="43" t="s">
        <v>337</v>
      </c>
      <c r="D149" s="43"/>
      <c r="E149" s="43" t="s">
        <v>338</v>
      </c>
      <c r="F149" s="43"/>
      <c r="G149" s="43" t="s">
        <v>339</v>
      </c>
      <c r="H149" s="43"/>
      <c r="I149" s="9" t="s">
        <v>340</v>
      </c>
      <c r="J149" s="9" t="s">
        <v>289</v>
      </c>
      <c r="K149" s="9"/>
      <c r="L149" s="9" t="s">
        <v>438</v>
      </c>
      <c r="M149" s="11"/>
      <c r="N149" s="11"/>
      <c r="O149" s="9" t="s">
        <v>343</v>
      </c>
      <c r="P149" s="9" t="s">
        <v>344</v>
      </c>
      <c r="Q149" s="43" t="s">
        <v>521</v>
      </c>
      <c r="R149" s="43" t="s">
        <v>522</v>
      </c>
      <c r="S149" s="43" t="s">
        <v>346</v>
      </c>
      <c r="T149" s="43" t="s">
        <v>347</v>
      </c>
      <c r="U149" s="43" t="s">
        <v>359</v>
      </c>
    </row>
    <row r="150" spans="1:27" ht="15.6">
      <c r="A150" s="43"/>
      <c r="B150" s="43"/>
      <c r="C150" s="9" t="s">
        <v>349</v>
      </c>
      <c r="D150" s="9" t="s">
        <v>348</v>
      </c>
      <c r="E150" s="9" t="s">
        <v>351</v>
      </c>
      <c r="F150" s="9" t="s">
        <v>352</v>
      </c>
      <c r="G150" s="9" t="s">
        <v>353</v>
      </c>
      <c r="H150" s="9" t="s">
        <v>354</v>
      </c>
      <c r="I150" s="9" t="s">
        <v>309</v>
      </c>
      <c r="J150" s="9" t="s">
        <v>308</v>
      </c>
      <c r="K150" s="9"/>
      <c r="L150" s="9" t="s">
        <v>306</v>
      </c>
      <c r="M150" s="11" t="s">
        <v>368</v>
      </c>
      <c r="N150" s="11" t="s">
        <v>366</v>
      </c>
      <c r="O150" s="9" t="s">
        <v>355</v>
      </c>
      <c r="P150" s="9" t="s">
        <v>310</v>
      </c>
      <c r="Q150" s="43"/>
      <c r="R150" s="43"/>
      <c r="S150" s="43"/>
      <c r="T150" s="43"/>
      <c r="U150" s="43"/>
    </row>
    <row r="151" spans="1:27" ht="16.2">
      <c r="A151" s="9"/>
      <c r="B151" s="9" t="s">
        <v>356</v>
      </c>
      <c r="C151" s="9" t="s">
        <v>358</v>
      </c>
      <c r="D151" s="9" t="s">
        <v>358</v>
      </c>
      <c r="E151" s="9" t="s">
        <v>357</v>
      </c>
      <c r="F151" s="9" t="s">
        <v>357</v>
      </c>
      <c r="G151" s="9" t="s">
        <v>307</v>
      </c>
      <c r="H151" s="9" t="s">
        <v>307</v>
      </c>
      <c r="I151" s="9"/>
      <c r="J151" s="9"/>
      <c r="K151" s="9"/>
      <c r="L151" s="9" t="s">
        <v>307</v>
      </c>
      <c r="M151" s="9"/>
      <c r="N151" s="9"/>
      <c r="O151" s="9" t="s">
        <v>307</v>
      </c>
      <c r="P151" s="9" t="s">
        <v>307</v>
      </c>
      <c r="Q151" s="9" t="s">
        <v>307</v>
      </c>
      <c r="R151" s="9" t="s">
        <v>307</v>
      </c>
      <c r="S151" s="9" t="s">
        <v>307</v>
      </c>
      <c r="T151" s="9" t="s">
        <v>307</v>
      </c>
      <c r="U151" s="9"/>
      <c r="W151" t="s">
        <v>336</v>
      </c>
      <c r="X151" t="s">
        <v>773</v>
      </c>
      <c r="Y151" t="s">
        <v>774</v>
      </c>
      <c r="Z151" t="s">
        <v>776</v>
      </c>
      <c r="AA151" t="s">
        <v>775</v>
      </c>
    </row>
    <row r="152" spans="1:27">
      <c r="A152" s="9"/>
      <c r="B152" s="10">
        <f t="shared" ref="B152:B174" si="231">G2</f>
        <v>0</v>
      </c>
      <c r="C152" s="9">
        <f>ROUND(D152*1.3,2)</f>
        <v>0.22</v>
      </c>
      <c r="D152" s="9">
        <f>支渠!M10</f>
        <v>0.17</v>
      </c>
      <c r="E152" s="9">
        <f>ROUND(C152/N152,2)</f>
        <v>1.83</v>
      </c>
      <c r="F152" s="9">
        <f>ROUND(D152/M152,2)</f>
        <v>1.7</v>
      </c>
      <c r="G152" s="9">
        <v>0.3</v>
      </c>
      <c r="H152" s="9">
        <v>0.23</v>
      </c>
      <c r="I152" s="9">
        <v>1.4999999999999999E-2</v>
      </c>
      <c r="J152" s="9">
        <v>0.01</v>
      </c>
      <c r="K152" s="9" t="str">
        <f>"1/"&amp;ROUND(1/J152,0)</f>
        <v>1/100</v>
      </c>
      <c r="L152" s="9" t="s">
        <v>531</v>
      </c>
      <c r="M152" s="9">
        <v>0.1</v>
      </c>
      <c r="N152" s="9">
        <v>0.12</v>
      </c>
      <c r="O152" s="9">
        <f t="shared" ref="O152" si="232">P152-G152</f>
        <v>0.3</v>
      </c>
      <c r="P152" s="9">
        <v>0.6</v>
      </c>
      <c r="Q152" s="9">
        <f>R152+0.3</f>
        <v>1718.1599999999999</v>
      </c>
      <c r="R152" s="9">
        <f t="shared" ref="R152:R171" si="233">H2</f>
        <v>1717.86</v>
      </c>
      <c r="S152" s="9">
        <f>R152-0.1</f>
        <v>1717.76</v>
      </c>
      <c r="T152" s="14">
        <f t="shared" ref="T152:T174" si="234">S152+H152</f>
        <v>1717.99</v>
      </c>
      <c r="U152" s="9"/>
      <c r="W152" s="23">
        <f>B152</f>
        <v>0</v>
      </c>
      <c r="X152">
        <f t="shared" ref="X152:X174" si="235">Z152+P152</f>
        <v>1718.36</v>
      </c>
      <c r="Y152" s="3">
        <f>T152</f>
        <v>1717.99</v>
      </c>
      <c r="Z152">
        <f>S152</f>
        <v>1717.76</v>
      </c>
      <c r="AA152">
        <f>Q152</f>
        <v>1718.1599999999999</v>
      </c>
    </row>
    <row r="153" spans="1:27">
      <c r="A153" s="12"/>
      <c r="B153" s="10">
        <f t="shared" si="231"/>
        <v>200</v>
      </c>
      <c r="C153" s="9">
        <f t="shared" ref="C153:C174" si="236">ROUND(D153*1.3,2)</f>
        <v>0.22</v>
      </c>
      <c r="D153" s="9">
        <f>D152</f>
        <v>0.17</v>
      </c>
      <c r="E153" s="9">
        <f>ROUND(C153/N153,2)</f>
        <v>1.83</v>
      </c>
      <c r="F153" s="9">
        <f>ROUND(D153/M153,2)</f>
        <v>1.7</v>
      </c>
      <c r="G153" s="9">
        <v>0.3</v>
      </c>
      <c r="H153" s="9">
        <f>H152</f>
        <v>0.23</v>
      </c>
      <c r="I153" s="9">
        <v>1.4999999999999999E-2</v>
      </c>
      <c r="J153" s="9">
        <v>0.01</v>
      </c>
      <c r="K153" s="9" t="str">
        <f>"1/"&amp;ROUND(1/J153,0)</f>
        <v>1/100</v>
      </c>
      <c r="L153" s="9" t="s">
        <v>531</v>
      </c>
      <c r="M153" s="9">
        <v>0.1</v>
      </c>
      <c r="N153" s="9">
        <v>0.12</v>
      </c>
      <c r="O153" s="9">
        <f t="shared" ref="O153:O174" si="237">P153-G153</f>
        <v>0.3</v>
      </c>
      <c r="P153" s="9">
        <v>0.6</v>
      </c>
      <c r="Q153" s="9">
        <f>R153+0.3</f>
        <v>1716.2</v>
      </c>
      <c r="R153" s="9">
        <f t="shared" si="233"/>
        <v>1715.9</v>
      </c>
      <c r="S153" s="9">
        <f>R153-0.1</f>
        <v>1715.8000000000002</v>
      </c>
      <c r="T153" s="14">
        <f t="shared" si="234"/>
        <v>1716.0300000000002</v>
      </c>
      <c r="U153" s="9"/>
      <c r="W153" s="23">
        <f t="shared" ref="W153:W174" si="238">B153</f>
        <v>200</v>
      </c>
      <c r="X153">
        <f t="shared" si="235"/>
        <v>1716.4</v>
      </c>
      <c r="Y153" s="3">
        <f t="shared" ref="Y153:Y174" si="239">T153</f>
        <v>1716.0300000000002</v>
      </c>
      <c r="Z153">
        <f t="shared" ref="Z153:Z174" si="240">S153</f>
        <v>1715.8000000000002</v>
      </c>
      <c r="AA153">
        <f t="shared" ref="AA153:AA174" si="241">Q153</f>
        <v>1716.2</v>
      </c>
    </row>
    <row r="154" spans="1:27">
      <c r="A154" s="9"/>
      <c r="B154" s="10">
        <f t="shared" si="231"/>
        <v>400</v>
      </c>
      <c r="C154" s="9">
        <f t="shared" si="236"/>
        <v>0.22</v>
      </c>
      <c r="D154" s="9">
        <f t="shared" ref="D154:D174" si="242">D153</f>
        <v>0.17</v>
      </c>
      <c r="E154" s="9">
        <f t="shared" ref="E154:E174" si="243">ROUND(C154/N154,2)</f>
        <v>1.83</v>
      </c>
      <c r="F154" s="9">
        <f t="shared" ref="F154:F174" si="244">ROUND(D154/M154,2)</f>
        <v>1.7</v>
      </c>
      <c r="G154" s="9">
        <f>G153</f>
        <v>0.3</v>
      </c>
      <c r="H154" s="9">
        <f>H153</f>
        <v>0.23</v>
      </c>
      <c r="I154" s="9">
        <v>1.4999999999999999E-2</v>
      </c>
      <c r="J154" s="9">
        <f>J153</f>
        <v>0.01</v>
      </c>
      <c r="K154" s="9" t="str">
        <f t="shared" ref="K154:K174" si="245">"1/"&amp;ROUND(1/J154,0)</f>
        <v>1/100</v>
      </c>
      <c r="L154" s="9" t="str">
        <f>L153</f>
        <v>U60</v>
      </c>
      <c r="M154" s="9">
        <f>M153</f>
        <v>0.1</v>
      </c>
      <c r="N154" s="9">
        <f>N153</f>
        <v>0.12</v>
      </c>
      <c r="O154" s="9">
        <f t="shared" si="237"/>
        <v>0.3</v>
      </c>
      <c r="P154" s="9">
        <f>P153</f>
        <v>0.6</v>
      </c>
      <c r="Q154" s="9">
        <f t="shared" ref="Q154:Q171" si="246">R154+0.3</f>
        <v>1713.26</v>
      </c>
      <c r="R154" s="9">
        <f t="shared" si="233"/>
        <v>1712.96</v>
      </c>
      <c r="S154" s="9">
        <f t="shared" ref="S154:S171" si="247">R154-0.1</f>
        <v>1712.8600000000001</v>
      </c>
      <c r="T154" s="14">
        <f t="shared" si="234"/>
        <v>1713.0900000000001</v>
      </c>
      <c r="U154" s="9"/>
      <c r="W154" s="23">
        <f t="shared" si="238"/>
        <v>400</v>
      </c>
      <c r="X154">
        <f t="shared" si="235"/>
        <v>1713.46</v>
      </c>
      <c r="Y154" s="3">
        <f t="shared" si="239"/>
        <v>1713.0900000000001</v>
      </c>
      <c r="Z154">
        <f t="shared" si="240"/>
        <v>1712.8600000000001</v>
      </c>
      <c r="AA154">
        <f t="shared" si="241"/>
        <v>1713.26</v>
      </c>
    </row>
    <row r="155" spans="1:27">
      <c r="A155" s="9"/>
      <c r="B155" s="10">
        <f t="shared" si="231"/>
        <v>600</v>
      </c>
      <c r="C155" s="9">
        <f t="shared" si="236"/>
        <v>0.22</v>
      </c>
      <c r="D155" s="9">
        <f t="shared" si="242"/>
        <v>0.17</v>
      </c>
      <c r="E155" s="9">
        <f t="shared" si="243"/>
        <v>1.83</v>
      </c>
      <c r="F155" s="9">
        <f t="shared" si="244"/>
        <v>1.7</v>
      </c>
      <c r="G155" s="9">
        <f t="shared" ref="G155:H155" si="248">G154</f>
        <v>0.3</v>
      </c>
      <c r="H155" s="9">
        <f t="shared" si="248"/>
        <v>0.23</v>
      </c>
      <c r="I155" s="9">
        <v>1.4999999999999999E-2</v>
      </c>
      <c r="J155" s="9">
        <f t="shared" ref="J155:J174" si="249">J154</f>
        <v>0.01</v>
      </c>
      <c r="K155" s="9" t="str">
        <f t="shared" si="245"/>
        <v>1/100</v>
      </c>
      <c r="L155" s="9" t="str">
        <f t="shared" ref="L155:N155" si="250">L154</f>
        <v>U60</v>
      </c>
      <c r="M155" s="9">
        <f t="shared" si="250"/>
        <v>0.1</v>
      </c>
      <c r="N155" s="9">
        <f t="shared" si="250"/>
        <v>0.12</v>
      </c>
      <c r="O155" s="9">
        <f t="shared" si="237"/>
        <v>0.3</v>
      </c>
      <c r="P155" s="9">
        <f t="shared" ref="P155:P174" si="251">P154</f>
        <v>0.6</v>
      </c>
      <c r="Q155" s="9">
        <f t="shared" si="246"/>
        <v>1710.1499999999999</v>
      </c>
      <c r="R155" s="9">
        <f t="shared" si="233"/>
        <v>1709.85</v>
      </c>
      <c r="S155" s="9">
        <f t="shared" si="247"/>
        <v>1709.75</v>
      </c>
      <c r="T155" s="14">
        <f t="shared" si="234"/>
        <v>1709.98</v>
      </c>
      <c r="U155" s="9"/>
      <c r="W155" s="23">
        <f t="shared" si="238"/>
        <v>600</v>
      </c>
      <c r="X155">
        <f t="shared" si="235"/>
        <v>1710.35</v>
      </c>
      <c r="Y155" s="3">
        <f t="shared" si="239"/>
        <v>1709.98</v>
      </c>
      <c r="Z155">
        <f t="shared" si="240"/>
        <v>1709.75</v>
      </c>
      <c r="AA155">
        <f t="shared" si="241"/>
        <v>1710.1499999999999</v>
      </c>
    </row>
    <row r="156" spans="1:27">
      <c r="A156" s="9"/>
      <c r="B156" s="10">
        <f t="shared" si="231"/>
        <v>800</v>
      </c>
      <c r="C156" s="9">
        <f t="shared" si="236"/>
        <v>0.22</v>
      </c>
      <c r="D156" s="9">
        <f t="shared" si="242"/>
        <v>0.17</v>
      </c>
      <c r="E156" s="9">
        <f t="shared" si="243"/>
        <v>1.83</v>
      </c>
      <c r="F156" s="9">
        <f t="shared" si="244"/>
        <v>1.7</v>
      </c>
      <c r="G156" s="9">
        <f t="shared" ref="G156:H156" si="252">G155</f>
        <v>0.3</v>
      </c>
      <c r="H156" s="9">
        <f t="shared" si="252"/>
        <v>0.23</v>
      </c>
      <c r="I156" s="9">
        <v>1.4999999999999999E-2</v>
      </c>
      <c r="J156" s="9">
        <f t="shared" si="249"/>
        <v>0.01</v>
      </c>
      <c r="K156" s="9" t="str">
        <f t="shared" si="245"/>
        <v>1/100</v>
      </c>
      <c r="L156" s="9" t="str">
        <f t="shared" ref="L156:N156" si="253">L155</f>
        <v>U60</v>
      </c>
      <c r="M156" s="9">
        <f t="shared" si="253"/>
        <v>0.1</v>
      </c>
      <c r="N156" s="9">
        <f t="shared" si="253"/>
        <v>0.12</v>
      </c>
      <c r="O156" s="9">
        <f t="shared" si="237"/>
        <v>0.3</v>
      </c>
      <c r="P156" s="9">
        <f t="shared" si="251"/>
        <v>0.6</v>
      </c>
      <c r="Q156" s="9">
        <f t="shared" si="246"/>
        <v>1707.25</v>
      </c>
      <c r="R156" s="9">
        <f t="shared" si="233"/>
        <v>1706.95</v>
      </c>
      <c r="S156" s="9">
        <f t="shared" si="247"/>
        <v>1706.8500000000001</v>
      </c>
      <c r="T156" s="14">
        <f t="shared" si="234"/>
        <v>1707.0800000000002</v>
      </c>
      <c r="U156" s="9"/>
      <c r="W156" s="23">
        <f t="shared" si="238"/>
        <v>800</v>
      </c>
      <c r="X156">
        <f t="shared" si="235"/>
        <v>1707.45</v>
      </c>
      <c r="Y156" s="3">
        <f t="shared" si="239"/>
        <v>1707.0800000000002</v>
      </c>
      <c r="Z156">
        <f t="shared" si="240"/>
        <v>1706.8500000000001</v>
      </c>
      <c r="AA156">
        <f t="shared" si="241"/>
        <v>1707.25</v>
      </c>
    </row>
    <row r="157" spans="1:27">
      <c r="A157" s="9"/>
      <c r="B157" s="10">
        <f t="shared" si="231"/>
        <v>1000</v>
      </c>
      <c r="C157" s="9">
        <f t="shared" si="236"/>
        <v>0.22</v>
      </c>
      <c r="D157" s="9">
        <f t="shared" si="242"/>
        <v>0.17</v>
      </c>
      <c r="E157" s="9">
        <f t="shared" si="243"/>
        <v>1.83</v>
      </c>
      <c r="F157" s="9">
        <f t="shared" si="244"/>
        <v>1.7</v>
      </c>
      <c r="G157" s="9">
        <f t="shared" ref="G157:H157" si="254">G156</f>
        <v>0.3</v>
      </c>
      <c r="H157" s="9">
        <f t="shared" si="254"/>
        <v>0.23</v>
      </c>
      <c r="I157" s="9">
        <v>1.4999999999999999E-2</v>
      </c>
      <c r="J157" s="9">
        <f t="shared" si="249"/>
        <v>0.01</v>
      </c>
      <c r="K157" s="9" t="str">
        <f t="shared" si="245"/>
        <v>1/100</v>
      </c>
      <c r="L157" s="9" t="str">
        <f t="shared" ref="L157:N157" si="255">L156</f>
        <v>U60</v>
      </c>
      <c r="M157" s="9">
        <f t="shared" si="255"/>
        <v>0.1</v>
      </c>
      <c r="N157" s="9">
        <f t="shared" si="255"/>
        <v>0.12</v>
      </c>
      <c r="O157" s="9">
        <f t="shared" si="237"/>
        <v>0.3</v>
      </c>
      <c r="P157" s="9">
        <f t="shared" si="251"/>
        <v>0.6</v>
      </c>
      <c r="Q157" s="9">
        <f t="shared" si="246"/>
        <v>1704.7</v>
      </c>
      <c r="R157" s="9">
        <f t="shared" si="233"/>
        <v>1704.4</v>
      </c>
      <c r="S157" s="9">
        <f t="shared" si="247"/>
        <v>1704.3000000000002</v>
      </c>
      <c r="T157" s="14">
        <f t="shared" si="234"/>
        <v>1704.5300000000002</v>
      </c>
      <c r="U157" s="9"/>
      <c r="W157" s="23">
        <f t="shared" si="238"/>
        <v>1000</v>
      </c>
      <c r="X157">
        <f t="shared" si="235"/>
        <v>1704.9</v>
      </c>
      <c r="Y157" s="3">
        <f t="shared" si="239"/>
        <v>1704.5300000000002</v>
      </c>
      <c r="Z157">
        <f t="shared" si="240"/>
        <v>1704.3000000000002</v>
      </c>
      <c r="AA157">
        <f t="shared" si="241"/>
        <v>1704.7</v>
      </c>
    </row>
    <row r="158" spans="1:27">
      <c r="A158" s="9"/>
      <c r="B158" s="10">
        <f t="shared" si="231"/>
        <v>1200</v>
      </c>
      <c r="C158" s="9">
        <f t="shared" si="236"/>
        <v>0.22</v>
      </c>
      <c r="D158" s="9">
        <f t="shared" si="242"/>
        <v>0.17</v>
      </c>
      <c r="E158" s="9">
        <f t="shared" si="243"/>
        <v>1.83</v>
      </c>
      <c r="F158" s="9">
        <f t="shared" si="244"/>
        <v>1.7</v>
      </c>
      <c r="G158" s="9">
        <f t="shared" ref="G158:H158" si="256">G157</f>
        <v>0.3</v>
      </c>
      <c r="H158" s="9">
        <f t="shared" si="256"/>
        <v>0.23</v>
      </c>
      <c r="I158" s="9">
        <v>1.4999999999999999E-2</v>
      </c>
      <c r="J158" s="9">
        <f t="shared" si="249"/>
        <v>0.01</v>
      </c>
      <c r="K158" s="9" t="str">
        <f t="shared" si="245"/>
        <v>1/100</v>
      </c>
      <c r="L158" s="9" t="str">
        <f t="shared" ref="L158:N158" si="257">L157</f>
        <v>U60</v>
      </c>
      <c r="M158" s="9">
        <f t="shared" si="257"/>
        <v>0.1</v>
      </c>
      <c r="N158" s="9">
        <f t="shared" si="257"/>
        <v>0.12</v>
      </c>
      <c r="O158" s="9">
        <f t="shared" si="237"/>
        <v>0.3</v>
      </c>
      <c r="P158" s="9">
        <f t="shared" si="251"/>
        <v>0.6</v>
      </c>
      <c r="Q158" s="9">
        <f t="shared" si="246"/>
        <v>1701.75</v>
      </c>
      <c r="R158" s="9">
        <f t="shared" si="233"/>
        <v>1701.45</v>
      </c>
      <c r="S158" s="9">
        <f t="shared" si="247"/>
        <v>1701.3500000000001</v>
      </c>
      <c r="T158" s="14">
        <f t="shared" si="234"/>
        <v>1701.5800000000002</v>
      </c>
      <c r="U158" s="9"/>
      <c r="W158" s="23">
        <f t="shared" si="238"/>
        <v>1200</v>
      </c>
      <c r="X158">
        <f t="shared" si="235"/>
        <v>1701.95</v>
      </c>
      <c r="Y158" s="3">
        <f t="shared" si="239"/>
        <v>1701.5800000000002</v>
      </c>
      <c r="Z158">
        <f t="shared" si="240"/>
        <v>1701.3500000000001</v>
      </c>
      <c r="AA158">
        <f t="shared" si="241"/>
        <v>1701.75</v>
      </c>
    </row>
    <row r="159" spans="1:27">
      <c r="A159" s="9"/>
      <c r="B159" s="10">
        <f t="shared" si="231"/>
        <v>1400</v>
      </c>
      <c r="C159" s="9">
        <f t="shared" si="236"/>
        <v>0.22</v>
      </c>
      <c r="D159" s="9">
        <f t="shared" si="242"/>
        <v>0.17</v>
      </c>
      <c r="E159" s="9">
        <f t="shared" si="243"/>
        <v>1.83</v>
      </c>
      <c r="F159" s="9">
        <f t="shared" si="244"/>
        <v>1.7</v>
      </c>
      <c r="G159" s="9">
        <f t="shared" ref="G159:H159" si="258">G158</f>
        <v>0.3</v>
      </c>
      <c r="H159" s="9">
        <f t="shared" si="258"/>
        <v>0.23</v>
      </c>
      <c r="I159" s="9">
        <v>1.4999999999999999E-2</v>
      </c>
      <c r="J159" s="9">
        <f t="shared" si="249"/>
        <v>0.01</v>
      </c>
      <c r="K159" s="9" t="str">
        <f t="shared" si="245"/>
        <v>1/100</v>
      </c>
      <c r="L159" s="9" t="str">
        <f t="shared" ref="L159:N159" si="259">L158</f>
        <v>U60</v>
      </c>
      <c r="M159" s="9">
        <f t="shared" si="259"/>
        <v>0.1</v>
      </c>
      <c r="N159" s="9">
        <f t="shared" si="259"/>
        <v>0.12</v>
      </c>
      <c r="O159" s="9">
        <f t="shared" si="237"/>
        <v>0.3</v>
      </c>
      <c r="P159" s="9">
        <f t="shared" si="251"/>
        <v>0.6</v>
      </c>
      <c r="Q159" s="9">
        <f t="shared" si="246"/>
        <v>1699</v>
      </c>
      <c r="R159" s="9">
        <f t="shared" si="233"/>
        <v>1698.7</v>
      </c>
      <c r="S159" s="9">
        <f t="shared" si="247"/>
        <v>1698.6000000000001</v>
      </c>
      <c r="T159" s="14">
        <f t="shared" si="234"/>
        <v>1698.8300000000002</v>
      </c>
      <c r="U159" s="9"/>
      <c r="W159" s="23">
        <f t="shared" si="238"/>
        <v>1400</v>
      </c>
      <c r="X159">
        <f t="shared" si="235"/>
        <v>1699.2</v>
      </c>
      <c r="Y159" s="3">
        <f t="shared" si="239"/>
        <v>1698.8300000000002</v>
      </c>
      <c r="Z159">
        <f t="shared" si="240"/>
        <v>1698.6000000000001</v>
      </c>
      <c r="AA159">
        <f t="shared" si="241"/>
        <v>1699</v>
      </c>
    </row>
    <row r="160" spans="1:27">
      <c r="A160" s="9"/>
      <c r="B160" s="10">
        <f t="shared" si="231"/>
        <v>1600</v>
      </c>
      <c r="C160" s="9">
        <f t="shared" si="236"/>
        <v>0.22</v>
      </c>
      <c r="D160" s="9">
        <f t="shared" si="242"/>
        <v>0.17</v>
      </c>
      <c r="E160" s="9">
        <f t="shared" si="243"/>
        <v>1.83</v>
      </c>
      <c r="F160" s="9">
        <f t="shared" si="244"/>
        <v>1.7</v>
      </c>
      <c r="G160" s="9">
        <f t="shared" ref="G160:H160" si="260">G159</f>
        <v>0.3</v>
      </c>
      <c r="H160" s="9">
        <f t="shared" si="260"/>
        <v>0.23</v>
      </c>
      <c r="I160" s="9">
        <v>1.4999999999999999E-2</v>
      </c>
      <c r="J160" s="9">
        <f t="shared" si="249"/>
        <v>0.01</v>
      </c>
      <c r="K160" s="9" t="str">
        <f t="shared" si="245"/>
        <v>1/100</v>
      </c>
      <c r="L160" s="9" t="str">
        <f t="shared" ref="L160:N160" si="261">L159</f>
        <v>U60</v>
      </c>
      <c r="M160" s="9">
        <f t="shared" si="261"/>
        <v>0.1</v>
      </c>
      <c r="N160" s="9">
        <f t="shared" si="261"/>
        <v>0.12</v>
      </c>
      <c r="O160" s="9">
        <f t="shared" si="237"/>
        <v>0.3</v>
      </c>
      <c r="P160" s="9">
        <f t="shared" si="251"/>
        <v>0.6</v>
      </c>
      <c r="Q160" s="9">
        <f t="shared" si="246"/>
        <v>1695.8</v>
      </c>
      <c r="R160" s="9">
        <f t="shared" si="233"/>
        <v>1695.5</v>
      </c>
      <c r="S160" s="9">
        <f t="shared" si="247"/>
        <v>1695.4</v>
      </c>
      <c r="T160" s="14">
        <f t="shared" si="234"/>
        <v>1695.63</v>
      </c>
      <c r="U160" s="9"/>
      <c r="W160" s="23">
        <f t="shared" si="238"/>
        <v>1600</v>
      </c>
      <c r="X160">
        <f t="shared" si="235"/>
        <v>1696</v>
      </c>
      <c r="Y160" s="3">
        <f t="shared" si="239"/>
        <v>1695.63</v>
      </c>
      <c r="Z160">
        <f t="shared" si="240"/>
        <v>1695.4</v>
      </c>
      <c r="AA160">
        <f t="shared" si="241"/>
        <v>1695.8</v>
      </c>
    </row>
    <row r="161" spans="1:27">
      <c r="A161" s="9"/>
      <c r="B161" s="10">
        <f t="shared" si="231"/>
        <v>1800</v>
      </c>
      <c r="C161" s="9">
        <f t="shared" si="236"/>
        <v>0.22</v>
      </c>
      <c r="D161" s="9">
        <f t="shared" si="242"/>
        <v>0.17</v>
      </c>
      <c r="E161" s="9">
        <f t="shared" si="243"/>
        <v>1.83</v>
      </c>
      <c r="F161" s="9">
        <f t="shared" si="244"/>
        <v>1.7</v>
      </c>
      <c r="G161" s="9">
        <f t="shared" ref="G161:H161" si="262">G160</f>
        <v>0.3</v>
      </c>
      <c r="H161" s="9">
        <f t="shared" si="262"/>
        <v>0.23</v>
      </c>
      <c r="I161" s="9">
        <v>1.4999999999999999E-2</v>
      </c>
      <c r="J161" s="9">
        <f t="shared" si="249"/>
        <v>0.01</v>
      </c>
      <c r="K161" s="9" t="str">
        <f t="shared" si="245"/>
        <v>1/100</v>
      </c>
      <c r="L161" s="9" t="str">
        <f t="shared" ref="L161:N161" si="263">L160</f>
        <v>U60</v>
      </c>
      <c r="M161" s="9">
        <f t="shared" si="263"/>
        <v>0.1</v>
      </c>
      <c r="N161" s="9">
        <f t="shared" si="263"/>
        <v>0.12</v>
      </c>
      <c r="O161" s="9">
        <f t="shared" si="237"/>
        <v>0.3</v>
      </c>
      <c r="P161" s="9">
        <f t="shared" si="251"/>
        <v>0.6</v>
      </c>
      <c r="Q161" s="9">
        <f t="shared" si="246"/>
        <v>1692.7</v>
      </c>
      <c r="R161" s="9">
        <f t="shared" si="233"/>
        <v>1692.4</v>
      </c>
      <c r="S161" s="9">
        <f t="shared" si="247"/>
        <v>1692.3000000000002</v>
      </c>
      <c r="T161" s="14">
        <f t="shared" si="234"/>
        <v>1692.5300000000002</v>
      </c>
      <c r="U161" s="9"/>
      <c r="W161" s="23">
        <f t="shared" si="238"/>
        <v>1800</v>
      </c>
      <c r="X161">
        <f t="shared" si="235"/>
        <v>1692.9</v>
      </c>
      <c r="Y161" s="3">
        <f t="shared" si="239"/>
        <v>1692.5300000000002</v>
      </c>
      <c r="Z161">
        <f t="shared" si="240"/>
        <v>1692.3000000000002</v>
      </c>
      <c r="AA161">
        <f t="shared" si="241"/>
        <v>1692.7</v>
      </c>
    </row>
    <row r="162" spans="1:27">
      <c r="A162" s="12"/>
      <c r="B162" s="10">
        <f t="shared" si="231"/>
        <v>2000</v>
      </c>
      <c r="C162" s="9">
        <f t="shared" si="236"/>
        <v>0.22</v>
      </c>
      <c r="D162" s="9">
        <f t="shared" si="242"/>
        <v>0.17</v>
      </c>
      <c r="E162" s="9">
        <f t="shared" si="243"/>
        <v>1.83</v>
      </c>
      <c r="F162" s="9">
        <f t="shared" si="244"/>
        <v>1.7</v>
      </c>
      <c r="G162" s="9">
        <f t="shared" ref="G162:H162" si="264">G161</f>
        <v>0.3</v>
      </c>
      <c r="H162" s="9">
        <f t="shared" si="264"/>
        <v>0.23</v>
      </c>
      <c r="I162" s="9">
        <v>1.4999999999999999E-2</v>
      </c>
      <c r="J162" s="9">
        <f t="shared" si="249"/>
        <v>0.01</v>
      </c>
      <c r="K162" s="9" t="str">
        <f t="shared" si="245"/>
        <v>1/100</v>
      </c>
      <c r="L162" s="9" t="str">
        <f t="shared" ref="L162:N162" si="265">L161</f>
        <v>U60</v>
      </c>
      <c r="M162" s="9">
        <f t="shared" si="265"/>
        <v>0.1</v>
      </c>
      <c r="N162" s="9">
        <f t="shared" si="265"/>
        <v>0.12</v>
      </c>
      <c r="O162" s="9">
        <f t="shared" si="237"/>
        <v>0.3</v>
      </c>
      <c r="P162" s="9">
        <f t="shared" si="251"/>
        <v>0.6</v>
      </c>
      <c r="Q162" s="9">
        <f t="shared" si="246"/>
        <v>1689.3</v>
      </c>
      <c r="R162" s="9">
        <f t="shared" si="233"/>
        <v>1689</v>
      </c>
      <c r="S162" s="9">
        <f t="shared" si="247"/>
        <v>1688.9</v>
      </c>
      <c r="T162" s="14">
        <f t="shared" si="234"/>
        <v>1689.13</v>
      </c>
      <c r="U162" s="9"/>
      <c r="W162" s="23">
        <f t="shared" si="238"/>
        <v>2000</v>
      </c>
      <c r="X162">
        <f t="shared" si="235"/>
        <v>1689.5</v>
      </c>
      <c r="Y162" s="3">
        <f t="shared" si="239"/>
        <v>1689.13</v>
      </c>
      <c r="Z162">
        <f t="shared" si="240"/>
        <v>1688.9</v>
      </c>
      <c r="AA162">
        <f t="shared" si="241"/>
        <v>1689.3</v>
      </c>
    </row>
    <row r="163" spans="1:27">
      <c r="A163" s="9"/>
      <c r="B163" s="10">
        <f t="shared" si="231"/>
        <v>2200</v>
      </c>
      <c r="C163" s="9">
        <f t="shared" si="236"/>
        <v>0.22</v>
      </c>
      <c r="D163" s="9">
        <f t="shared" si="242"/>
        <v>0.17</v>
      </c>
      <c r="E163" s="9">
        <f t="shared" si="243"/>
        <v>1.83</v>
      </c>
      <c r="F163" s="9">
        <f t="shared" si="244"/>
        <v>1.7</v>
      </c>
      <c r="G163" s="9">
        <f t="shared" ref="G163:H163" si="266">G162</f>
        <v>0.3</v>
      </c>
      <c r="H163" s="9">
        <f t="shared" si="266"/>
        <v>0.23</v>
      </c>
      <c r="I163" s="9">
        <v>1.4999999999999999E-2</v>
      </c>
      <c r="J163" s="9">
        <f t="shared" si="249"/>
        <v>0.01</v>
      </c>
      <c r="K163" s="9" t="str">
        <f t="shared" si="245"/>
        <v>1/100</v>
      </c>
      <c r="L163" s="9" t="str">
        <f t="shared" ref="L163:N163" si="267">L162</f>
        <v>U60</v>
      </c>
      <c r="M163" s="9">
        <f t="shared" si="267"/>
        <v>0.1</v>
      </c>
      <c r="N163" s="9">
        <f t="shared" si="267"/>
        <v>0.12</v>
      </c>
      <c r="O163" s="9">
        <f t="shared" si="237"/>
        <v>0.3</v>
      </c>
      <c r="P163" s="9">
        <f t="shared" si="251"/>
        <v>0.6</v>
      </c>
      <c r="Q163" s="9">
        <f t="shared" si="246"/>
        <v>1687.3</v>
      </c>
      <c r="R163" s="9">
        <f t="shared" si="233"/>
        <v>1687</v>
      </c>
      <c r="S163" s="9">
        <f t="shared" si="247"/>
        <v>1686.9</v>
      </c>
      <c r="T163" s="14">
        <f t="shared" si="234"/>
        <v>1687.13</v>
      </c>
      <c r="U163" s="9"/>
      <c r="W163" s="23">
        <f t="shared" si="238"/>
        <v>2200</v>
      </c>
      <c r="X163">
        <f t="shared" si="235"/>
        <v>1687.5</v>
      </c>
      <c r="Y163" s="3">
        <f t="shared" si="239"/>
        <v>1687.13</v>
      </c>
      <c r="Z163">
        <f t="shared" si="240"/>
        <v>1686.9</v>
      </c>
      <c r="AA163">
        <f t="shared" si="241"/>
        <v>1687.3</v>
      </c>
    </row>
    <row r="164" spans="1:27">
      <c r="A164" s="9"/>
      <c r="B164" s="10">
        <f t="shared" si="231"/>
        <v>2400</v>
      </c>
      <c r="C164" s="9">
        <f t="shared" si="236"/>
        <v>0.22</v>
      </c>
      <c r="D164" s="9">
        <f t="shared" si="242"/>
        <v>0.17</v>
      </c>
      <c r="E164" s="9">
        <f t="shared" si="243"/>
        <v>1.83</v>
      </c>
      <c r="F164" s="9">
        <f t="shared" si="244"/>
        <v>1.7</v>
      </c>
      <c r="G164" s="9">
        <f t="shared" ref="G164:H164" si="268">G163</f>
        <v>0.3</v>
      </c>
      <c r="H164" s="9">
        <f t="shared" si="268"/>
        <v>0.23</v>
      </c>
      <c r="I164" s="9">
        <v>1.4999999999999999E-2</v>
      </c>
      <c r="J164" s="9">
        <f t="shared" si="249"/>
        <v>0.01</v>
      </c>
      <c r="K164" s="9" t="str">
        <f t="shared" si="245"/>
        <v>1/100</v>
      </c>
      <c r="L164" s="9" t="str">
        <f t="shared" ref="L164:N164" si="269">L163</f>
        <v>U60</v>
      </c>
      <c r="M164" s="9">
        <f t="shared" si="269"/>
        <v>0.1</v>
      </c>
      <c r="N164" s="9">
        <f t="shared" si="269"/>
        <v>0.12</v>
      </c>
      <c r="O164" s="9">
        <f t="shared" si="237"/>
        <v>0.3</v>
      </c>
      <c r="P164" s="9">
        <f t="shared" si="251"/>
        <v>0.6</v>
      </c>
      <c r="Q164" s="9">
        <f t="shared" si="246"/>
        <v>1685.6499999999999</v>
      </c>
      <c r="R164" s="9">
        <f t="shared" si="233"/>
        <v>1685.35</v>
      </c>
      <c r="S164" s="9">
        <f t="shared" si="247"/>
        <v>1685.25</v>
      </c>
      <c r="T164" s="14">
        <f t="shared" si="234"/>
        <v>1685.48</v>
      </c>
      <c r="U164" s="9"/>
      <c r="W164" s="23">
        <f t="shared" si="238"/>
        <v>2400</v>
      </c>
      <c r="X164">
        <f t="shared" si="235"/>
        <v>1685.85</v>
      </c>
      <c r="Y164" s="3">
        <f t="shared" si="239"/>
        <v>1685.48</v>
      </c>
      <c r="Z164">
        <f t="shared" si="240"/>
        <v>1685.25</v>
      </c>
      <c r="AA164">
        <f t="shared" si="241"/>
        <v>1685.6499999999999</v>
      </c>
    </row>
    <row r="165" spans="1:27">
      <c r="A165" s="9"/>
      <c r="B165" s="10">
        <f t="shared" si="231"/>
        <v>2600</v>
      </c>
      <c r="C165" s="9">
        <f t="shared" si="236"/>
        <v>0.22</v>
      </c>
      <c r="D165" s="9">
        <f t="shared" si="242"/>
        <v>0.17</v>
      </c>
      <c r="E165" s="9">
        <f t="shared" si="243"/>
        <v>1.83</v>
      </c>
      <c r="F165" s="9">
        <f t="shared" si="244"/>
        <v>1.7</v>
      </c>
      <c r="G165" s="9">
        <f t="shared" ref="G165:H165" si="270">G164</f>
        <v>0.3</v>
      </c>
      <c r="H165" s="9">
        <f t="shared" si="270"/>
        <v>0.23</v>
      </c>
      <c r="I165" s="9">
        <v>1.4999999999999999E-2</v>
      </c>
      <c r="J165" s="9">
        <f t="shared" si="249"/>
        <v>0.01</v>
      </c>
      <c r="K165" s="9" t="str">
        <f t="shared" si="245"/>
        <v>1/100</v>
      </c>
      <c r="L165" s="9" t="str">
        <f t="shared" ref="L165:N165" si="271">L164</f>
        <v>U60</v>
      </c>
      <c r="M165" s="9">
        <f t="shared" si="271"/>
        <v>0.1</v>
      </c>
      <c r="N165" s="9">
        <f t="shared" si="271"/>
        <v>0.12</v>
      </c>
      <c r="O165" s="9">
        <f t="shared" si="237"/>
        <v>0.3</v>
      </c>
      <c r="P165" s="9">
        <f t="shared" si="251"/>
        <v>0.6</v>
      </c>
      <c r="Q165" s="9">
        <f t="shared" si="246"/>
        <v>1683.8</v>
      </c>
      <c r="R165" s="9">
        <f t="shared" si="233"/>
        <v>1683.5</v>
      </c>
      <c r="S165" s="9">
        <f t="shared" si="247"/>
        <v>1683.4</v>
      </c>
      <c r="T165" s="14">
        <f t="shared" si="234"/>
        <v>1683.63</v>
      </c>
      <c r="U165" s="9"/>
      <c r="W165" s="23">
        <f t="shared" si="238"/>
        <v>2600</v>
      </c>
      <c r="X165">
        <f t="shared" si="235"/>
        <v>1684</v>
      </c>
      <c r="Y165" s="3">
        <f t="shared" si="239"/>
        <v>1683.63</v>
      </c>
      <c r="Z165">
        <f t="shared" si="240"/>
        <v>1683.4</v>
      </c>
      <c r="AA165">
        <f t="shared" si="241"/>
        <v>1683.8</v>
      </c>
    </row>
    <row r="166" spans="1:27">
      <c r="A166" s="9"/>
      <c r="B166" s="10">
        <f t="shared" si="231"/>
        <v>2800</v>
      </c>
      <c r="C166" s="9">
        <f t="shared" si="236"/>
        <v>0.22</v>
      </c>
      <c r="D166" s="9">
        <f t="shared" si="242"/>
        <v>0.17</v>
      </c>
      <c r="E166" s="9">
        <f t="shared" si="243"/>
        <v>1.83</v>
      </c>
      <c r="F166" s="9">
        <f t="shared" si="244"/>
        <v>1.7</v>
      </c>
      <c r="G166" s="9">
        <f t="shared" ref="G166:H166" si="272">G165</f>
        <v>0.3</v>
      </c>
      <c r="H166" s="9">
        <f t="shared" si="272"/>
        <v>0.23</v>
      </c>
      <c r="I166" s="9">
        <v>1.4999999999999999E-2</v>
      </c>
      <c r="J166" s="9">
        <f t="shared" si="249"/>
        <v>0.01</v>
      </c>
      <c r="K166" s="9" t="str">
        <f t="shared" si="245"/>
        <v>1/100</v>
      </c>
      <c r="L166" s="9" t="str">
        <f t="shared" ref="L166:N166" si="273">L165</f>
        <v>U60</v>
      </c>
      <c r="M166" s="9">
        <f t="shared" si="273"/>
        <v>0.1</v>
      </c>
      <c r="N166" s="9">
        <f t="shared" si="273"/>
        <v>0.12</v>
      </c>
      <c r="O166" s="9">
        <f t="shared" si="237"/>
        <v>0.3</v>
      </c>
      <c r="P166" s="9">
        <f t="shared" si="251"/>
        <v>0.6</v>
      </c>
      <c r="Q166" s="9">
        <f t="shared" si="246"/>
        <v>1682.3</v>
      </c>
      <c r="R166" s="9">
        <f t="shared" si="233"/>
        <v>1682</v>
      </c>
      <c r="S166" s="9">
        <f t="shared" si="247"/>
        <v>1681.9</v>
      </c>
      <c r="T166" s="14">
        <f t="shared" si="234"/>
        <v>1682.13</v>
      </c>
      <c r="U166" s="9"/>
      <c r="W166" s="23">
        <f t="shared" si="238"/>
        <v>2800</v>
      </c>
      <c r="X166">
        <f t="shared" si="235"/>
        <v>1682.5</v>
      </c>
      <c r="Y166" s="3">
        <f t="shared" si="239"/>
        <v>1682.13</v>
      </c>
      <c r="Z166">
        <f t="shared" si="240"/>
        <v>1681.9</v>
      </c>
      <c r="AA166">
        <f t="shared" si="241"/>
        <v>1682.3</v>
      </c>
    </row>
    <row r="167" spans="1:27">
      <c r="A167" s="9"/>
      <c r="B167" s="10">
        <f t="shared" si="231"/>
        <v>3000</v>
      </c>
      <c r="C167" s="9">
        <f t="shared" si="236"/>
        <v>0.22</v>
      </c>
      <c r="D167" s="9">
        <f t="shared" si="242"/>
        <v>0.17</v>
      </c>
      <c r="E167" s="9">
        <f t="shared" si="243"/>
        <v>1.83</v>
      </c>
      <c r="F167" s="9">
        <f t="shared" si="244"/>
        <v>1.7</v>
      </c>
      <c r="G167" s="9">
        <f t="shared" ref="G167:H167" si="274">G166</f>
        <v>0.3</v>
      </c>
      <c r="H167" s="9">
        <f t="shared" si="274"/>
        <v>0.23</v>
      </c>
      <c r="I167" s="9">
        <v>1.4999999999999999E-2</v>
      </c>
      <c r="J167" s="9">
        <f t="shared" si="249"/>
        <v>0.01</v>
      </c>
      <c r="K167" s="9" t="str">
        <f t="shared" si="245"/>
        <v>1/100</v>
      </c>
      <c r="L167" s="9" t="str">
        <f t="shared" ref="L167:N167" si="275">L166</f>
        <v>U60</v>
      </c>
      <c r="M167" s="9">
        <f t="shared" si="275"/>
        <v>0.1</v>
      </c>
      <c r="N167" s="9">
        <f t="shared" si="275"/>
        <v>0.12</v>
      </c>
      <c r="O167" s="9">
        <f t="shared" si="237"/>
        <v>0.3</v>
      </c>
      <c r="P167" s="9">
        <f t="shared" si="251"/>
        <v>0.6</v>
      </c>
      <c r="Q167" s="9">
        <f t="shared" si="246"/>
        <v>1681.3</v>
      </c>
      <c r="R167" s="9">
        <f t="shared" si="233"/>
        <v>1681</v>
      </c>
      <c r="S167" s="9">
        <f t="shared" si="247"/>
        <v>1680.9</v>
      </c>
      <c r="T167" s="14">
        <f t="shared" si="234"/>
        <v>1681.13</v>
      </c>
      <c r="U167" s="9"/>
      <c r="W167" s="23">
        <f t="shared" si="238"/>
        <v>3000</v>
      </c>
      <c r="X167">
        <f t="shared" si="235"/>
        <v>1681.5</v>
      </c>
      <c r="Y167" s="3">
        <f t="shared" si="239"/>
        <v>1681.13</v>
      </c>
      <c r="Z167">
        <f t="shared" si="240"/>
        <v>1680.9</v>
      </c>
      <c r="AA167">
        <f t="shared" si="241"/>
        <v>1681.3</v>
      </c>
    </row>
    <row r="168" spans="1:27">
      <c r="A168" s="9"/>
      <c r="B168" s="10">
        <f t="shared" si="231"/>
        <v>3200</v>
      </c>
      <c r="C168" s="9">
        <f t="shared" si="236"/>
        <v>0.22</v>
      </c>
      <c r="D168" s="9">
        <f t="shared" si="242"/>
        <v>0.17</v>
      </c>
      <c r="E168" s="9">
        <f t="shared" si="243"/>
        <v>1.83</v>
      </c>
      <c r="F168" s="9">
        <f t="shared" si="244"/>
        <v>1.7</v>
      </c>
      <c r="G168" s="9">
        <f t="shared" ref="G168:H168" si="276">G167</f>
        <v>0.3</v>
      </c>
      <c r="H168" s="9">
        <f t="shared" si="276"/>
        <v>0.23</v>
      </c>
      <c r="I168" s="9">
        <v>1.4999999999999999E-2</v>
      </c>
      <c r="J168" s="9">
        <f t="shared" si="249"/>
        <v>0.01</v>
      </c>
      <c r="K168" s="9" t="str">
        <f t="shared" si="245"/>
        <v>1/100</v>
      </c>
      <c r="L168" s="9" t="str">
        <f t="shared" ref="L168:N168" si="277">L167</f>
        <v>U60</v>
      </c>
      <c r="M168" s="9">
        <f t="shared" si="277"/>
        <v>0.1</v>
      </c>
      <c r="N168" s="9">
        <f t="shared" si="277"/>
        <v>0.12</v>
      </c>
      <c r="O168" s="9">
        <f t="shared" si="237"/>
        <v>0.3</v>
      </c>
      <c r="P168" s="9">
        <f t="shared" si="251"/>
        <v>0.6</v>
      </c>
      <c r="Q168" s="9">
        <f t="shared" si="246"/>
        <v>1679.8</v>
      </c>
      <c r="R168" s="9">
        <f t="shared" si="233"/>
        <v>1679.5</v>
      </c>
      <c r="S168" s="9">
        <f t="shared" si="247"/>
        <v>1679.4</v>
      </c>
      <c r="T168" s="14">
        <f t="shared" si="234"/>
        <v>1679.63</v>
      </c>
      <c r="U168" s="9"/>
      <c r="W168" s="23">
        <f t="shared" si="238"/>
        <v>3200</v>
      </c>
      <c r="X168">
        <f t="shared" si="235"/>
        <v>1680</v>
      </c>
      <c r="Y168" s="3">
        <f t="shared" si="239"/>
        <v>1679.63</v>
      </c>
      <c r="Z168">
        <f t="shared" si="240"/>
        <v>1679.4</v>
      </c>
      <c r="AA168">
        <f t="shared" si="241"/>
        <v>1679.8</v>
      </c>
    </row>
    <row r="169" spans="1:27">
      <c r="A169" s="9"/>
      <c r="B169" s="10">
        <f t="shared" si="231"/>
        <v>3400</v>
      </c>
      <c r="C169" s="9">
        <f t="shared" si="236"/>
        <v>0.22</v>
      </c>
      <c r="D169" s="9">
        <f t="shared" si="242"/>
        <v>0.17</v>
      </c>
      <c r="E169" s="9">
        <f t="shared" si="243"/>
        <v>1.83</v>
      </c>
      <c r="F169" s="9">
        <f t="shared" si="244"/>
        <v>1.7</v>
      </c>
      <c r="G169" s="9">
        <f t="shared" ref="G169:H169" si="278">G168</f>
        <v>0.3</v>
      </c>
      <c r="H169" s="9">
        <f t="shared" si="278"/>
        <v>0.23</v>
      </c>
      <c r="I169" s="9">
        <v>1.4999999999999999E-2</v>
      </c>
      <c r="J169" s="9">
        <f t="shared" si="249"/>
        <v>0.01</v>
      </c>
      <c r="K169" s="9" t="str">
        <f t="shared" si="245"/>
        <v>1/100</v>
      </c>
      <c r="L169" s="9" t="str">
        <f t="shared" ref="L169:N169" si="279">L168</f>
        <v>U60</v>
      </c>
      <c r="M169" s="9">
        <f t="shared" si="279"/>
        <v>0.1</v>
      </c>
      <c r="N169" s="9">
        <f t="shared" si="279"/>
        <v>0.12</v>
      </c>
      <c r="O169" s="9">
        <f t="shared" si="237"/>
        <v>0.3</v>
      </c>
      <c r="P169" s="9">
        <f t="shared" si="251"/>
        <v>0.6</v>
      </c>
      <c r="Q169" s="9">
        <f t="shared" si="246"/>
        <v>1677.8999999999999</v>
      </c>
      <c r="R169" s="9">
        <f t="shared" si="233"/>
        <v>1677.6</v>
      </c>
      <c r="S169" s="9">
        <f t="shared" si="247"/>
        <v>1677.5</v>
      </c>
      <c r="T169" s="14">
        <f t="shared" si="234"/>
        <v>1677.73</v>
      </c>
      <c r="U169" s="9"/>
      <c r="W169" s="23">
        <f t="shared" si="238"/>
        <v>3400</v>
      </c>
      <c r="X169">
        <f t="shared" si="235"/>
        <v>1678.1</v>
      </c>
      <c r="Y169" s="3">
        <f t="shared" si="239"/>
        <v>1677.73</v>
      </c>
      <c r="Z169">
        <f t="shared" si="240"/>
        <v>1677.5</v>
      </c>
      <c r="AA169">
        <f t="shared" si="241"/>
        <v>1677.8999999999999</v>
      </c>
    </row>
    <row r="170" spans="1:27">
      <c r="A170" s="9"/>
      <c r="B170" s="10">
        <f t="shared" si="231"/>
        <v>3600</v>
      </c>
      <c r="C170" s="9">
        <f t="shared" si="236"/>
        <v>0.22</v>
      </c>
      <c r="D170" s="9">
        <f t="shared" si="242"/>
        <v>0.17</v>
      </c>
      <c r="E170" s="9">
        <f t="shared" si="243"/>
        <v>1.83</v>
      </c>
      <c r="F170" s="9">
        <f t="shared" si="244"/>
        <v>1.7</v>
      </c>
      <c r="G170" s="9">
        <f t="shared" ref="G170:H170" si="280">G169</f>
        <v>0.3</v>
      </c>
      <c r="H170" s="9">
        <f t="shared" si="280"/>
        <v>0.23</v>
      </c>
      <c r="I170" s="9">
        <v>1.4999999999999999E-2</v>
      </c>
      <c r="J170" s="9">
        <f t="shared" si="249"/>
        <v>0.01</v>
      </c>
      <c r="K170" s="9" t="str">
        <f t="shared" si="245"/>
        <v>1/100</v>
      </c>
      <c r="L170" s="9" t="str">
        <f t="shared" ref="L170:N170" si="281">L169</f>
        <v>U60</v>
      </c>
      <c r="M170" s="9">
        <f t="shared" si="281"/>
        <v>0.1</v>
      </c>
      <c r="N170" s="9">
        <f t="shared" si="281"/>
        <v>0.12</v>
      </c>
      <c r="O170" s="9">
        <f t="shared" si="237"/>
        <v>0.3</v>
      </c>
      <c r="P170" s="9">
        <f t="shared" si="251"/>
        <v>0.6</v>
      </c>
      <c r="Q170" s="9">
        <f t="shared" si="246"/>
        <v>1676.18</v>
      </c>
      <c r="R170" s="9">
        <f t="shared" si="233"/>
        <v>1675.88</v>
      </c>
      <c r="S170" s="9">
        <f t="shared" si="247"/>
        <v>1675.7800000000002</v>
      </c>
      <c r="T170" s="14">
        <f t="shared" si="234"/>
        <v>1676.0100000000002</v>
      </c>
      <c r="U170" s="9"/>
      <c r="W170" s="23">
        <f t="shared" si="238"/>
        <v>3600</v>
      </c>
      <c r="X170">
        <f t="shared" si="235"/>
        <v>1676.38</v>
      </c>
      <c r="Y170" s="3">
        <f t="shared" si="239"/>
        <v>1676.0100000000002</v>
      </c>
      <c r="Z170">
        <f t="shared" si="240"/>
        <v>1675.7800000000002</v>
      </c>
      <c r="AA170">
        <f t="shared" si="241"/>
        <v>1676.18</v>
      </c>
    </row>
    <row r="171" spans="1:27">
      <c r="A171" s="9"/>
      <c r="B171" s="10">
        <f t="shared" si="231"/>
        <v>3800</v>
      </c>
      <c r="C171" s="9">
        <f t="shared" si="236"/>
        <v>0.22</v>
      </c>
      <c r="D171" s="9">
        <f t="shared" si="242"/>
        <v>0.17</v>
      </c>
      <c r="E171" s="9">
        <f t="shared" si="243"/>
        <v>1.83</v>
      </c>
      <c r="F171" s="9">
        <f t="shared" si="244"/>
        <v>1.7</v>
      </c>
      <c r="G171" s="9">
        <f t="shared" ref="G171:H171" si="282">G170</f>
        <v>0.3</v>
      </c>
      <c r="H171" s="9">
        <f t="shared" si="282"/>
        <v>0.23</v>
      </c>
      <c r="I171" s="9">
        <v>1.4999999999999999E-2</v>
      </c>
      <c r="J171" s="9">
        <f t="shared" si="249"/>
        <v>0.01</v>
      </c>
      <c r="K171" s="9" t="str">
        <f t="shared" si="245"/>
        <v>1/100</v>
      </c>
      <c r="L171" s="9" t="str">
        <f t="shared" ref="L171:N171" si="283">L170</f>
        <v>U60</v>
      </c>
      <c r="M171" s="9">
        <f t="shared" si="283"/>
        <v>0.1</v>
      </c>
      <c r="N171" s="9">
        <f t="shared" si="283"/>
        <v>0.12</v>
      </c>
      <c r="O171" s="9">
        <f t="shared" si="237"/>
        <v>0.3</v>
      </c>
      <c r="P171" s="9">
        <f t="shared" si="251"/>
        <v>0.6</v>
      </c>
      <c r="Q171" s="9">
        <f t="shared" si="246"/>
        <v>1674.53</v>
      </c>
      <c r="R171" s="9">
        <f t="shared" si="233"/>
        <v>1674.23</v>
      </c>
      <c r="S171" s="9">
        <f t="shared" si="247"/>
        <v>1674.13</v>
      </c>
      <c r="T171" s="14">
        <f t="shared" si="234"/>
        <v>1674.3600000000001</v>
      </c>
      <c r="U171" s="9"/>
      <c r="W171" s="23">
        <f t="shared" si="238"/>
        <v>3800</v>
      </c>
      <c r="X171">
        <f t="shared" si="235"/>
        <v>1674.73</v>
      </c>
      <c r="Y171" s="3">
        <f t="shared" si="239"/>
        <v>1674.3600000000001</v>
      </c>
      <c r="Z171">
        <f t="shared" si="240"/>
        <v>1674.13</v>
      </c>
      <c r="AA171">
        <f t="shared" si="241"/>
        <v>1674.53</v>
      </c>
    </row>
    <row r="172" spans="1:27">
      <c r="A172" s="9"/>
      <c r="B172" s="10">
        <f t="shared" si="231"/>
        <v>4000</v>
      </c>
      <c r="C172" s="9">
        <f t="shared" si="236"/>
        <v>0.22</v>
      </c>
      <c r="D172" s="9">
        <f t="shared" si="242"/>
        <v>0.17</v>
      </c>
      <c r="E172" s="9">
        <f t="shared" si="243"/>
        <v>1.83</v>
      </c>
      <c r="F172" s="9">
        <f t="shared" si="244"/>
        <v>1.7</v>
      </c>
      <c r="G172" s="9">
        <f t="shared" ref="G172:H172" si="284">G171</f>
        <v>0.3</v>
      </c>
      <c r="H172" s="9">
        <f t="shared" si="284"/>
        <v>0.23</v>
      </c>
      <c r="I172" s="9">
        <v>1.4999999999999999E-2</v>
      </c>
      <c r="J172" s="9">
        <f t="shared" si="249"/>
        <v>0.01</v>
      </c>
      <c r="K172" s="9" t="str">
        <f t="shared" si="245"/>
        <v>1/100</v>
      </c>
      <c r="L172" s="9" t="str">
        <f t="shared" ref="L172:N172" si="285">L171</f>
        <v>U60</v>
      </c>
      <c r="M172" s="9">
        <f t="shared" si="285"/>
        <v>0.1</v>
      </c>
      <c r="N172" s="9">
        <f t="shared" si="285"/>
        <v>0.12</v>
      </c>
      <c r="O172" s="9">
        <f t="shared" si="237"/>
        <v>0.3</v>
      </c>
      <c r="P172" s="9">
        <f t="shared" si="251"/>
        <v>0.6</v>
      </c>
      <c r="Q172" s="9">
        <f>H22</f>
        <v>1673.3</v>
      </c>
      <c r="R172" s="19"/>
      <c r="S172" s="9">
        <f>Q172-0.3</f>
        <v>1673</v>
      </c>
      <c r="T172" s="14">
        <f t="shared" si="234"/>
        <v>1673.23</v>
      </c>
      <c r="U172" s="9"/>
      <c r="W172" s="23">
        <f t="shared" si="238"/>
        <v>4000</v>
      </c>
      <c r="X172">
        <f t="shared" si="235"/>
        <v>1673.6</v>
      </c>
      <c r="Y172" s="3">
        <f t="shared" si="239"/>
        <v>1673.23</v>
      </c>
      <c r="Z172">
        <f t="shared" si="240"/>
        <v>1673</v>
      </c>
      <c r="AA172">
        <f t="shared" si="241"/>
        <v>1673.3</v>
      </c>
    </row>
    <row r="173" spans="1:27">
      <c r="A173" s="9"/>
      <c r="B173" s="10">
        <f t="shared" si="231"/>
        <v>4200</v>
      </c>
      <c r="C173" s="9">
        <f t="shared" si="236"/>
        <v>0.22</v>
      </c>
      <c r="D173" s="9">
        <f t="shared" si="242"/>
        <v>0.17</v>
      </c>
      <c r="E173" s="9">
        <f t="shared" si="243"/>
        <v>1.83</v>
      </c>
      <c r="F173" s="9">
        <f t="shared" si="244"/>
        <v>1.7</v>
      </c>
      <c r="G173" s="9">
        <f t="shared" ref="G173:H173" si="286">G172</f>
        <v>0.3</v>
      </c>
      <c r="H173" s="9">
        <f t="shared" si="286"/>
        <v>0.23</v>
      </c>
      <c r="I173" s="9">
        <v>1.4999999999999999E-2</v>
      </c>
      <c r="J173" s="9">
        <f t="shared" si="249"/>
        <v>0.01</v>
      </c>
      <c r="K173" s="9" t="str">
        <f t="shared" si="245"/>
        <v>1/100</v>
      </c>
      <c r="L173" s="9" t="str">
        <f t="shared" ref="L173:N173" si="287">L172</f>
        <v>U60</v>
      </c>
      <c r="M173" s="9">
        <f t="shared" si="287"/>
        <v>0.1</v>
      </c>
      <c r="N173" s="9">
        <f t="shared" si="287"/>
        <v>0.12</v>
      </c>
      <c r="O173" s="9">
        <f t="shared" si="237"/>
        <v>0.3</v>
      </c>
      <c r="P173" s="9">
        <f t="shared" si="251"/>
        <v>0.6</v>
      </c>
      <c r="Q173" s="9">
        <f>H23</f>
        <v>1672.2</v>
      </c>
      <c r="R173" s="19"/>
      <c r="S173" s="9">
        <f t="shared" ref="S173:S174" si="288">Q173-0.3</f>
        <v>1671.9</v>
      </c>
      <c r="T173" s="14">
        <f t="shared" si="234"/>
        <v>1672.13</v>
      </c>
      <c r="U173" s="9"/>
      <c r="W173" s="23">
        <f t="shared" si="238"/>
        <v>4200</v>
      </c>
      <c r="X173">
        <f t="shared" si="235"/>
        <v>1672.5</v>
      </c>
      <c r="Y173" s="3">
        <f t="shared" si="239"/>
        <v>1672.13</v>
      </c>
      <c r="Z173">
        <f t="shared" si="240"/>
        <v>1671.9</v>
      </c>
      <c r="AA173">
        <f t="shared" si="241"/>
        <v>1672.2</v>
      </c>
    </row>
    <row r="174" spans="1:27">
      <c r="A174" s="9"/>
      <c r="B174" s="10">
        <f t="shared" si="231"/>
        <v>4400</v>
      </c>
      <c r="C174" s="9">
        <f t="shared" si="236"/>
        <v>0.22</v>
      </c>
      <c r="D174" s="9">
        <f t="shared" si="242"/>
        <v>0.17</v>
      </c>
      <c r="E174" s="9">
        <f t="shared" si="243"/>
        <v>1.83</v>
      </c>
      <c r="F174" s="9">
        <f t="shared" si="244"/>
        <v>1.7</v>
      </c>
      <c r="G174" s="9">
        <f t="shared" ref="G174:H174" si="289">G173</f>
        <v>0.3</v>
      </c>
      <c r="H174" s="9">
        <f t="shared" si="289"/>
        <v>0.23</v>
      </c>
      <c r="I174" s="9">
        <v>1.4999999999999999E-2</v>
      </c>
      <c r="J174" s="9">
        <f t="shared" si="249"/>
        <v>0.01</v>
      </c>
      <c r="K174" s="9" t="str">
        <f t="shared" si="245"/>
        <v>1/100</v>
      </c>
      <c r="L174" s="9" t="str">
        <f t="shared" ref="L174:N174" si="290">L173</f>
        <v>U60</v>
      </c>
      <c r="M174" s="9">
        <f t="shared" si="290"/>
        <v>0.1</v>
      </c>
      <c r="N174" s="9">
        <f t="shared" si="290"/>
        <v>0.12</v>
      </c>
      <c r="O174" s="9">
        <f t="shared" si="237"/>
        <v>0.3</v>
      </c>
      <c r="P174" s="9">
        <f t="shared" si="251"/>
        <v>0.6</v>
      </c>
      <c r="Q174" s="9">
        <f>H24</f>
        <v>1671.25</v>
      </c>
      <c r="R174" s="19"/>
      <c r="S174" s="9">
        <f t="shared" si="288"/>
        <v>1670.95</v>
      </c>
      <c r="T174" s="14">
        <f t="shared" si="234"/>
        <v>1671.18</v>
      </c>
      <c r="U174" s="9"/>
      <c r="W174" s="23">
        <f t="shared" si="238"/>
        <v>4400</v>
      </c>
      <c r="X174">
        <f t="shared" si="235"/>
        <v>1671.55</v>
      </c>
      <c r="Y174" s="3">
        <f t="shared" si="239"/>
        <v>1671.18</v>
      </c>
      <c r="Z174">
        <f t="shared" si="240"/>
        <v>1670.95</v>
      </c>
      <c r="AA174">
        <f t="shared" si="241"/>
        <v>1671.25</v>
      </c>
    </row>
    <row r="175" spans="1:27">
      <c r="A175" s="16"/>
      <c r="B175" s="21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36"/>
      <c r="S175" s="16"/>
      <c r="T175" s="22"/>
      <c r="U175" s="16"/>
      <c r="W175" s="23"/>
      <c r="Y175" s="3"/>
    </row>
    <row r="176" spans="1:27">
      <c r="A176" s="16"/>
      <c r="B176" s="21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36"/>
      <c r="S176" s="16"/>
      <c r="T176" s="22"/>
      <c r="U176" s="16"/>
      <c r="W176" s="23"/>
      <c r="Y176" s="3"/>
    </row>
    <row r="177" spans="1:25">
      <c r="A177" s="16"/>
      <c r="B177" s="43" t="s">
        <v>336</v>
      </c>
      <c r="C177" s="43" t="s">
        <v>337</v>
      </c>
      <c r="D177" s="43"/>
      <c r="E177" s="43" t="s">
        <v>338</v>
      </c>
      <c r="F177" s="43"/>
      <c r="G177" s="43" t="s">
        <v>339</v>
      </c>
      <c r="H177" s="43"/>
      <c r="I177" s="9" t="s">
        <v>340</v>
      </c>
      <c r="J177" s="9" t="s">
        <v>289</v>
      </c>
      <c r="K177" s="9" t="s">
        <v>863</v>
      </c>
      <c r="L177" s="43" t="s">
        <v>786</v>
      </c>
      <c r="M177" s="43"/>
      <c r="N177" s="43" t="s">
        <v>793</v>
      </c>
      <c r="O177" s="43"/>
      <c r="P177" s="43" t="s">
        <v>794</v>
      </c>
      <c r="Q177" s="43"/>
      <c r="R177" s="9" t="s">
        <v>789</v>
      </c>
      <c r="S177" s="9" t="s">
        <v>790</v>
      </c>
      <c r="T177" s="22"/>
      <c r="U177" s="16"/>
      <c r="W177" s="23"/>
      <c r="Y177" s="3"/>
    </row>
    <row r="178" spans="1:25" ht="15.6">
      <c r="A178" s="16"/>
      <c r="B178" s="43"/>
      <c r="C178" s="9" t="s">
        <v>349</v>
      </c>
      <c r="D178" s="9" t="s">
        <v>348</v>
      </c>
      <c r="E178" s="9" t="s">
        <v>351</v>
      </c>
      <c r="F178" s="9" t="s">
        <v>352</v>
      </c>
      <c r="G178" s="9" t="s">
        <v>353</v>
      </c>
      <c r="H178" s="9" t="s">
        <v>354</v>
      </c>
      <c r="I178" s="9" t="s">
        <v>309</v>
      </c>
      <c r="J178" s="9" t="s">
        <v>308</v>
      </c>
      <c r="K178" s="9" t="s">
        <v>864</v>
      </c>
      <c r="L178" s="9" t="s">
        <v>787</v>
      </c>
      <c r="M178" s="9" t="s">
        <v>788</v>
      </c>
      <c r="N178" s="9" t="s">
        <v>798</v>
      </c>
      <c r="O178" s="9" t="s">
        <v>799</v>
      </c>
      <c r="P178" s="9" t="s">
        <v>800</v>
      </c>
      <c r="Q178" s="9" t="s">
        <v>801</v>
      </c>
      <c r="R178" s="9" t="s">
        <v>792</v>
      </c>
      <c r="S178" s="9" t="s">
        <v>791</v>
      </c>
      <c r="T178" s="22"/>
      <c r="U178" s="16"/>
      <c r="W178" s="23"/>
      <c r="Y178" s="3"/>
    </row>
    <row r="179" spans="1:25" ht="16.2">
      <c r="A179" s="16"/>
      <c r="B179" s="9" t="s">
        <v>356</v>
      </c>
      <c r="C179" s="9" t="s">
        <v>358</v>
      </c>
      <c r="D179" s="9" t="s">
        <v>358</v>
      </c>
      <c r="E179" s="9" t="s">
        <v>357</v>
      </c>
      <c r="F179" s="9" t="s">
        <v>357</v>
      </c>
      <c r="G179" s="9" t="s">
        <v>307</v>
      </c>
      <c r="H179" s="9" t="s">
        <v>307</v>
      </c>
      <c r="I179" s="9"/>
      <c r="J179" s="9"/>
      <c r="K179" s="9" t="s">
        <v>795</v>
      </c>
      <c r="L179" s="9" t="s">
        <v>796</v>
      </c>
      <c r="M179" s="9" t="s">
        <v>796</v>
      </c>
      <c r="N179" s="9" t="s">
        <v>797</v>
      </c>
      <c r="O179" s="9"/>
      <c r="P179" s="9" t="s">
        <v>797</v>
      </c>
      <c r="Q179" s="9"/>
      <c r="R179" s="9" t="s">
        <v>797</v>
      </c>
      <c r="S179" s="9" t="s">
        <v>797</v>
      </c>
      <c r="T179" s="22"/>
      <c r="U179" s="16"/>
      <c r="W179" s="23"/>
      <c r="Y179" s="3"/>
    </row>
    <row r="180" spans="1:25">
      <c r="A180" s="16"/>
      <c r="B180" s="10">
        <f t="shared" ref="B180:C202" si="291">B152</f>
        <v>0</v>
      </c>
      <c r="C180" s="9">
        <f t="shared" si="291"/>
        <v>0.22</v>
      </c>
      <c r="D180" s="9">
        <f t="shared" ref="D180:I180" si="292">D152</f>
        <v>0.17</v>
      </c>
      <c r="E180" s="9">
        <f t="shared" si="292"/>
        <v>1.83</v>
      </c>
      <c r="F180" s="9">
        <f t="shared" si="292"/>
        <v>1.7</v>
      </c>
      <c r="G180" s="9">
        <f t="shared" si="292"/>
        <v>0.3</v>
      </c>
      <c r="H180" s="9">
        <f t="shared" si="292"/>
        <v>0.23</v>
      </c>
      <c r="I180" s="9">
        <f t="shared" si="292"/>
        <v>1.4999999999999999E-2</v>
      </c>
      <c r="J180" s="9" t="str">
        <f>K152</f>
        <v>1/100</v>
      </c>
      <c r="K180" s="9" t="str">
        <f>L152</f>
        <v>U60</v>
      </c>
      <c r="L180" s="9">
        <f t="shared" ref="L180:L202" si="293">N152</f>
        <v>0.12</v>
      </c>
      <c r="M180" s="9">
        <f t="shared" ref="M180:M202" si="294">M152</f>
        <v>0.1</v>
      </c>
      <c r="N180" s="9">
        <v>0.94399999999999995</v>
      </c>
      <c r="O180" s="9">
        <v>0.78100000000000003</v>
      </c>
      <c r="P180" s="13">
        <f t="shared" ref="P180:Q180" si="295">L180/N180</f>
        <v>0.1271186440677966</v>
      </c>
      <c r="Q180" s="13">
        <f t="shared" si="295"/>
        <v>0.12804097311139565</v>
      </c>
      <c r="R180" s="19">
        <f>O152</f>
        <v>0.3</v>
      </c>
      <c r="S180" s="9">
        <f>P152</f>
        <v>0.6</v>
      </c>
      <c r="T180" s="22"/>
      <c r="U180" s="16"/>
      <c r="W180" s="23"/>
      <c r="Y180" s="3"/>
    </row>
    <row r="181" spans="1:25">
      <c r="A181" s="16"/>
      <c r="B181" s="10">
        <f t="shared" si="291"/>
        <v>200</v>
      </c>
      <c r="C181" s="9">
        <f t="shared" si="291"/>
        <v>0.22</v>
      </c>
      <c r="D181" s="9">
        <f t="shared" ref="D181:I190" si="296">D153</f>
        <v>0.17</v>
      </c>
      <c r="E181" s="9">
        <f t="shared" si="296"/>
        <v>1.83</v>
      </c>
      <c r="F181" s="9">
        <f t="shared" si="296"/>
        <v>1.7</v>
      </c>
      <c r="G181" s="9">
        <f t="shared" si="296"/>
        <v>0.3</v>
      </c>
      <c r="H181" s="9">
        <f t="shared" si="296"/>
        <v>0.23</v>
      </c>
      <c r="I181" s="9">
        <f t="shared" si="296"/>
        <v>1.4999999999999999E-2</v>
      </c>
      <c r="J181" s="9" t="str">
        <f t="shared" ref="J181:K181" si="297">K153</f>
        <v>1/100</v>
      </c>
      <c r="K181" s="9" t="str">
        <f t="shared" si="297"/>
        <v>U60</v>
      </c>
      <c r="L181" s="9">
        <f t="shared" si="293"/>
        <v>0.12</v>
      </c>
      <c r="M181" s="9">
        <f t="shared" si="294"/>
        <v>0.1</v>
      </c>
      <c r="N181" s="9">
        <v>0.94399999999999995</v>
      </c>
      <c r="O181" s="9">
        <v>0.78100000000000003</v>
      </c>
      <c r="P181" s="13">
        <f t="shared" ref="P181:P202" si="298">L181/N181</f>
        <v>0.1271186440677966</v>
      </c>
      <c r="Q181" s="13">
        <f t="shared" ref="Q181:Q202" si="299">M181/O181</f>
        <v>0.12804097311139565</v>
      </c>
      <c r="R181" s="19">
        <f t="shared" ref="R181:S181" si="300">O153</f>
        <v>0.3</v>
      </c>
      <c r="S181" s="9">
        <f t="shared" si="300"/>
        <v>0.6</v>
      </c>
      <c r="T181" s="22"/>
      <c r="U181" s="16"/>
      <c r="W181" s="23"/>
      <c r="Y181" s="3"/>
    </row>
    <row r="182" spans="1:25">
      <c r="A182" s="16"/>
      <c r="B182" s="10">
        <f t="shared" si="291"/>
        <v>400</v>
      </c>
      <c r="C182" s="9">
        <f t="shared" si="291"/>
        <v>0.22</v>
      </c>
      <c r="D182" s="9">
        <f t="shared" si="296"/>
        <v>0.17</v>
      </c>
      <c r="E182" s="9">
        <f t="shared" si="296"/>
        <v>1.83</v>
      </c>
      <c r="F182" s="9">
        <f t="shared" si="296"/>
        <v>1.7</v>
      </c>
      <c r="G182" s="9">
        <f t="shared" si="296"/>
        <v>0.3</v>
      </c>
      <c r="H182" s="9">
        <f t="shared" si="296"/>
        <v>0.23</v>
      </c>
      <c r="I182" s="9">
        <f t="shared" si="296"/>
        <v>1.4999999999999999E-2</v>
      </c>
      <c r="J182" s="9" t="str">
        <f t="shared" ref="J182:K182" si="301">K154</f>
        <v>1/100</v>
      </c>
      <c r="K182" s="9" t="str">
        <f t="shared" si="301"/>
        <v>U60</v>
      </c>
      <c r="L182" s="9">
        <f t="shared" si="293"/>
        <v>0.12</v>
      </c>
      <c r="M182" s="9">
        <f t="shared" si="294"/>
        <v>0.1</v>
      </c>
      <c r="N182" s="9">
        <v>0.94399999999999995</v>
      </c>
      <c r="O182" s="9">
        <v>0.78100000000000003</v>
      </c>
      <c r="P182" s="13">
        <f t="shared" si="298"/>
        <v>0.1271186440677966</v>
      </c>
      <c r="Q182" s="13">
        <f t="shared" si="299"/>
        <v>0.12804097311139565</v>
      </c>
      <c r="R182" s="19">
        <f t="shared" ref="R182:S182" si="302">O154</f>
        <v>0.3</v>
      </c>
      <c r="S182" s="9">
        <f t="shared" si="302"/>
        <v>0.6</v>
      </c>
      <c r="T182" s="22"/>
      <c r="U182" s="16"/>
      <c r="W182" s="23"/>
      <c r="Y182" s="3"/>
    </row>
    <row r="183" spans="1:25">
      <c r="A183" s="16"/>
      <c r="B183" s="10">
        <f t="shared" si="291"/>
        <v>600</v>
      </c>
      <c r="C183" s="9">
        <f t="shared" si="291"/>
        <v>0.22</v>
      </c>
      <c r="D183" s="9">
        <f t="shared" si="296"/>
        <v>0.17</v>
      </c>
      <c r="E183" s="9">
        <f t="shared" si="296"/>
        <v>1.83</v>
      </c>
      <c r="F183" s="9">
        <f t="shared" si="296"/>
        <v>1.7</v>
      </c>
      <c r="G183" s="9">
        <f t="shared" si="296"/>
        <v>0.3</v>
      </c>
      <c r="H183" s="9">
        <f t="shared" si="296"/>
        <v>0.23</v>
      </c>
      <c r="I183" s="9">
        <f t="shared" si="296"/>
        <v>1.4999999999999999E-2</v>
      </c>
      <c r="J183" s="9" t="str">
        <f t="shared" ref="J183:K183" si="303">K155</f>
        <v>1/100</v>
      </c>
      <c r="K183" s="9" t="str">
        <f t="shared" si="303"/>
        <v>U60</v>
      </c>
      <c r="L183" s="9">
        <f t="shared" si="293"/>
        <v>0.12</v>
      </c>
      <c r="M183" s="9">
        <f t="shared" si="294"/>
        <v>0.1</v>
      </c>
      <c r="N183" s="9">
        <v>0.94399999999999995</v>
      </c>
      <c r="O183" s="9">
        <v>0.78100000000000003</v>
      </c>
      <c r="P183" s="13">
        <f t="shared" si="298"/>
        <v>0.1271186440677966</v>
      </c>
      <c r="Q183" s="13">
        <f t="shared" si="299"/>
        <v>0.12804097311139565</v>
      </c>
      <c r="R183" s="19">
        <f t="shared" ref="R183:S183" si="304">O155</f>
        <v>0.3</v>
      </c>
      <c r="S183" s="9">
        <f t="shared" si="304"/>
        <v>0.6</v>
      </c>
      <c r="T183" s="22"/>
      <c r="U183" s="16"/>
      <c r="W183" s="23"/>
      <c r="Y183" s="3"/>
    </row>
    <row r="184" spans="1:25">
      <c r="A184" s="16"/>
      <c r="B184" s="10">
        <f t="shared" si="291"/>
        <v>800</v>
      </c>
      <c r="C184" s="9">
        <f t="shared" si="291"/>
        <v>0.22</v>
      </c>
      <c r="D184" s="9">
        <f t="shared" si="296"/>
        <v>0.17</v>
      </c>
      <c r="E184" s="9">
        <f t="shared" si="296"/>
        <v>1.83</v>
      </c>
      <c r="F184" s="9">
        <f t="shared" si="296"/>
        <v>1.7</v>
      </c>
      <c r="G184" s="9">
        <f t="shared" si="296"/>
        <v>0.3</v>
      </c>
      <c r="H184" s="9">
        <f t="shared" si="296"/>
        <v>0.23</v>
      </c>
      <c r="I184" s="9">
        <f t="shared" si="296"/>
        <v>1.4999999999999999E-2</v>
      </c>
      <c r="J184" s="9" t="str">
        <f t="shared" ref="J184:K184" si="305">K156</f>
        <v>1/100</v>
      </c>
      <c r="K184" s="9" t="str">
        <f t="shared" si="305"/>
        <v>U60</v>
      </c>
      <c r="L184" s="9">
        <f t="shared" si="293"/>
        <v>0.12</v>
      </c>
      <c r="M184" s="9">
        <f t="shared" si="294"/>
        <v>0.1</v>
      </c>
      <c r="N184" s="9">
        <v>0.94399999999999995</v>
      </c>
      <c r="O184" s="9">
        <v>0.78100000000000003</v>
      </c>
      <c r="P184" s="13">
        <f t="shared" si="298"/>
        <v>0.1271186440677966</v>
      </c>
      <c r="Q184" s="13">
        <f t="shared" si="299"/>
        <v>0.12804097311139565</v>
      </c>
      <c r="R184" s="19">
        <f t="shared" ref="R184:S184" si="306">O156</f>
        <v>0.3</v>
      </c>
      <c r="S184" s="9">
        <f t="shared" si="306"/>
        <v>0.6</v>
      </c>
      <c r="T184" s="22"/>
      <c r="U184" s="16"/>
      <c r="W184" s="23"/>
      <c r="Y184" s="3"/>
    </row>
    <row r="185" spans="1:25">
      <c r="A185" s="16"/>
      <c r="B185" s="10">
        <f t="shared" si="291"/>
        <v>1000</v>
      </c>
      <c r="C185" s="9">
        <f t="shared" si="291"/>
        <v>0.22</v>
      </c>
      <c r="D185" s="9">
        <f t="shared" si="296"/>
        <v>0.17</v>
      </c>
      <c r="E185" s="9">
        <f t="shared" si="296"/>
        <v>1.83</v>
      </c>
      <c r="F185" s="9">
        <f t="shared" si="296"/>
        <v>1.7</v>
      </c>
      <c r="G185" s="9">
        <f t="shared" si="296"/>
        <v>0.3</v>
      </c>
      <c r="H185" s="9">
        <f t="shared" si="296"/>
        <v>0.23</v>
      </c>
      <c r="I185" s="9">
        <f t="shared" si="296"/>
        <v>1.4999999999999999E-2</v>
      </c>
      <c r="J185" s="9" t="str">
        <f t="shared" ref="J185:K185" si="307">K157</f>
        <v>1/100</v>
      </c>
      <c r="K185" s="9" t="str">
        <f t="shared" si="307"/>
        <v>U60</v>
      </c>
      <c r="L185" s="9">
        <f t="shared" si="293"/>
        <v>0.12</v>
      </c>
      <c r="M185" s="9">
        <f t="shared" si="294"/>
        <v>0.1</v>
      </c>
      <c r="N185" s="9">
        <v>0.94399999999999995</v>
      </c>
      <c r="O185" s="9">
        <v>0.78100000000000003</v>
      </c>
      <c r="P185" s="13">
        <f t="shared" si="298"/>
        <v>0.1271186440677966</v>
      </c>
      <c r="Q185" s="13">
        <f t="shared" si="299"/>
        <v>0.12804097311139565</v>
      </c>
      <c r="R185" s="19">
        <f t="shared" ref="R185:S185" si="308">O157</f>
        <v>0.3</v>
      </c>
      <c r="S185" s="9">
        <f t="shared" si="308"/>
        <v>0.6</v>
      </c>
      <c r="T185" s="22"/>
      <c r="U185" s="16"/>
      <c r="W185" s="23"/>
      <c r="Y185" s="3"/>
    </row>
    <row r="186" spans="1:25">
      <c r="A186" s="16"/>
      <c r="B186" s="10">
        <f t="shared" si="291"/>
        <v>1200</v>
      </c>
      <c r="C186" s="9">
        <f t="shared" si="291"/>
        <v>0.22</v>
      </c>
      <c r="D186" s="9">
        <f t="shared" si="296"/>
        <v>0.17</v>
      </c>
      <c r="E186" s="9">
        <f t="shared" si="296"/>
        <v>1.83</v>
      </c>
      <c r="F186" s="9">
        <f t="shared" si="296"/>
        <v>1.7</v>
      </c>
      <c r="G186" s="9">
        <f t="shared" si="296"/>
        <v>0.3</v>
      </c>
      <c r="H186" s="9">
        <f t="shared" si="296"/>
        <v>0.23</v>
      </c>
      <c r="I186" s="9">
        <f t="shared" si="296"/>
        <v>1.4999999999999999E-2</v>
      </c>
      <c r="J186" s="9" t="str">
        <f t="shared" ref="J186:K186" si="309">K158</f>
        <v>1/100</v>
      </c>
      <c r="K186" s="9" t="str">
        <f t="shared" si="309"/>
        <v>U60</v>
      </c>
      <c r="L186" s="9">
        <f t="shared" si="293"/>
        <v>0.12</v>
      </c>
      <c r="M186" s="9">
        <f t="shared" si="294"/>
        <v>0.1</v>
      </c>
      <c r="N186" s="9">
        <v>0.94399999999999995</v>
      </c>
      <c r="O186" s="9">
        <v>0.78100000000000003</v>
      </c>
      <c r="P186" s="13">
        <f t="shared" si="298"/>
        <v>0.1271186440677966</v>
      </c>
      <c r="Q186" s="13">
        <f t="shared" si="299"/>
        <v>0.12804097311139565</v>
      </c>
      <c r="R186" s="19">
        <f t="shared" ref="R186:S186" si="310">O158</f>
        <v>0.3</v>
      </c>
      <c r="S186" s="9">
        <f t="shared" si="310"/>
        <v>0.6</v>
      </c>
      <c r="T186" s="22"/>
      <c r="U186" s="16"/>
      <c r="W186" s="23"/>
      <c r="Y186" s="3"/>
    </row>
    <row r="187" spans="1:25">
      <c r="A187" s="16"/>
      <c r="B187" s="10">
        <f t="shared" si="291"/>
        <v>1400</v>
      </c>
      <c r="C187" s="9">
        <f t="shared" si="291"/>
        <v>0.22</v>
      </c>
      <c r="D187" s="9">
        <f t="shared" si="296"/>
        <v>0.17</v>
      </c>
      <c r="E187" s="9">
        <f t="shared" si="296"/>
        <v>1.83</v>
      </c>
      <c r="F187" s="9">
        <f t="shared" si="296"/>
        <v>1.7</v>
      </c>
      <c r="G187" s="9">
        <f t="shared" si="296"/>
        <v>0.3</v>
      </c>
      <c r="H187" s="9">
        <f t="shared" si="296"/>
        <v>0.23</v>
      </c>
      <c r="I187" s="9">
        <f t="shared" si="296"/>
        <v>1.4999999999999999E-2</v>
      </c>
      <c r="J187" s="9" t="str">
        <f t="shared" ref="J187:K187" si="311">K159</f>
        <v>1/100</v>
      </c>
      <c r="K187" s="9" t="str">
        <f t="shared" si="311"/>
        <v>U60</v>
      </c>
      <c r="L187" s="9">
        <f t="shared" si="293"/>
        <v>0.12</v>
      </c>
      <c r="M187" s="9">
        <f t="shared" si="294"/>
        <v>0.1</v>
      </c>
      <c r="N187" s="9">
        <v>0.94399999999999995</v>
      </c>
      <c r="O187" s="9">
        <v>0.78100000000000003</v>
      </c>
      <c r="P187" s="13">
        <f t="shared" si="298"/>
        <v>0.1271186440677966</v>
      </c>
      <c r="Q187" s="13">
        <f t="shared" si="299"/>
        <v>0.12804097311139565</v>
      </c>
      <c r="R187" s="19">
        <f t="shared" ref="R187:S187" si="312">O159</f>
        <v>0.3</v>
      </c>
      <c r="S187" s="9">
        <f t="shared" si="312"/>
        <v>0.6</v>
      </c>
      <c r="T187" s="22"/>
      <c r="U187" s="16"/>
      <c r="W187" s="23"/>
      <c r="Y187" s="3"/>
    </row>
    <row r="188" spans="1:25">
      <c r="A188" s="16"/>
      <c r="B188" s="10">
        <f t="shared" si="291"/>
        <v>1600</v>
      </c>
      <c r="C188" s="9">
        <f t="shared" si="291"/>
        <v>0.22</v>
      </c>
      <c r="D188" s="9">
        <f t="shared" si="296"/>
        <v>0.17</v>
      </c>
      <c r="E188" s="9">
        <f t="shared" si="296"/>
        <v>1.83</v>
      </c>
      <c r="F188" s="9">
        <f t="shared" si="296"/>
        <v>1.7</v>
      </c>
      <c r="G188" s="9">
        <f t="shared" si="296"/>
        <v>0.3</v>
      </c>
      <c r="H188" s="9">
        <f t="shared" si="296"/>
        <v>0.23</v>
      </c>
      <c r="I188" s="9">
        <f t="shared" si="296"/>
        <v>1.4999999999999999E-2</v>
      </c>
      <c r="J188" s="9" t="str">
        <f t="shared" ref="J188:K188" si="313">K160</f>
        <v>1/100</v>
      </c>
      <c r="K188" s="9" t="str">
        <f t="shared" si="313"/>
        <v>U60</v>
      </c>
      <c r="L188" s="9">
        <f t="shared" si="293"/>
        <v>0.12</v>
      </c>
      <c r="M188" s="9">
        <f t="shared" si="294"/>
        <v>0.1</v>
      </c>
      <c r="N188" s="9">
        <v>0.94399999999999995</v>
      </c>
      <c r="O188" s="9">
        <v>0.78100000000000003</v>
      </c>
      <c r="P188" s="13">
        <f t="shared" si="298"/>
        <v>0.1271186440677966</v>
      </c>
      <c r="Q188" s="13">
        <f t="shared" si="299"/>
        <v>0.12804097311139565</v>
      </c>
      <c r="R188" s="19">
        <f t="shared" ref="R188:S188" si="314">O160</f>
        <v>0.3</v>
      </c>
      <c r="S188" s="9">
        <f t="shared" si="314"/>
        <v>0.6</v>
      </c>
      <c r="T188" s="22"/>
      <c r="U188" s="16"/>
      <c r="W188" s="23"/>
      <c r="Y188" s="3"/>
    </row>
    <row r="189" spans="1:25">
      <c r="A189" s="16"/>
      <c r="B189" s="10">
        <f t="shared" si="291"/>
        <v>1800</v>
      </c>
      <c r="C189" s="9">
        <f t="shared" si="291"/>
        <v>0.22</v>
      </c>
      <c r="D189" s="9">
        <f t="shared" si="296"/>
        <v>0.17</v>
      </c>
      <c r="E189" s="9">
        <f t="shared" si="296"/>
        <v>1.83</v>
      </c>
      <c r="F189" s="9">
        <f t="shared" si="296"/>
        <v>1.7</v>
      </c>
      <c r="G189" s="9">
        <f t="shared" si="296"/>
        <v>0.3</v>
      </c>
      <c r="H189" s="9">
        <f t="shared" si="296"/>
        <v>0.23</v>
      </c>
      <c r="I189" s="9">
        <f t="shared" si="296"/>
        <v>1.4999999999999999E-2</v>
      </c>
      <c r="J189" s="9" t="str">
        <f t="shared" ref="J189:K189" si="315">K161</f>
        <v>1/100</v>
      </c>
      <c r="K189" s="9" t="str">
        <f t="shared" si="315"/>
        <v>U60</v>
      </c>
      <c r="L189" s="9">
        <f t="shared" si="293"/>
        <v>0.12</v>
      </c>
      <c r="M189" s="9">
        <f t="shared" si="294"/>
        <v>0.1</v>
      </c>
      <c r="N189" s="9">
        <v>0.94399999999999995</v>
      </c>
      <c r="O189" s="9">
        <v>0.78100000000000003</v>
      </c>
      <c r="P189" s="13">
        <f t="shared" si="298"/>
        <v>0.1271186440677966</v>
      </c>
      <c r="Q189" s="13">
        <f t="shared" si="299"/>
        <v>0.12804097311139565</v>
      </c>
      <c r="R189" s="19">
        <f t="shared" ref="R189:S189" si="316">O161</f>
        <v>0.3</v>
      </c>
      <c r="S189" s="9">
        <f t="shared" si="316"/>
        <v>0.6</v>
      </c>
      <c r="T189" s="22"/>
      <c r="U189" s="16"/>
      <c r="W189" s="23"/>
      <c r="Y189" s="3"/>
    </row>
    <row r="190" spans="1:25">
      <c r="A190" s="16"/>
      <c r="B190" s="10">
        <f t="shared" si="291"/>
        <v>2000</v>
      </c>
      <c r="C190" s="9">
        <f t="shared" si="291"/>
        <v>0.22</v>
      </c>
      <c r="D190" s="9">
        <f t="shared" si="296"/>
        <v>0.17</v>
      </c>
      <c r="E190" s="9">
        <f t="shared" si="296"/>
        <v>1.83</v>
      </c>
      <c r="F190" s="9">
        <f t="shared" si="296"/>
        <v>1.7</v>
      </c>
      <c r="G190" s="9">
        <f t="shared" si="296"/>
        <v>0.3</v>
      </c>
      <c r="H190" s="9">
        <f t="shared" si="296"/>
        <v>0.23</v>
      </c>
      <c r="I190" s="9">
        <f t="shared" si="296"/>
        <v>1.4999999999999999E-2</v>
      </c>
      <c r="J190" s="9" t="str">
        <f t="shared" ref="J190:K190" si="317">K162</f>
        <v>1/100</v>
      </c>
      <c r="K190" s="9" t="str">
        <f t="shared" si="317"/>
        <v>U60</v>
      </c>
      <c r="L190" s="9">
        <f t="shared" si="293"/>
        <v>0.12</v>
      </c>
      <c r="M190" s="9">
        <f t="shared" si="294"/>
        <v>0.1</v>
      </c>
      <c r="N190" s="9">
        <v>0.94399999999999995</v>
      </c>
      <c r="O190" s="9">
        <v>0.78100000000000003</v>
      </c>
      <c r="P190" s="13">
        <f t="shared" si="298"/>
        <v>0.1271186440677966</v>
      </c>
      <c r="Q190" s="13">
        <f t="shared" si="299"/>
        <v>0.12804097311139565</v>
      </c>
      <c r="R190" s="19">
        <f t="shared" ref="R190:S190" si="318">O162</f>
        <v>0.3</v>
      </c>
      <c r="S190" s="9">
        <f t="shared" si="318"/>
        <v>0.6</v>
      </c>
      <c r="T190" s="22"/>
      <c r="U190" s="16"/>
      <c r="W190" s="23"/>
      <c r="Y190" s="3"/>
    </row>
    <row r="191" spans="1:25">
      <c r="A191" s="16"/>
      <c r="B191" s="10">
        <f t="shared" si="291"/>
        <v>2200</v>
      </c>
      <c r="C191" s="9">
        <f t="shared" si="291"/>
        <v>0.22</v>
      </c>
      <c r="D191" s="9">
        <f t="shared" ref="D191:I200" si="319">D163</f>
        <v>0.17</v>
      </c>
      <c r="E191" s="9">
        <f t="shared" si="319"/>
        <v>1.83</v>
      </c>
      <c r="F191" s="9">
        <f t="shared" si="319"/>
        <v>1.7</v>
      </c>
      <c r="G191" s="9">
        <f t="shared" si="319"/>
        <v>0.3</v>
      </c>
      <c r="H191" s="9">
        <f t="shared" si="319"/>
        <v>0.23</v>
      </c>
      <c r="I191" s="9">
        <f t="shared" si="319"/>
        <v>1.4999999999999999E-2</v>
      </c>
      <c r="J191" s="9" t="str">
        <f t="shared" ref="J191:K191" si="320">K163</f>
        <v>1/100</v>
      </c>
      <c r="K191" s="9" t="str">
        <f t="shared" si="320"/>
        <v>U60</v>
      </c>
      <c r="L191" s="9">
        <f t="shared" si="293"/>
        <v>0.12</v>
      </c>
      <c r="M191" s="9">
        <f t="shared" si="294"/>
        <v>0.1</v>
      </c>
      <c r="N191" s="9">
        <v>0.94399999999999995</v>
      </c>
      <c r="O191" s="9">
        <v>0.78100000000000003</v>
      </c>
      <c r="P191" s="13">
        <f t="shared" si="298"/>
        <v>0.1271186440677966</v>
      </c>
      <c r="Q191" s="13">
        <f t="shared" si="299"/>
        <v>0.12804097311139565</v>
      </c>
      <c r="R191" s="19">
        <f t="shared" ref="R191:S191" si="321">O163</f>
        <v>0.3</v>
      </c>
      <c r="S191" s="9">
        <f t="shared" si="321"/>
        <v>0.6</v>
      </c>
      <c r="T191" s="22"/>
      <c r="U191" s="16"/>
      <c r="W191" s="23"/>
      <c r="Y191" s="3"/>
    </row>
    <row r="192" spans="1:25">
      <c r="A192" s="16"/>
      <c r="B192" s="10">
        <f t="shared" si="291"/>
        <v>2400</v>
      </c>
      <c r="C192" s="9">
        <f t="shared" si="291"/>
        <v>0.22</v>
      </c>
      <c r="D192" s="9">
        <f t="shared" si="319"/>
        <v>0.17</v>
      </c>
      <c r="E192" s="9">
        <f t="shared" si="319"/>
        <v>1.83</v>
      </c>
      <c r="F192" s="9">
        <f t="shared" si="319"/>
        <v>1.7</v>
      </c>
      <c r="G192" s="9">
        <f t="shared" si="319"/>
        <v>0.3</v>
      </c>
      <c r="H192" s="9">
        <f t="shared" si="319"/>
        <v>0.23</v>
      </c>
      <c r="I192" s="9">
        <f t="shared" si="319"/>
        <v>1.4999999999999999E-2</v>
      </c>
      <c r="J192" s="9" t="str">
        <f t="shared" ref="J192:K192" si="322">K164</f>
        <v>1/100</v>
      </c>
      <c r="K192" s="9" t="str">
        <f t="shared" si="322"/>
        <v>U60</v>
      </c>
      <c r="L192" s="9">
        <f t="shared" si="293"/>
        <v>0.12</v>
      </c>
      <c r="M192" s="9">
        <f t="shared" si="294"/>
        <v>0.1</v>
      </c>
      <c r="N192" s="9">
        <v>0.94399999999999995</v>
      </c>
      <c r="O192" s="9">
        <v>0.78100000000000003</v>
      </c>
      <c r="P192" s="13">
        <f t="shared" si="298"/>
        <v>0.1271186440677966</v>
      </c>
      <c r="Q192" s="13">
        <f t="shared" si="299"/>
        <v>0.12804097311139565</v>
      </c>
      <c r="R192" s="19">
        <f t="shared" ref="R192:S192" si="323">O164</f>
        <v>0.3</v>
      </c>
      <c r="S192" s="9">
        <f t="shared" si="323"/>
        <v>0.6</v>
      </c>
      <c r="T192" s="22"/>
      <c r="U192" s="16"/>
      <c r="W192" s="23"/>
      <c r="Y192" s="3"/>
    </row>
    <row r="193" spans="1:25">
      <c r="A193" s="16"/>
      <c r="B193" s="10">
        <f t="shared" si="291"/>
        <v>2600</v>
      </c>
      <c r="C193" s="9">
        <f t="shared" si="291"/>
        <v>0.22</v>
      </c>
      <c r="D193" s="9">
        <f t="shared" si="319"/>
        <v>0.17</v>
      </c>
      <c r="E193" s="9">
        <f t="shared" si="319"/>
        <v>1.83</v>
      </c>
      <c r="F193" s="9">
        <f t="shared" si="319"/>
        <v>1.7</v>
      </c>
      <c r="G193" s="9">
        <f t="shared" si="319"/>
        <v>0.3</v>
      </c>
      <c r="H193" s="9">
        <f t="shared" si="319"/>
        <v>0.23</v>
      </c>
      <c r="I193" s="9">
        <f t="shared" si="319"/>
        <v>1.4999999999999999E-2</v>
      </c>
      <c r="J193" s="9" t="str">
        <f t="shared" ref="J193:K193" si="324">K165</f>
        <v>1/100</v>
      </c>
      <c r="K193" s="9" t="str">
        <f t="shared" si="324"/>
        <v>U60</v>
      </c>
      <c r="L193" s="9">
        <f t="shared" si="293"/>
        <v>0.12</v>
      </c>
      <c r="M193" s="9">
        <f t="shared" si="294"/>
        <v>0.1</v>
      </c>
      <c r="N193" s="9">
        <v>0.94399999999999995</v>
      </c>
      <c r="O193" s="9">
        <v>0.78100000000000003</v>
      </c>
      <c r="P193" s="13">
        <f t="shared" si="298"/>
        <v>0.1271186440677966</v>
      </c>
      <c r="Q193" s="13">
        <f t="shared" si="299"/>
        <v>0.12804097311139565</v>
      </c>
      <c r="R193" s="19">
        <f t="shared" ref="R193:S193" si="325">O165</f>
        <v>0.3</v>
      </c>
      <c r="S193" s="9">
        <f t="shared" si="325"/>
        <v>0.6</v>
      </c>
      <c r="T193" s="22"/>
      <c r="U193" s="16"/>
      <c r="W193" s="23"/>
      <c r="Y193" s="3"/>
    </row>
    <row r="194" spans="1:25">
      <c r="A194" s="16"/>
      <c r="B194" s="10">
        <f t="shared" si="291"/>
        <v>2800</v>
      </c>
      <c r="C194" s="9">
        <f t="shared" si="291"/>
        <v>0.22</v>
      </c>
      <c r="D194" s="9">
        <f t="shared" si="319"/>
        <v>0.17</v>
      </c>
      <c r="E194" s="9">
        <f t="shared" si="319"/>
        <v>1.83</v>
      </c>
      <c r="F194" s="9">
        <f t="shared" si="319"/>
        <v>1.7</v>
      </c>
      <c r="G194" s="9">
        <f t="shared" si="319"/>
        <v>0.3</v>
      </c>
      <c r="H194" s="9">
        <f t="shared" si="319"/>
        <v>0.23</v>
      </c>
      <c r="I194" s="9">
        <f t="shared" si="319"/>
        <v>1.4999999999999999E-2</v>
      </c>
      <c r="J194" s="9" t="str">
        <f t="shared" ref="J194:K194" si="326">K166</f>
        <v>1/100</v>
      </c>
      <c r="K194" s="9" t="str">
        <f t="shared" si="326"/>
        <v>U60</v>
      </c>
      <c r="L194" s="9">
        <f t="shared" si="293"/>
        <v>0.12</v>
      </c>
      <c r="M194" s="9">
        <f t="shared" si="294"/>
        <v>0.1</v>
      </c>
      <c r="N194" s="9">
        <v>0.94399999999999995</v>
      </c>
      <c r="O194" s="9">
        <v>0.78100000000000003</v>
      </c>
      <c r="P194" s="13">
        <f t="shared" si="298"/>
        <v>0.1271186440677966</v>
      </c>
      <c r="Q194" s="13">
        <f t="shared" si="299"/>
        <v>0.12804097311139565</v>
      </c>
      <c r="R194" s="19">
        <f t="shared" ref="R194:S194" si="327">O166</f>
        <v>0.3</v>
      </c>
      <c r="S194" s="9">
        <f t="shared" si="327"/>
        <v>0.6</v>
      </c>
      <c r="T194" s="22"/>
      <c r="U194" s="16"/>
      <c r="W194" s="23"/>
      <c r="Y194" s="3"/>
    </row>
    <row r="195" spans="1:25">
      <c r="A195" s="16"/>
      <c r="B195" s="10">
        <f t="shared" si="291"/>
        <v>3000</v>
      </c>
      <c r="C195" s="9">
        <f t="shared" si="291"/>
        <v>0.22</v>
      </c>
      <c r="D195" s="9">
        <f t="shared" si="319"/>
        <v>0.17</v>
      </c>
      <c r="E195" s="9">
        <f t="shared" si="319"/>
        <v>1.83</v>
      </c>
      <c r="F195" s="9">
        <f t="shared" si="319"/>
        <v>1.7</v>
      </c>
      <c r="G195" s="9">
        <f t="shared" si="319"/>
        <v>0.3</v>
      </c>
      <c r="H195" s="9">
        <f t="shared" si="319"/>
        <v>0.23</v>
      </c>
      <c r="I195" s="9">
        <f t="shared" si="319"/>
        <v>1.4999999999999999E-2</v>
      </c>
      <c r="J195" s="9" t="str">
        <f t="shared" ref="J195:K195" si="328">K167</f>
        <v>1/100</v>
      </c>
      <c r="K195" s="9" t="str">
        <f t="shared" si="328"/>
        <v>U60</v>
      </c>
      <c r="L195" s="9">
        <f t="shared" si="293"/>
        <v>0.12</v>
      </c>
      <c r="M195" s="9">
        <f t="shared" si="294"/>
        <v>0.1</v>
      </c>
      <c r="N195" s="9">
        <v>0.94399999999999995</v>
      </c>
      <c r="O195" s="9">
        <v>0.78100000000000003</v>
      </c>
      <c r="P195" s="13">
        <f t="shared" si="298"/>
        <v>0.1271186440677966</v>
      </c>
      <c r="Q195" s="13">
        <f t="shared" si="299"/>
        <v>0.12804097311139565</v>
      </c>
      <c r="R195" s="19">
        <f t="shared" ref="R195:S195" si="329">O167</f>
        <v>0.3</v>
      </c>
      <c r="S195" s="9">
        <f t="shared" si="329"/>
        <v>0.6</v>
      </c>
      <c r="T195" s="22"/>
      <c r="U195" s="16"/>
      <c r="W195" s="23"/>
      <c r="Y195" s="3"/>
    </row>
    <row r="196" spans="1:25">
      <c r="A196" s="16"/>
      <c r="B196" s="10">
        <f t="shared" si="291"/>
        <v>3200</v>
      </c>
      <c r="C196" s="9">
        <f t="shared" si="291"/>
        <v>0.22</v>
      </c>
      <c r="D196" s="9">
        <f t="shared" si="319"/>
        <v>0.17</v>
      </c>
      <c r="E196" s="9">
        <f t="shared" si="319"/>
        <v>1.83</v>
      </c>
      <c r="F196" s="9">
        <f t="shared" si="319"/>
        <v>1.7</v>
      </c>
      <c r="G196" s="9">
        <f t="shared" si="319"/>
        <v>0.3</v>
      </c>
      <c r="H196" s="9">
        <f t="shared" si="319"/>
        <v>0.23</v>
      </c>
      <c r="I196" s="9">
        <f t="shared" si="319"/>
        <v>1.4999999999999999E-2</v>
      </c>
      <c r="J196" s="9" t="str">
        <f t="shared" ref="J196:K196" si="330">K168</f>
        <v>1/100</v>
      </c>
      <c r="K196" s="9" t="str">
        <f t="shared" si="330"/>
        <v>U60</v>
      </c>
      <c r="L196" s="9">
        <f t="shared" si="293"/>
        <v>0.12</v>
      </c>
      <c r="M196" s="9">
        <f t="shared" si="294"/>
        <v>0.1</v>
      </c>
      <c r="N196" s="9">
        <v>0.94399999999999995</v>
      </c>
      <c r="O196" s="9">
        <v>0.78100000000000003</v>
      </c>
      <c r="P196" s="13">
        <f t="shared" si="298"/>
        <v>0.1271186440677966</v>
      </c>
      <c r="Q196" s="13">
        <f t="shared" si="299"/>
        <v>0.12804097311139565</v>
      </c>
      <c r="R196" s="19">
        <f t="shared" ref="R196:S196" si="331">O168</f>
        <v>0.3</v>
      </c>
      <c r="S196" s="9">
        <f t="shared" si="331"/>
        <v>0.6</v>
      </c>
      <c r="T196" s="22"/>
      <c r="U196" s="16"/>
      <c r="W196" s="23"/>
      <c r="Y196" s="3"/>
    </row>
    <row r="197" spans="1:25">
      <c r="A197" s="16"/>
      <c r="B197" s="10">
        <f t="shared" si="291"/>
        <v>3400</v>
      </c>
      <c r="C197" s="9">
        <f t="shared" si="291"/>
        <v>0.22</v>
      </c>
      <c r="D197" s="9">
        <f t="shared" si="319"/>
        <v>0.17</v>
      </c>
      <c r="E197" s="9">
        <f t="shared" si="319"/>
        <v>1.83</v>
      </c>
      <c r="F197" s="9">
        <f t="shared" si="319"/>
        <v>1.7</v>
      </c>
      <c r="G197" s="9">
        <f t="shared" si="319"/>
        <v>0.3</v>
      </c>
      <c r="H197" s="9">
        <f t="shared" si="319"/>
        <v>0.23</v>
      </c>
      <c r="I197" s="9">
        <f t="shared" si="319"/>
        <v>1.4999999999999999E-2</v>
      </c>
      <c r="J197" s="9" t="str">
        <f t="shared" ref="J197:K197" si="332">K169</f>
        <v>1/100</v>
      </c>
      <c r="K197" s="9" t="str">
        <f t="shared" si="332"/>
        <v>U60</v>
      </c>
      <c r="L197" s="9">
        <f t="shared" si="293"/>
        <v>0.12</v>
      </c>
      <c r="M197" s="9">
        <f t="shared" si="294"/>
        <v>0.1</v>
      </c>
      <c r="N197" s="9">
        <v>0.94399999999999995</v>
      </c>
      <c r="O197" s="9">
        <v>0.78100000000000003</v>
      </c>
      <c r="P197" s="13">
        <f t="shared" si="298"/>
        <v>0.1271186440677966</v>
      </c>
      <c r="Q197" s="13">
        <f t="shared" si="299"/>
        <v>0.12804097311139565</v>
      </c>
      <c r="R197" s="19">
        <f t="shared" ref="R197:S197" si="333">O169</f>
        <v>0.3</v>
      </c>
      <c r="S197" s="9">
        <f t="shared" si="333"/>
        <v>0.6</v>
      </c>
      <c r="T197" s="22"/>
      <c r="U197" s="16"/>
      <c r="W197" s="23"/>
      <c r="Y197" s="3"/>
    </row>
    <row r="198" spans="1:25">
      <c r="A198" s="16"/>
      <c r="B198" s="10">
        <f t="shared" si="291"/>
        <v>3600</v>
      </c>
      <c r="C198" s="9">
        <f t="shared" si="291"/>
        <v>0.22</v>
      </c>
      <c r="D198" s="9">
        <f t="shared" si="319"/>
        <v>0.17</v>
      </c>
      <c r="E198" s="9">
        <f t="shared" si="319"/>
        <v>1.83</v>
      </c>
      <c r="F198" s="9">
        <f t="shared" si="319"/>
        <v>1.7</v>
      </c>
      <c r="G198" s="9">
        <f t="shared" si="319"/>
        <v>0.3</v>
      </c>
      <c r="H198" s="9">
        <f t="shared" si="319"/>
        <v>0.23</v>
      </c>
      <c r="I198" s="9">
        <f t="shared" si="319"/>
        <v>1.4999999999999999E-2</v>
      </c>
      <c r="J198" s="9" t="str">
        <f t="shared" ref="J198:K198" si="334">K170</f>
        <v>1/100</v>
      </c>
      <c r="K198" s="9" t="str">
        <f t="shared" si="334"/>
        <v>U60</v>
      </c>
      <c r="L198" s="9">
        <f t="shared" si="293"/>
        <v>0.12</v>
      </c>
      <c r="M198" s="9">
        <f t="shared" si="294"/>
        <v>0.1</v>
      </c>
      <c r="N198" s="9">
        <v>0.94399999999999995</v>
      </c>
      <c r="O198" s="9">
        <v>0.78100000000000003</v>
      </c>
      <c r="P198" s="13">
        <f t="shared" si="298"/>
        <v>0.1271186440677966</v>
      </c>
      <c r="Q198" s="13">
        <f t="shared" si="299"/>
        <v>0.12804097311139565</v>
      </c>
      <c r="R198" s="19">
        <f t="shared" ref="R198:S198" si="335">O170</f>
        <v>0.3</v>
      </c>
      <c r="S198" s="9">
        <f t="shared" si="335"/>
        <v>0.6</v>
      </c>
      <c r="T198" s="22"/>
      <c r="U198" s="16"/>
      <c r="W198" s="23"/>
      <c r="Y198" s="3"/>
    </row>
    <row r="199" spans="1:25">
      <c r="A199" s="16"/>
      <c r="B199" s="10">
        <f t="shared" si="291"/>
        <v>3800</v>
      </c>
      <c r="C199" s="9">
        <f t="shared" si="291"/>
        <v>0.22</v>
      </c>
      <c r="D199" s="9">
        <f t="shared" si="319"/>
        <v>0.17</v>
      </c>
      <c r="E199" s="9">
        <f t="shared" si="319"/>
        <v>1.83</v>
      </c>
      <c r="F199" s="9">
        <f t="shared" si="319"/>
        <v>1.7</v>
      </c>
      <c r="G199" s="9">
        <f t="shared" si="319"/>
        <v>0.3</v>
      </c>
      <c r="H199" s="9">
        <f t="shared" si="319"/>
        <v>0.23</v>
      </c>
      <c r="I199" s="9">
        <f t="shared" si="319"/>
        <v>1.4999999999999999E-2</v>
      </c>
      <c r="J199" s="9" t="str">
        <f t="shared" ref="J199:K199" si="336">K171</f>
        <v>1/100</v>
      </c>
      <c r="K199" s="9" t="str">
        <f t="shared" si="336"/>
        <v>U60</v>
      </c>
      <c r="L199" s="9">
        <f t="shared" si="293"/>
        <v>0.12</v>
      </c>
      <c r="M199" s="9">
        <f t="shared" si="294"/>
        <v>0.1</v>
      </c>
      <c r="N199" s="9">
        <v>0.94399999999999995</v>
      </c>
      <c r="O199" s="9">
        <v>0.78100000000000003</v>
      </c>
      <c r="P199" s="13">
        <f t="shared" si="298"/>
        <v>0.1271186440677966</v>
      </c>
      <c r="Q199" s="13">
        <f t="shared" si="299"/>
        <v>0.12804097311139565</v>
      </c>
      <c r="R199" s="19">
        <f t="shared" ref="R199:S199" si="337">O171</f>
        <v>0.3</v>
      </c>
      <c r="S199" s="9">
        <f t="shared" si="337"/>
        <v>0.6</v>
      </c>
      <c r="T199" s="22"/>
      <c r="U199" s="16"/>
      <c r="W199" s="23"/>
      <c r="Y199" s="3"/>
    </row>
    <row r="200" spans="1:25">
      <c r="A200" s="16"/>
      <c r="B200" s="10">
        <f t="shared" si="291"/>
        <v>4000</v>
      </c>
      <c r="C200" s="9">
        <f t="shared" si="291"/>
        <v>0.22</v>
      </c>
      <c r="D200" s="9">
        <f t="shared" si="319"/>
        <v>0.17</v>
      </c>
      <c r="E200" s="9">
        <f t="shared" si="319"/>
        <v>1.83</v>
      </c>
      <c r="F200" s="9">
        <f t="shared" si="319"/>
        <v>1.7</v>
      </c>
      <c r="G200" s="9">
        <f t="shared" si="319"/>
        <v>0.3</v>
      </c>
      <c r="H200" s="9">
        <f t="shared" si="319"/>
        <v>0.23</v>
      </c>
      <c r="I200" s="9">
        <f t="shared" si="319"/>
        <v>1.4999999999999999E-2</v>
      </c>
      <c r="J200" s="9" t="str">
        <f t="shared" ref="J200:K200" si="338">K172</f>
        <v>1/100</v>
      </c>
      <c r="K200" s="9" t="str">
        <f t="shared" si="338"/>
        <v>U60</v>
      </c>
      <c r="L200" s="9">
        <f t="shared" si="293"/>
        <v>0.12</v>
      </c>
      <c r="M200" s="9">
        <f t="shared" si="294"/>
        <v>0.1</v>
      </c>
      <c r="N200" s="9">
        <v>0.94399999999999995</v>
      </c>
      <c r="O200" s="9">
        <v>0.78100000000000003</v>
      </c>
      <c r="P200" s="13">
        <f t="shared" si="298"/>
        <v>0.1271186440677966</v>
      </c>
      <c r="Q200" s="13">
        <f t="shared" si="299"/>
        <v>0.12804097311139565</v>
      </c>
      <c r="R200" s="19">
        <f t="shared" ref="R200:S200" si="339">O172</f>
        <v>0.3</v>
      </c>
      <c r="S200" s="9">
        <f t="shared" si="339"/>
        <v>0.6</v>
      </c>
      <c r="T200" s="22"/>
      <c r="U200" s="16"/>
      <c r="W200" s="23"/>
      <c r="Y200" s="3"/>
    </row>
    <row r="201" spans="1:25">
      <c r="A201" s="16"/>
      <c r="B201" s="10">
        <f t="shared" si="291"/>
        <v>4200</v>
      </c>
      <c r="C201" s="9">
        <f t="shared" si="291"/>
        <v>0.22</v>
      </c>
      <c r="D201" s="9">
        <f t="shared" ref="D201:I202" si="340">D173</f>
        <v>0.17</v>
      </c>
      <c r="E201" s="9">
        <f t="shared" si="340"/>
        <v>1.83</v>
      </c>
      <c r="F201" s="9">
        <f t="shared" si="340"/>
        <v>1.7</v>
      </c>
      <c r="G201" s="9">
        <f t="shared" si="340"/>
        <v>0.3</v>
      </c>
      <c r="H201" s="9">
        <f t="shared" si="340"/>
        <v>0.23</v>
      </c>
      <c r="I201" s="9">
        <f t="shared" si="340"/>
        <v>1.4999999999999999E-2</v>
      </c>
      <c r="J201" s="9" t="str">
        <f t="shared" ref="J201:K201" si="341">K173</f>
        <v>1/100</v>
      </c>
      <c r="K201" s="9" t="str">
        <f t="shared" si="341"/>
        <v>U60</v>
      </c>
      <c r="L201" s="9">
        <f t="shared" si="293"/>
        <v>0.12</v>
      </c>
      <c r="M201" s="9">
        <f t="shared" si="294"/>
        <v>0.1</v>
      </c>
      <c r="N201" s="9">
        <v>0.94399999999999995</v>
      </c>
      <c r="O201" s="9">
        <v>0.78100000000000003</v>
      </c>
      <c r="P201" s="13">
        <f t="shared" si="298"/>
        <v>0.1271186440677966</v>
      </c>
      <c r="Q201" s="13">
        <f t="shared" si="299"/>
        <v>0.12804097311139565</v>
      </c>
      <c r="R201" s="19">
        <f t="shared" ref="R201:S201" si="342">O173</f>
        <v>0.3</v>
      </c>
      <c r="S201" s="9">
        <f t="shared" si="342"/>
        <v>0.6</v>
      </c>
      <c r="T201" s="22"/>
      <c r="U201" s="16"/>
      <c r="W201" s="23"/>
      <c r="Y201" s="3"/>
    </row>
    <row r="202" spans="1:25">
      <c r="A202" s="16"/>
      <c r="B202" s="10">
        <f t="shared" si="291"/>
        <v>4400</v>
      </c>
      <c r="C202" s="9">
        <f t="shared" si="291"/>
        <v>0.22</v>
      </c>
      <c r="D202" s="9">
        <f t="shared" si="340"/>
        <v>0.17</v>
      </c>
      <c r="E202" s="9">
        <f t="shared" si="340"/>
        <v>1.83</v>
      </c>
      <c r="F202" s="9">
        <f t="shared" si="340"/>
        <v>1.7</v>
      </c>
      <c r="G202" s="9">
        <f t="shared" si="340"/>
        <v>0.3</v>
      </c>
      <c r="H202" s="9">
        <f t="shared" si="340"/>
        <v>0.23</v>
      </c>
      <c r="I202" s="9">
        <f t="shared" si="340"/>
        <v>1.4999999999999999E-2</v>
      </c>
      <c r="J202" s="9" t="str">
        <f t="shared" ref="J202:K202" si="343">K174</f>
        <v>1/100</v>
      </c>
      <c r="K202" s="9" t="str">
        <f t="shared" si="343"/>
        <v>U60</v>
      </c>
      <c r="L202" s="9">
        <f t="shared" si="293"/>
        <v>0.12</v>
      </c>
      <c r="M202" s="9">
        <f t="shared" si="294"/>
        <v>0.1</v>
      </c>
      <c r="N202" s="9">
        <v>0.94399999999999995</v>
      </c>
      <c r="O202" s="9">
        <v>0.78100000000000003</v>
      </c>
      <c r="P202" s="13">
        <f t="shared" si="298"/>
        <v>0.1271186440677966</v>
      </c>
      <c r="Q202" s="13">
        <f t="shared" si="299"/>
        <v>0.12804097311139565</v>
      </c>
      <c r="R202" s="19">
        <f t="shared" ref="R202:S202" si="344">O174</f>
        <v>0.3</v>
      </c>
      <c r="S202" s="9">
        <f t="shared" si="344"/>
        <v>0.6</v>
      </c>
      <c r="T202" s="22"/>
      <c r="U202" s="16"/>
      <c r="W202" s="23"/>
      <c r="Y202" s="3"/>
    </row>
    <row r="203" spans="1:25">
      <c r="A203" s="16"/>
      <c r="B203" s="21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36"/>
      <c r="S203" s="16"/>
      <c r="T203" s="22"/>
      <c r="U203" s="16"/>
      <c r="W203" s="23"/>
      <c r="Y203" s="3"/>
    </row>
    <row r="204" spans="1:25">
      <c r="A204" s="16"/>
      <c r="B204" s="21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36"/>
      <c r="S204" s="16"/>
      <c r="T204" s="22"/>
      <c r="U204" s="16"/>
      <c r="W204" s="23"/>
      <c r="Y204" s="3"/>
    </row>
    <row r="206" spans="1:25">
      <c r="A206" s="15" t="s">
        <v>535</v>
      </c>
    </row>
    <row r="207" spans="1:25">
      <c r="A207" s="43" t="s">
        <v>359</v>
      </c>
      <c r="B207" s="43" t="s">
        <v>336</v>
      </c>
      <c r="C207" s="43" t="s">
        <v>337</v>
      </c>
      <c r="D207" s="43"/>
      <c r="E207" s="43" t="s">
        <v>338</v>
      </c>
      <c r="F207" s="43"/>
      <c r="G207" s="43" t="s">
        <v>339</v>
      </c>
      <c r="H207" s="43"/>
      <c r="I207" s="9" t="s">
        <v>340</v>
      </c>
      <c r="J207" s="9" t="s">
        <v>289</v>
      </c>
      <c r="K207" s="9"/>
      <c r="L207" s="9" t="s">
        <v>438</v>
      </c>
      <c r="M207" s="11"/>
      <c r="N207" s="11"/>
      <c r="O207" s="9" t="s">
        <v>343</v>
      </c>
      <c r="P207" s="9" t="s">
        <v>344</v>
      </c>
      <c r="Q207" s="43" t="s">
        <v>521</v>
      </c>
      <c r="R207" s="43" t="s">
        <v>522</v>
      </c>
      <c r="S207" s="43" t="s">
        <v>346</v>
      </c>
      <c r="T207" s="43" t="s">
        <v>347</v>
      </c>
      <c r="U207" s="43" t="s">
        <v>359</v>
      </c>
    </row>
    <row r="208" spans="1:25" ht="15.6">
      <c r="A208" s="43"/>
      <c r="B208" s="43"/>
      <c r="C208" s="9" t="s">
        <v>349</v>
      </c>
      <c r="D208" s="9" t="s">
        <v>348</v>
      </c>
      <c r="E208" s="9" t="s">
        <v>351</v>
      </c>
      <c r="F208" s="9" t="s">
        <v>352</v>
      </c>
      <c r="G208" s="9" t="s">
        <v>353</v>
      </c>
      <c r="H208" s="9" t="s">
        <v>354</v>
      </c>
      <c r="I208" s="9" t="s">
        <v>309</v>
      </c>
      <c r="J208" s="9" t="s">
        <v>308</v>
      </c>
      <c r="K208" s="9"/>
      <c r="L208" s="9" t="s">
        <v>306</v>
      </c>
      <c r="M208" s="11" t="s">
        <v>368</v>
      </c>
      <c r="N208" s="11" t="s">
        <v>366</v>
      </c>
      <c r="O208" s="9" t="s">
        <v>355</v>
      </c>
      <c r="P208" s="9" t="s">
        <v>310</v>
      </c>
      <c r="Q208" s="43"/>
      <c r="R208" s="43"/>
      <c r="S208" s="43"/>
      <c r="T208" s="43"/>
      <c r="U208" s="43"/>
    </row>
    <row r="209" spans="1:27" ht="16.2">
      <c r="A209" s="9"/>
      <c r="B209" s="9" t="s">
        <v>356</v>
      </c>
      <c r="C209" s="9" t="s">
        <v>358</v>
      </c>
      <c r="D209" s="9" t="s">
        <v>358</v>
      </c>
      <c r="E209" s="9" t="s">
        <v>357</v>
      </c>
      <c r="F209" s="9" t="s">
        <v>357</v>
      </c>
      <c r="G209" s="9" t="s">
        <v>307</v>
      </c>
      <c r="H209" s="9" t="s">
        <v>307</v>
      </c>
      <c r="I209" s="9"/>
      <c r="J209" s="9"/>
      <c r="K209" s="9"/>
      <c r="L209" s="9" t="s">
        <v>307</v>
      </c>
      <c r="M209" s="9"/>
      <c r="N209" s="9"/>
      <c r="O209" s="9" t="s">
        <v>307</v>
      </c>
      <c r="P209" s="9" t="s">
        <v>307</v>
      </c>
      <c r="Q209" s="9" t="s">
        <v>307</v>
      </c>
      <c r="R209" s="9" t="s">
        <v>307</v>
      </c>
      <c r="S209" s="9" t="s">
        <v>307</v>
      </c>
      <c r="T209" s="9" t="s">
        <v>307</v>
      </c>
      <c r="U209" s="9"/>
      <c r="W209" t="s">
        <v>336</v>
      </c>
      <c r="X209" t="s">
        <v>773</v>
      </c>
      <c r="Y209" t="s">
        <v>774</v>
      </c>
      <c r="Z209" t="s">
        <v>776</v>
      </c>
      <c r="AA209" t="s">
        <v>775</v>
      </c>
    </row>
    <row r="210" spans="1:27">
      <c r="A210" s="9"/>
      <c r="B210" s="10">
        <f t="shared" ref="B210:B230" si="345">J2</f>
        <v>0</v>
      </c>
      <c r="C210" s="9">
        <f>ROUND(D210*1.3,2)</f>
        <v>0.22</v>
      </c>
      <c r="D210" s="9">
        <f>支渠!M11</f>
        <v>0.17</v>
      </c>
      <c r="E210" s="9">
        <f>ROUND(C210/N210,2)</f>
        <v>1.83</v>
      </c>
      <c r="F210" s="9">
        <f>ROUND(D210/M210,2)</f>
        <v>1.7</v>
      </c>
      <c r="G210" s="9">
        <v>0.3</v>
      </c>
      <c r="H210" s="9">
        <v>0.23</v>
      </c>
      <c r="I210" s="9">
        <v>1.4999999999999999E-2</v>
      </c>
      <c r="J210" s="9">
        <v>0.01</v>
      </c>
      <c r="K210" s="9" t="str">
        <f>"1/"&amp;ROUND(1/J210,0)</f>
        <v>1/100</v>
      </c>
      <c r="L210" s="9" t="s">
        <v>865</v>
      </c>
      <c r="M210" s="9">
        <v>0.1</v>
      </c>
      <c r="N210" s="9">
        <v>0.12</v>
      </c>
      <c r="O210" s="9">
        <f t="shared" ref="O210" si="346">P210-G210</f>
        <v>0.3</v>
      </c>
      <c r="P210" s="9">
        <v>0.6</v>
      </c>
      <c r="Q210" s="9">
        <f>R210+0.3</f>
        <v>1716.02</v>
      </c>
      <c r="R210" s="9">
        <f t="shared" ref="R210:R230" si="347">K2</f>
        <v>1715.72</v>
      </c>
      <c r="S210" s="9">
        <f>R210-0.1</f>
        <v>1715.6200000000001</v>
      </c>
      <c r="T210" s="14">
        <f t="shared" ref="T210:T230" si="348">S210+H210</f>
        <v>1715.8500000000001</v>
      </c>
      <c r="U210" s="9"/>
      <c r="W210" s="23">
        <f>B210</f>
        <v>0</v>
      </c>
      <c r="X210">
        <f t="shared" ref="X210:X213" si="349">Z210+P210</f>
        <v>1716.22</v>
      </c>
      <c r="Y210" s="3">
        <f>T210</f>
        <v>1715.8500000000001</v>
      </c>
      <c r="Z210">
        <f>S210</f>
        <v>1715.6200000000001</v>
      </c>
      <c r="AA210">
        <f>Q210</f>
        <v>1716.02</v>
      </c>
    </row>
    <row r="211" spans="1:27">
      <c r="A211" s="12"/>
      <c r="B211" s="10">
        <f t="shared" si="345"/>
        <v>200</v>
      </c>
      <c r="C211" s="9">
        <f t="shared" ref="C211:C230" si="350">ROUND(D211*1.3,2)</f>
        <v>0.22</v>
      </c>
      <c r="D211" s="9">
        <f>D210</f>
        <v>0.17</v>
      </c>
      <c r="E211" s="9">
        <f>ROUND(C211/N211,2)</f>
        <v>1.83</v>
      </c>
      <c r="F211" s="9">
        <f>ROUND(D211/M211,2)</f>
        <v>1.7</v>
      </c>
      <c r="G211" s="9">
        <f>G210</f>
        <v>0.3</v>
      </c>
      <c r="H211" s="9">
        <f>H210</f>
        <v>0.23</v>
      </c>
      <c r="I211" s="9">
        <v>1.4999999999999999E-2</v>
      </c>
      <c r="J211" s="9">
        <v>0.01</v>
      </c>
      <c r="K211" s="9" t="str">
        <f>"1/"&amp;ROUND(1/J211,0)</f>
        <v>1/100</v>
      </c>
      <c r="L211" s="9" t="s">
        <v>531</v>
      </c>
      <c r="M211" s="9">
        <f>M210</f>
        <v>0.1</v>
      </c>
      <c r="N211" s="9">
        <f>N210</f>
        <v>0.12</v>
      </c>
      <c r="O211" s="9">
        <f t="shared" ref="O211:O230" si="351">P211-G211</f>
        <v>0.3</v>
      </c>
      <c r="P211" s="9">
        <v>0.6</v>
      </c>
      <c r="Q211" s="9">
        <f>R211+0.3</f>
        <v>1714</v>
      </c>
      <c r="R211" s="9">
        <f t="shared" si="347"/>
        <v>1713.7</v>
      </c>
      <c r="S211" s="9">
        <f>R211-0.1</f>
        <v>1713.6000000000001</v>
      </c>
      <c r="T211" s="14">
        <f t="shared" si="348"/>
        <v>1713.8300000000002</v>
      </c>
      <c r="U211" s="9"/>
      <c r="W211" s="23">
        <f t="shared" ref="W211:W213" si="352">B211</f>
        <v>200</v>
      </c>
      <c r="X211">
        <f t="shared" si="349"/>
        <v>1714.2</v>
      </c>
      <c r="Y211" s="3">
        <f t="shared" ref="Y211:Y213" si="353">T211</f>
        <v>1713.8300000000002</v>
      </c>
      <c r="Z211">
        <f t="shared" ref="Z211:Z213" si="354">S211</f>
        <v>1713.6000000000001</v>
      </c>
      <c r="AA211">
        <f t="shared" ref="AA211:AA213" si="355">Q211</f>
        <v>1714</v>
      </c>
    </row>
    <row r="212" spans="1:27">
      <c r="A212" s="9"/>
      <c r="B212" s="10">
        <f t="shared" si="345"/>
        <v>400</v>
      </c>
      <c r="C212" s="9">
        <f t="shared" si="350"/>
        <v>0.22</v>
      </c>
      <c r="D212" s="9">
        <f t="shared" ref="D212:D230" si="356">D211</f>
        <v>0.17</v>
      </c>
      <c r="E212" s="9">
        <f t="shared" ref="E212:E230" si="357">ROUND(C212/N212,2)</f>
        <v>1.83</v>
      </c>
      <c r="F212" s="9">
        <f t="shared" ref="F212:F230" si="358">ROUND(D212/M212,2)</f>
        <v>1.7</v>
      </c>
      <c r="G212" s="9">
        <f>G211</f>
        <v>0.3</v>
      </c>
      <c r="H212" s="9">
        <f>H211</f>
        <v>0.23</v>
      </c>
      <c r="I212" s="9">
        <v>1.4999999999999999E-2</v>
      </c>
      <c r="J212" s="9">
        <f>J211</f>
        <v>0.01</v>
      </c>
      <c r="K212" s="9" t="str">
        <f t="shared" ref="K212:K230" si="359">"1/"&amp;ROUND(1/J212,0)</f>
        <v>1/100</v>
      </c>
      <c r="L212" s="9" t="str">
        <f>L211</f>
        <v>U60</v>
      </c>
      <c r="M212" s="9">
        <f>M211</f>
        <v>0.1</v>
      </c>
      <c r="N212" s="9">
        <f>N211</f>
        <v>0.12</v>
      </c>
      <c r="O212" s="9">
        <f t="shared" si="351"/>
        <v>0.3</v>
      </c>
      <c r="P212" s="9">
        <f>P211</f>
        <v>0.6</v>
      </c>
      <c r="Q212" s="9">
        <f t="shared" ref="Q212:Q230" si="360">R212+0.3</f>
        <v>1711.1</v>
      </c>
      <c r="R212" s="9">
        <f t="shared" si="347"/>
        <v>1710.8</v>
      </c>
      <c r="S212" s="9">
        <f t="shared" ref="S212:S229" si="361">R212-0.1</f>
        <v>1710.7</v>
      </c>
      <c r="T212" s="14">
        <f t="shared" si="348"/>
        <v>1710.93</v>
      </c>
      <c r="U212" s="9"/>
      <c r="W212" s="23">
        <f t="shared" si="352"/>
        <v>400</v>
      </c>
      <c r="X212">
        <f t="shared" si="349"/>
        <v>1711.3</v>
      </c>
      <c r="Y212" s="3">
        <f t="shared" si="353"/>
        <v>1710.93</v>
      </c>
      <c r="Z212">
        <f t="shared" si="354"/>
        <v>1710.7</v>
      </c>
      <c r="AA212">
        <f t="shared" si="355"/>
        <v>1711.1</v>
      </c>
    </row>
    <row r="213" spans="1:27">
      <c r="A213" s="9"/>
      <c r="B213" s="10">
        <f t="shared" si="345"/>
        <v>600</v>
      </c>
      <c r="C213" s="9">
        <f t="shared" si="350"/>
        <v>0.22</v>
      </c>
      <c r="D213" s="9">
        <f t="shared" si="356"/>
        <v>0.17</v>
      </c>
      <c r="E213" s="9">
        <f t="shared" si="357"/>
        <v>1.83</v>
      </c>
      <c r="F213" s="9">
        <f t="shared" si="358"/>
        <v>1.7</v>
      </c>
      <c r="G213" s="9">
        <f t="shared" ref="G213:H213" si="362">G212</f>
        <v>0.3</v>
      </c>
      <c r="H213" s="9">
        <f t="shared" si="362"/>
        <v>0.23</v>
      </c>
      <c r="I213" s="9">
        <v>1.4999999999999999E-2</v>
      </c>
      <c r="J213" s="9">
        <f t="shared" ref="J213:J230" si="363">J212</f>
        <v>0.01</v>
      </c>
      <c r="K213" s="9" t="str">
        <f t="shared" si="359"/>
        <v>1/100</v>
      </c>
      <c r="L213" s="9" t="str">
        <f t="shared" ref="L213:N213" si="364">L212</f>
        <v>U60</v>
      </c>
      <c r="M213" s="9">
        <f t="shared" si="364"/>
        <v>0.1</v>
      </c>
      <c r="N213" s="9">
        <f t="shared" si="364"/>
        <v>0.12</v>
      </c>
      <c r="O213" s="9">
        <f t="shared" si="351"/>
        <v>0.3</v>
      </c>
      <c r="P213" s="9">
        <f t="shared" ref="P213:P230" si="365">P212</f>
        <v>0.6</v>
      </c>
      <c r="Q213" s="9">
        <f t="shared" si="360"/>
        <v>1708.1599999999999</v>
      </c>
      <c r="R213" s="9">
        <f t="shared" si="347"/>
        <v>1707.86</v>
      </c>
      <c r="S213" s="9">
        <f t="shared" si="361"/>
        <v>1707.76</v>
      </c>
      <c r="T213" s="14">
        <f t="shared" si="348"/>
        <v>1707.99</v>
      </c>
      <c r="U213" s="9"/>
      <c r="W213" s="23">
        <f t="shared" si="352"/>
        <v>600</v>
      </c>
      <c r="X213">
        <f t="shared" si="349"/>
        <v>1708.36</v>
      </c>
      <c r="Y213" s="3">
        <f t="shared" si="353"/>
        <v>1707.99</v>
      </c>
      <c r="Z213">
        <f t="shared" si="354"/>
        <v>1707.76</v>
      </c>
      <c r="AA213">
        <f t="shared" si="355"/>
        <v>1708.1599999999999</v>
      </c>
    </row>
    <row r="214" spans="1:27">
      <c r="A214" s="9"/>
      <c r="B214" s="10">
        <f t="shared" si="345"/>
        <v>800</v>
      </c>
      <c r="C214" s="9">
        <f t="shared" si="350"/>
        <v>0.22</v>
      </c>
      <c r="D214" s="9">
        <f t="shared" si="356"/>
        <v>0.17</v>
      </c>
      <c r="E214" s="9">
        <f t="shared" si="357"/>
        <v>1.83</v>
      </c>
      <c r="F214" s="9">
        <f t="shared" si="358"/>
        <v>1.7</v>
      </c>
      <c r="G214" s="9">
        <f t="shared" ref="G214:H214" si="366">G213</f>
        <v>0.3</v>
      </c>
      <c r="H214" s="9">
        <f t="shared" si="366"/>
        <v>0.23</v>
      </c>
      <c r="I214" s="9">
        <v>1.4999999999999999E-2</v>
      </c>
      <c r="J214" s="9">
        <f t="shared" si="363"/>
        <v>0.01</v>
      </c>
      <c r="K214" s="9" t="str">
        <f t="shared" si="359"/>
        <v>1/100</v>
      </c>
      <c r="L214" s="9" t="str">
        <f t="shared" ref="L214:N214" si="367">L213</f>
        <v>U60</v>
      </c>
      <c r="M214" s="9">
        <f t="shared" si="367"/>
        <v>0.1</v>
      </c>
      <c r="N214" s="9">
        <f t="shared" si="367"/>
        <v>0.12</v>
      </c>
      <c r="O214" s="9">
        <f t="shared" si="351"/>
        <v>0.3</v>
      </c>
      <c r="P214" s="9">
        <f t="shared" si="365"/>
        <v>0.6</v>
      </c>
      <c r="Q214" s="9">
        <f t="shared" si="360"/>
        <v>1705.23</v>
      </c>
      <c r="R214" s="9">
        <f t="shared" si="347"/>
        <v>1704.93</v>
      </c>
      <c r="S214" s="9">
        <f t="shared" si="361"/>
        <v>1704.8300000000002</v>
      </c>
      <c r="T214" s="14">
        <f t="shared" si="348"/>
        <v>1705.0600000000002</v>
      </c>
      <c r="U214" s="9"/>
      <c r="W214" s="23">
        <f t="shared" ref="W214:W230" si="368">B214</f>
        <v>800</v>
      </c>
      <c r="X214">
        <f t="shared" ref="X214:X230" si="369">Z214+P214</f>
        <v>1705.43</v>
      </c>
      <c r="Y214" s="3">
        <f t="shared" ref="Y214:Y230" si="370">T214</f>
        <v>1705.0600000000002</v>
      </c>
      <c r="Z214">
        <f t="shared" ref="Z214:Z230" si="371">S214</f>
        <v>1704.8300000000002</v>
      </c>
      <c r="AA214">
        <f t="shared" ref="AA214:AA230" si="372">Q214</f>
        <v>1705.23</v>
      </c>
    </row>
    <row r="215" spans="1:27">
      <c r="A215" s="9"/>
      <c r="B215" s="10">
        <f t="shared" si="345"/>
        <v>1000</v>
      </c>
      <c r="C215" s="9">
        <f t="shared" si="350"/>
        <v>0.22</v>
      </c>
      <c r="D215" s="9">
        <f t="shared" si="356"/>
        <v>0.17</v>
      </c>
      <c r="E215" s="9">
        <f t="shared" si="357"/>
        <v>1.83</v>
      </c>
      <c r="F215" s="9">
        <f t="shared" si="358"/>
        <v>1.7</v>
      </c>
      <c r="G215" s="9">
        <f t="shared" ref="G215:H215" si="373">G214</f>
        <v>0.3</v>
      </c>
      <c r="H215" s="9">
        <f t="shared" si="373"/>
        <v>0.23</v>
      </c>
      <c r="I215" s="9">
        <v>1.4999999999999999E-2</v>
      </c>
      <c r="J215" s="9">
        <f t="shared" si="363"/>
        <v>0.01</v>
      </c>
      <c r="K215" s="9" t="str">
        <f t="shared" si="359"/>
        <v>1/100</v>
      </c>
      <c r="L215" s="9" t="str">
        <f t="shared" ref="L215:N215" si="374">L214</f>
        <v>U60</v>
      </c>
      <c r="M215" s="9">
        <f t="shared" si="374"/>
        <v>0.1</v>
      </c>
      <c r="N215" s="9">
        <f t="shared" si="374"/>
        <v>0.12</v>
      </c>
      <c r="O215" s="9">
        <f t="shared" si="351"/>
        <v>0.3</v>
      </c>
      <c r="P215" s="9">
        <f t="shared" si="365"/>
        <v>0.6</v>
      </c>
      <c r="Q215" s="9">
        <f t="shared" si="360"/>
        <v>1701.82</v>
      </c>
      <c r="R215" s="9">
        <f t="shared" si="347"/>
        <v>1701.52</v>
      </c>
      <c r="S215" s="9">
        <f t="shared" si="361"/>
        <v>1701.42</v>
      </c>
      <c r="T215" s="14">
        <f t="shared" si="348"/>
        <v>1701.65</v>
      </c>
      <c r="U215" s="9"/>
      <c r="W215" s="23">
        <f t="shared" si="368"/>
        <v>1000</v>
      </c>
      <c r="X215">
        <f t="shared" si="369"/>
        <v>1702.02</v>
      </c>
      <c r="Y215" s="3">
        <f t="shared" si="370"/>
        <v>1701.65</v>
      </c>
      <c r="Z215">
        <f t="shared" si="371"/>
        <v>1701.42</v>
      </c>
      <c r="AA215">
        <f t="shared" si="372"/>
        <v>1701.82</v>
      </c>
    </row>
    <row r="216" spans="1:27">
      <c r="A216" s="9"/>
      <c r="B216" s="10">
        <f t="shared" si="345"/>
        <v>1200</v>
      </c>
      <c r="C216" s="9">
        <f t="shared" si="350"/>
        <v>0.22</v>
      </c>
      <c r="D216" s="9">
        <f t="shared" si="356"/>
        <v>0.17</v>
      </c>
      <c r="E216" s="9">
        <f t="shared" si="357"/>
        <v>1.83</v>
      </c>
      <c r="F216" s="9">
        <f t="shared" si="358"/>
        <v>1.7</v>
      </c>
      <c r="G216" s="9">
        <f t="shared" ref="G216:H216" si="375">G215</f>
        <v>0.3</v>
      </c>
      <c r="H216" s="9">
        <f t="shared" si="375"/>
        <v>0.23</v>
      </c>
      <c r="I216" s="9">
        <v>1.4999999999999999E-2</v>
      </c>
      <c r="J216" s="9">
        <f t="shared" si="363"/>
        <v>0.01</v>
      </c>
      <c r="K216" s="9" t="str">
        <f t="shared" si="359"/>
        <v>1/100</v>
      </c>
      <c r="L216" s="9" t="str">
        <f t="shared" ref="L216:N216" si="376">L215</f>
        <v>U60</v>
      </c>
      <c r="M216" s="9">
        <f t="shared" si="376"/>
        <v>0.1</v>
      </c>
      <c r="N216" s="9">
        <f t="shared" si="376"/>
        <v>0.12</v>
      </c>
      <c r="O216" s="9">
        <f t="shared" si="351"/>
        <v>0.3</v>
      </c>
      <c r="P216" s="9">
        <f t="shared" si="365"/>
        <v>0.6</v>
      </c>
      <c r="Q216" s="9">
        <f t="shared" si="360"/>
        <v>1699.6</v>
      </c>
      <c r="R216" s="9">
        <f t="shared" si="347"/>
        <v>1699.3</v>
      </c>
      <c r="S216" s="9">
        <f t="shared" si="361"/>
        <v>1699.2</v>
      </c>
      <c r="T216" s="14">
        <f t="shared" si="348"/>
        <v>1699.43</v>
      </c>
      <c r="U216" s="9"/>
      <c r="W216" s="23">
        <f t="shared" si="368"/>
        <v>1200</v>
      </c>
      <c r="X216">
        <f t="shared" si="369"/>
        <v>1699.8</v>
      </c>
      <c r="Y216" s="3">
        <f t="shared" si="370"/>
        <v>1699.43</v>
      </c>
      <c r="Z216">
        <f t="shared" si="371"/>
        <v>1699.2</v>
      </c>
      <c r="AA216">
        <f t="shared" si="372"/>
        <v>1699.6</v>
      </c>
    </row>
    <row r="217" spans="1:27">
      <c r="A217" s="9"/>
      <c r="B217" s="10">
        <f t="shared" si="345"/>
        <v>1400</v>
      </c>
      <c r="C217" s="9">
        <f t="shared" si="350"/>
        <v>0.22</v>
      </c>
      <c r="D217" s="9">
        <f t="shared" si="356"/>
        <v>0.17</v>
      </c>
      <c r="E217" s="9">
        <f t="shared" si="357"/>
        <v>1.83</v>
      </c>
      <c r="F217" s="9">
        <f t="shared" si="358"/>
        <v>1.7</v>
      </c>
      <c r="G217" s="9">
        <f t="shared" ref="G217:H217" si="377">G216</f>
        <v>0.3</v>
      </c>
      <c r="H217" s="9">
        <f t="shared" si="377"/>
        <v>0.23</v>
      </c>
      <c r="I217" s="9">
        <v>1.4999999999999999E-2</v>
      </c>
      <c r="J217" s="9">
        <f t="shared" si="363"/>
        <v>0.01</v>
      </c>
      <c r="K217" s="9" t="str">
        <f t="shared" si="359"/>
        <v>1/100</v>
      </c>
      <c r="L217" s="9" t="str">
        <f t="shared" ref="L217:N217" si="378">L216</f>
        <v>U60</v>
      </c>
      <c r="M217" s="9">
        <f t="shared" si="378"/>
        <v>0.1</v>
      </c>
      <c r="N217" s="9">
        <f t="shared" si="378"/>
        <v>0.12</v>
      </c>
      <c r="O217" s="9">
        <f t="shared" si="351"/>
        <v>0.3</v>
      </c>
      <c r="P217" s="9">
        <f t="shared" si="365"/>
        <v>0.6</v>
      </c>
      <c r="Q217" s="9">
        <f t="shared" si="360"/>
        <v>1696.6</v>
      </c>
      <c r="R217" s="9">
        <f t="shared" si="347"/>
        <v>1696.3</v>
      </c>
      <c r="S217" s="9">
        <f t="shared" si="361"/>
        <v>1696.2</v>
      </c>
      <c r="T217" s="14">
        <f t="shared" si="348"/>
        <v>1696.43</v>
      </c>
      <c r="U217" s="9"/>
      <c r="W217" s="23">
        <f t="shared" si="368"/>
        <v>1400</v>
      </c>
      <c r="X217">
        <f t="shared" si="369"/>
        <v>1696.8</v>
      </c>
      <c r="Y217" s="3">
        <f t="shared" si="370"/>
        <v>1696.43</v>
      </c>
      <c r="Z217">
        <f t="shared" si="371"/>
        <v>1696.2</v>
      </c>
      <c r="AA217">
        <f t="shared" si="372"/>
        <v>1696.6</v>
      </c>
    </row>
    <row r="218" spans="1:27">
      <c r="A218" s="9"/>
      <c r="B218" s="10">
        <f t="shared" si="345"/>
        <v>1600</v>
      </c>
      <c r="C218" s="9">
        <f t="shared" si="350"/>
        <v>0.22</v>
      </c>
      <c r="D218" s="9">
        <f t="shared" si="356"/>
        <v>0.17</v>
      </c>
      <c r="E218" s="9">
        <f t="shared" si="357"/>
        <v>1.83</v>
      </c>
      <c r="F218" s="9">
        <f t="shared" si="358"/>
        <v>1.7</v>
      </c>
      <c r="G218" s="9">
        <f t="shared" ref="G218:H218" si="379">G217</f>
        <v>0.3</v>
      </c>
      <c r="H218" s="9">
        <f t="shared" si="379"/>
        <v>0.23</v>
      </c>
      <c r="I218" s="9">
        <v>1.4999999999999999E-2</v>
      </c>
      <c r="J218" s="9">
        <f t="shared" si="363"/>
        <v>0.01</v>
      </c>
      <c r="K218" s="9" t="str">
        <f t="shared" si="359"/>
        <v>1/100</v>
      </c>
      <c r="L218" s="9" t="str">
        <f t="shared" ref="L218:N218" si="380">L217</f>
        <v>U60</v>
      </c>
      <c r="M218" s="9">
        <f t="shared" si="380"/>
        <v>0.1</v>
      </c>
      <c r="N218" s="9">
        <f t="shared" si="380"/>
        <v>0.12</v>
      </c>
      <c r="O218" s="9">
        <f t="shared" si="351"/>
        <v>0.3</v>
      </c>
      <c r="P218" s="9">
        <f t="shared" si="365"/>
        <v>0.6</v>
      </c>
      <c r="Q218" s="9">
        <f t="shared" si="360"/>
        <v>1693.8</v>
      </c>
      <c r="R218" s="9">
        <f t="shared" si="347"/>
        <v>1693.5</v>
      </c>
      <c r="S218" s="9">
        <f t="shared" si="361"/>
        <v>1693.4</v>
      </c>
      <c r="T218" s="14">
        <f t="shared" si="348"/>
        <v>1693.63</v>
      </c>
      <c r="U218" s="9"/>
      <c r="W218" s="23">
        <f t="shared" si="368"/>
        <v>1600</v>
      </c>
      <c r="X218">
        <f t="shared" si="369"/>
        <v>1694</v>
      </c>
      <c r="Y218" s="3">
        <f t="shared" si="370"/>
        <v>1693.63</v>
      </c>
      <c r="Z218">
        <f t="shared" si="371"/>
        <v>1693.4</v>
      </c>
      <c r="AA218">
        <f t="shared" si="372"/>
        <v>1693.8</v>
      </c>
    </row>
    <row r="219" spans="1:27">
      <c r="A219" s="9"/>
      <c r="B219" s="10">
        <f t="shared" si="345"/>
        <v>1800</v>
      </c>
      <c r="C219" s="9">
        <f t="shared" si="350"/>
        <v>0.22</v>
      </c>
      <c r="D219" s="9">
        <f t="shared" si="356"/>
        <v>0.17</v>
      </c>
      <c r="E219" s="9">
        <f t="shared" si="357"/>
        <v>1.83</v>
      </c>
      <c r="F219" s="9">
        <f t="shared" si="358"/>
        <v>1.7</v>
      </c>
      <c r="G219" s="9">
        <f t="shared" ref="G219:H219" si="381">G218</f>
        <v>0.3</v>
      </c>
      <c r="H219" s="9">
        <f t="shared" si="381"/>
        <v>0.23</v>
      </c>
      <c r="I219" s="9">
        <v>1.4999999999999999E-2</v>
      </c>
      <c r="J219" s="9">
        <f t="shared" si="363"/>
        <v>0.01</v>
      </c>
      <c r="K219" s="9" t="str">
        <f t="shared" si="359"/>
        <v>1/100</v>
      </c>
      <c r="L219" s="9" t="str">
        <f t="shared" ref="L219:N219" si="382">L218</f>
        <v>U60</v>
      </c>
      <c r="M219" s="9">
        <f t="shared" si="382"/>
        <v>0.1</v>
      </c>
      <c r="N219" s="9">
        <f t="shared" si="382"/>
        <v>0.12</v>
      </c>
      <c r="O219" s="9">
        <f t="shared" si="351"/>
        <v>0.3</v>
      </c>
      <c r="P219" s="9">
        <f t="shared" si="365"/>
        <v>0.6</v>
      </c>
      <c r="Q219" s="9">
        <f t="shared" si="360"/>
        <v>1691.2</v>
      </c>
      <c r="R219" s="9">
        <f t="shared" si="347"/>
        <v>1690.9</v>
      </c>
      <c r="S219" s="9">
        <f t="shared" si="361"/>
        <v>1690.8000000000002</v>
      </c>
      <c r="T219" s="14">
        <f t="shared" si="348"/>
        <v>1691.0300000000002</v>
      </c>
      <c r="U219" s="9"/>
      <c r="W219" s="23">
        <f t="shared" si="368"/>
        <v>1800</v>
      </c>
      <c r="X219">
        <f t="shared" si="369"/>
        <v>1691.4</v>
      </c>
      <c r="Y219" s="3">
        <f t="shared" si="370"/>
        <v>1691.0300000000002</v>
      </c>
      <c r="Z219">
        <f t="shared" si="371"/>
        <v>1690.8000000000002</v>
      </c>
      <c r="AA219">
        <f t="shared" si="372"/>
        <v>1691.2</v>
      </c>
    </row>
    <row r="220" spans="1:27">
      <c r="A220" s="12"/>
      <c r="B220" s="10">
        <f t="shared" si="345"/>
        <v>2000</v>
      </c>
      <c r="C220" s="9">
        <f t="shared" si="350"/>
        <v>0.22</v>
      </c>
      <c r="D220" s="9">
        <f t="shared" si="356"/>
        <v>0.17</v>
      </c>
      <c r="E220" s="9">
        <f t="shared" si="357"/>
        <v>1.83</v>
      </c>
      <c r="F220" s="9">
        <f t="shared" si="358"/>
        <v>1.7</v>
      </c>
      <c r="G220" s="9">
        <f t="shared" ref="G220:H220" si="383">G219</f>
        <v>0.3</v>
      </c>
      <c r="H220" s="9">
        <f t="shared" si="383"/>
        <v>0.23</v>
      </c>
      <c r="I220" s="9">
        <v>1.4999999999999999E-2</v>
      </c>
      <c r="J220" s="9">
        <f t="shared" si="363"/>
        <v>0.01</v>
      </c>
      <c r="K220" s="9" t="str">
        <f t="shared" si="359"/>
        <v>1/100</v>
      </c>
      <c r="L220" s="9" t="str">
        <f t="shared" ref="L220:N220" si="384">L219</f>
        <v>U60</v>
      </c>
      <c r="M220" s="9">
        <f t="shared" si="384"/>
        <v>0.1</v>
      </c>
      <c r="N220" s="9">
        <f t="shared" si="384"/>
        <v>0.12</v>
      </c>
      <c r="O220" s="9">
        <f t="shared" si="351"/>
        <v>0.3</v>
      </c>
      <c r="P220" s="9">
        <f t="shared" si="365"/>
        <v>0.6</v>
      </c>
      <c r="Q220" s="9">
        <f t="shared" si="360"/>
        <v>1688.57</v>
      </c>
      <c r="R220" s="9">
        <f t="shared" si="347"/>
        <v>1688.27</v>
      </c>
      <c r="S220" s="9">
        <f t="shared" si="361"/>
        <v>1688.17</v>
      </c>
      <c r="T220" s="14">
        <f t="shared" si="348"/>
        <v>1688.4</v>
      </c>
      <c r="U220" s="9"/>
      <c r="W220" s="23">
        <f t="shared" si="368"/>
        <v>2000</v>
      </c>
      <c r="X220">
        <f t="shared" si="369"/>
        <v>1688.77</v>
      </c>
      <c r="Y220" s="3">
        <f t="shared" si="370"/>
        <v>1688.4</v>
      </c>
      <c r="Z220">
        <f t="shared" si="371"/>
        <v>1688.17</v>
      </c>
      <c r="AA220">
        <f t="shared" si="372"/>
        <v>1688.57</v>
      </c>
    </row>
    <row r="221" spans="1:27">
      <c r="A221" s="9"/>
      <c r="B221" s="10">
        <f t="shared" si="345"/>
        <v>2200</v>
      </c>
      <c r="C221" s="9">
        <f t="shared" si="350"/>
        <v>0.22</v>
      </c>
      <c r="D221" s="9">
        <f t="shared" si="356"/>
        <v>0.17</v>
      </c>
      <c r="E221" s="9">
        <f t="shared" si="357"/>
        <v>1.83</v>
      </c>
      <c r="F221" s="9">
        <f t="shared" si="358"/>
        <v>1.7</v>
      </c>
      <c r="G221" s="9">
        <f t="shared" ref="G221:H221" si="385">G220</f>
        <v>0.3</v>
      </c>
      <c r="H221" s="9">
        <f t="shared" si="385"/>
        <v>0.23</v>
      </c>
      <c r="I221" s="9">
        <v>1.4999999999999999E-2</v>
      </c>
      <c r="J221" s="9">
        <f t="shared" si="363"/>
        <v>0.01</v>
      </c>
      <c r="K221" s="9" t="str">
        <f t="shared" si="359"/>
        <v>1/100</v>
      </c>
      <c r="L221" s="9" t="str">
        <f t="shared" ref="L221:N221" si="386">L220</f>
        <v>U60</v>
      </c>
      <c r="M221" s="9">
        <f t="shared" si="386"/>
        <v>0.1</v>
      </c>
      <c r="N221" s="9">
        <f t="shared" si="386"/>
        <v>0.12</v>
      </c>
      <c r="O221" s="9">
        <f t="shared" si="351"/>
        <v>0.3</v>
      </c>
      <c r="P221" s="9">
        <f t="shared" si="365"/>
        <v>0.6</v>
      </c>
      <c r="Q221" s="9">
        <f t="shared" si="360"/>
        <v>1686</v>
      </c>
      <c r="R221" s="9">
        <f t="shared" si="347"/>
        <v>1685.7</v>
      </c>
      <c r="S221" s="9">
        <f t="shared" si="361"/>
        <v>1685.6000000000001</v>
      </c>
      <c r="T221" s="14">
        <f t="shared" si="348"/>
        <v>1685.8300000000002</v>
      </c>
      <c r="U221" s="9"/>
      <c r="W221" s="23">
        <f t="shared" si="368"/>
        <v>2200</v>
      </c>
      <c r="X221">
        <f t="shared" si="369"/>
        <v>1686.2</v>
      </c>
      <c r="Y221" s="3">
        <f t="shared" si="370"/>
        <v>1685.8300000000002</v>
      </c>
      <c r="Z221">
        <f t="shared" si="371"/>
        <v>1685.6000000000001</v>
      </c>
      <c r="AA221">
        <f t="shared" si="372"/>
        <v>1686</v>
      </c>
    </row>
    <row r="222" spans="1:27">
      <c r="A222" s="9"/>
      <c r="B222" s="10">
        <f t="shared" si="345"/>
        <v>2400</v>
      </c>
      <c r="C222" s="9">
        <f t="shared" si="350"/>
        <v>0.22</v>
      </c>
      <c r="D222" s="9">
        <f t="shared" si="356"/>
        <v>0.17</v>
      </c>
      <c r="E222" s="9">
        <f t="shared" si="357"/>
        <v>1.83</v>
      </c>
      <c r="F222" s="9">
        <f t="shared" si="358"/>
        <v>1.7</v>
      </c>
      <c r="G222" s="9">
        <f t="shared" ref="G222:H222" si="387">G221</f>
        <v>0.3</v>
      </c>
      <c r="H222" s="9">
        <f t="shared" si="387"/>
        <v>0.23</v>
      </c>
      <c r="I222" s="9">
        <v>1.4999999999999999E-2</v>
      </c>
      <c r="J222" s="9">
        <f t="shared" si="363"/>
        <v>0.01</v>
      </c>
      <c r="K222" s="9" t="str">
        <f t="shared" si="359"/>
        <v>1/100</v>
      </c>
      <c r="L222" s="9" t="str">
        <f t="shared" ref="L222:N222" si="388">L221</f>
        <v>U60</v>
      </c>
      <c r="M222" s="9">
        <f t="shared" si="388"/>
        <v>0.1</v>
      </c>
      <c r="N222" s="9">
        <f t="shared" si="388"/>
        <v>0.12</v>
      </c>
      <c r="O222" s="9">
        <f t="shared" si="351"/>
        <v>0.3</v>
      </c>
      <c r="P222" s="9">
        <f t="shared" si="365"/>
        <v>0.6</v>
      </c>
      <c r="Q222" s="9">
        <f t="shared" si="360"/>
        <v>1684</v>
      </c>
      <c r="R222" s="9">
        <f t="shared" si="347"/>
        <v>1683.7</v>
      </c>
      <c r="S222" s="9">
        <f t="shared" si="361"/>
        <v>1683.6000000000001</v>
      </c>
      <c r="T222" s="14">
        <f t="shared" si="348"/>
        <v>1683.8300000000002</v>
      </c>
      <c r="U222" s="9"/>
      <c r="W222" s="23">
        <f t="shared" si="368"/>
        <v>2400</v>
      </c>
      <c r="X222">
        <f t="shared" si="369"/>
        <v>1684.2</v>
      </c>
      <c r="Y222" s="3">
        <f t="shared" si="370"/>
        <v>1683.8300000000002</v>
      </c>
      <c r="Z222">
        <f t="shared" si="371"/>
        <v>1683.6000000000001</v>
      </c>
      <c r="AA222">
        <f t="shared" si="372"/>
        <v>1684</v>
      </c>
    </row>
    <row r="223" spans="1:27">
      <c r="A223" s="9"/>
      <c r="B223" s="10">
        <f t="shared" si="345"/>
        <v>2600</v>
      </c>
      <c r="C223" s="9">
        <f t="shared" si="350"/>
        <v>0.22</v>
      </c>
      <c r="D223" s="9">
        <f t="shared" si="356"/>
        <v>0.17</v>
      </c>
      <c r="E223" s="9">
        <f t="shared" si="357"/>
        <v>1.83</v>
      </c>
      <c r="F223" s="9">
        <f t="shared" si="358"/>
        <v>1.7</v>
      </c>
      <c r="G223" s="9">
        <f t="shared" ref="G223:H223" si="389">G222</f>
        <v>0.3</v>
      </c>
      <c r="H223" s="9">
        <f t="shared" si="389"/>
        <v>0.23</v>
      </c>
      <c r="I223" s="9">
        <v>1.4999999999999999E-2</v>
      </c>
      <c r="J223" s="9">
        <f t="shared" si="363"/>
        <v>0.01</v>
      </c>
      <c r="K223" s="9" t="str">
        <f t="shared" si="359"/>
        <v>1/100</v>
      </c>
      <c r="L223" s="9" t="str">
        <f t="shared" ref="L223:N223" si="390">L222</f>
        <v>U60</v>
      </c>
      <c r="M223" s="9">
        <f t="shared" si="390"/>
        <v>0.1</v>
      </c>
      <c r="N223" s="9">
        <f t="shared" si="390"/>
        <v>0.12</v>
      </c>
      <c r="O223" s="9">
        <f t="shared" si="351"/>
        <v>0.3</v>
      </c>
      <c r="P223" s="9">
        <f t="shared" si="365"/>
        <v>0.6</v>
      </c>
      <c r="Q223" s="9">
        <f t="shared" si="360"/>
        <v>1681.25</v>
      </c>
      <c r="R223" s="9">
        <f t="shared" si="347"/>
        <v>1680.95</v>
      </c>
      <c r="S223" s="9">
        <f t="shared" si="361"/>
        <v>1680.8500000000001</v>
      </c>
      <c r="T223" s="14">
        <f t="shared" si="348"/>
        <v>1681.0800000000002</v>
      </c>
      <c r="U223" s="9"/>
      <c r="W223" s="23">
        <f t="shared" si="368"/>
        <v>2600</v>
      </c>
      <c r="X223">
        <f t="shared" si="369"/>
        <v>1681.45</v>
      </c>
      <c r="Y223" s="3">
        <f t="shared" si="370"/>
        <v>1681.0800000000002</v>
      </c>
      <c r="Z223">
        <f t="shared" si="371"/>
        <v>1680.8500000000001</v>
      </c>
      <c r="AA223">
        <f t="shared" si="372"/>
        <v>1681.25</v>
      </c>
    </row>
    <row r="224" spans="1:27">
      <c r="A224" s="9"/>
      <c r="B224" s="10">
        <f t="shared" si="345"/>
        <v>2800</v>
      </c>
      <c r="C224" s="9">
        <f t="shared" si="350"/>
        <v>0.22</v>
      </c>
      <c r="D224" s="9">
        <f t="shared" si="356"/>
        <v>0.17</v>
      </c>
      <c r="E224" s="9">
        <f t="shared" si="357"/>
        <v>1.83</v>
      </c>
      <c r="F224" s="9">
        <f t="shared" si="358"/>
        <v>1.7</v>
      </c>
      <c r="G224" s="9">
        <f t="shared" ref="G224:H224" si="391">G223</f>
        <v>0.3</v>
      </c>
      <c r="H224" s="9">
        <f t="shared" si="391"/>
        <v>0.23</v>
      </c>
      <c r="I224" s="9">
        <v>1.4999999999999999E-2</v>
      </c>
      <c r="J224" s="9">
        <f t="shared" si="363"/>
        <v>0.01</v>
      </c>
      <c r="K224" s="9" t="str">
        <f t="shared" si="359"/>
        <v>1/100</v>
      </c>
      <c r="L224" s="9" t="str">
        <f t="shared" ref="L224:N224" si="392">L223</f>
        <v>U60</v>
      </c>
      <c r="M224" s="9">
        <f t="shared" si="392"/>
        <v>0.1</v>
      </c>
      <c r="N224" s="9">
        <f t="shared" si="392"/>
        <v>0.12</v>
      </c>
      <c r="O224" s="9">
        <f t="shared" si="351"/>
        <v>0.3</v>
      </c>
      <c r="P224" s="9">
        <f t="shared" si="365"/>
        <v>0.6</v>
      </c>
      <c r="Q224" s="9">
        <f t="shared" si="360"/>
        <v>1678.1</v>
      </c>
      <c r="R224" s="9">
        <f t="shared" si="347"/>
        <v>1677.8</v>
      </c>
      <c r="S224" s="9">
        <f t="shared" si="361"/>
        <v>1677.7</v>
      </c>
      <c r="T224" s="14">
        <f t="shared" si="348"/>
        <v>1677.93</v>
      </c>
      <c r="U224" s="9"/>
      <c r="W224" s="23">
        <f t="shared" si="368"/>
        <v>2800</v>
      </c>
      <c r="X224">
        <f t="shared" si="369"/>
        <v>1678.3</v>
      </c>
      <c r="Y224" s="3">
        <f t="shared" si="370"/>
        <v>1677.93</v>
      </c>
      <c r="Z224">
        <f t="shared" si="371"/>
        <v>1677.7</v>
      </c>
      <c r="AA224">
        <f t="shared" si="372"/>
        <v>1678.1</v>
      </c>
    </row>
    <row r="225" spans="1:27">
      <c r="A225" s="9"/>
      <c r="B225" s="10">
        <f t="shared" si="345"/>
        <v>3000</v>
      </c>
      <c r="C225" s="9">
        <f t="shared" si="350"/>
        <v>0.22</v>
      </c>
      <c r="D225" s="9">
        <f t="shared" si="356"/>
        <v>0.17</v>
      </c>
      <c r="E225" s="9">
        <f t="shared" si="357"/>
        <v>1.83</v>
      </c>
      <c r="F225" s="9">
        <f t="shared" si="358"/>
        <v>1.7</v>
      </c>
      <c r="G225" s="9">
        <f t="shared" ref="G225:H225" si="393">G224</f>
        <v>0.3</v>
      </c>
      <c r="H225" s="9">
        <f t="shared" si="393"/>
        <v>0.23</v>
      </c>
      <c r="I225" s="9">
        <v>1.4999999999999999E-2</v>
      </c>
      <c r="J225" s="9">
        <f t="shared" si="363"/>
        <v>0.01</v>
      </c>
      <c r="K225" s="9" t="str">
        <f t="shared" si="359"/>
        <v>1/100</v>
      </c>
      <c r="L225" s="9" t="str">
        <f t="shared" ref="L225:N225" si="394">L224</f>
        <v>U60</v>
      </c>
      <c r="M225" s="9">
        <f t="shared" si="394"/>
        <v>0.1</v>
      </c>
      <c r="N225" s="9">
        <f t="shared" si="394"/>
        <v>0.12</v>
      </c>
      <c r="O225" s="9">
        <f t="shared" si="351"/>
        <v>0.3</v>
      </c>
      <c r="P225" s="9">
        <f t="shared" si="365"/>
        <v>0.6</v>
      </c>
      <c r="Q225" s="9">
        <f t="shared" si="360"/>
        <v>1676.7</v>
      </c>
      <c r="R225" s="9">
        <f t="shared" si="347"/>
        <v>1676.4</v>
      </c>
      <c r="S225" s="9">
        <f t="shared" si="361"/>
        <v>1676.3000000000002</v>
      </c>
      <c r="T225" s="14">
        <f t="shared" si="348"/>
        <v>1676.5300000000002</v>
      </c>
      <c r="U225" s="9"/>
      <c r="W225" s="23">
        <f t="shared" si="368"/>
        <v>3000</v>
      </c>
      <c r="X225">
        <f t="shared" si="369"/>
        <v>1676.9</v>
      </c>
      <c r="Y225" s="3">
        <f t="shared" si="370"/>
        <v>1676.5300000000002</v>
      </c>
      <c r="Z225">
        <f t="shared" si="371"/>
        <v>1676.3000000000002</v>
      </c>
      <c r="AA225">
        <f t="shared" si="372"/>
        <v>1676.7</v>
      </c>
    </row>
    <row r="226" spans="1:27">
      <c r="A226" s="9"/>
      <c r="B226" s="10">
        <f t="shared" si="345"/>
        <v>3200</v>
      </c>
      <c r="C226" s="9">
        <f t="shared" si="350"/>
        <v>0.22</v>
      </c>
      <c r="D226" s="9">
        <f t="shared" si="356"/>
        <v>0.17</v>
      </c>
      <c r="E226" s="9">
        <f t="shared" si="357"/>
        <v>1.83</v>
      </c>
      <c r="F226" s="9">
        <f t="shared" si="358"/>
        <v>1.7</v>
      </c>
      <c r="G226" s="9">
        <f t="shared" ref="G226:H226" si="395">G225</f>
        <v>0.3</v>
      </c>
      <c r="H226" s="9">
        <f t="shared" si="395"/>
        <v>0.23</v>
      </c>
      <c r="I226" s="9">
        <v>1.4999999999999999E-2</v>
      </c>
      <c r="J226" s="9">
        <f t="shared" si="363"/>
        <v>0.01</v>
      </c>
      <c r="K226" s="9" t="str">
        <f t="shared" si="359"/>
        <v>1/100</v>
      </c>
      <c r="L226" s="9" t="str">
        <f t="shared" ref="L226:N226" si="396">L225</f>
        <v>U60</v>
      </c>
      <c r="M226" s="9">
        <f t="shared" si="396"/>
        <v>0.1</v>
      </c>
      <c r="N226" s="9">
        <f t="shared" si="396"/>
        <v>0.12</v>
      </c>
      <c r="O226" s="9">
        <f t="shared" si="351"/>
        <v>0.3</v>
      </c>
      <c r="P226" s="9">
        <f t="shared" si="365"/>
        <v>0.6</v>
      </c>
      <c r="Q226" s="9">
        <f t="shared" si="360"/>
        <v>1674.8999999999999</v>
      </c>
      <c r="R226" s="9">
        <f t="shared" si="347"/>
        <v>1674.6</v>
      </c>
      <c r="S226" s="9">
        <f t="shared" si="361"/>
        <v>1674.5</v>
      </c>
      <c r="T226" s="14">
        <f t="shared" si="348"/>
        <v>1674.73</v>
      </c>
      <c r="U226" s="9"/>
      <c r="W226" s="23">
        <f t="shared" si="368"/>
        <v>3200</v>
      </c>
      <c r="X226">
        <f t="shared" si="369"/>
        <v>1675.1</v>
      </c>
      <c r="Y226" s="3">
        <f t="shared" si="370"/>
        <v>1674.73</v>
      </c>
      <c r="Z226">
        <f t="shared" si="371"/>
        <v>1674.5</v>
      </c>
      <c r="AA226">
        <f t="shared" si="372"/>
        <v>1674.8999999999999</v>
      </c>
    </row>
    <row r="227" spans="1:27">
      <c r="A227" s="9"/>
      <c r="B227" s="10">
        <f t="shared" si="345"/>
        <v>3400</v>
      </c>
      <c r="C227" s="9">
        <f t="shared" si="350"/>
        <v>0.22</v>
      </c>
      <c r="D227" s="9">
        <f t="shared" si="356"/>
        <v>0.17</v>
      </c>
      <c r="E227" s="9">
        <f t="shared" si="357"/>
        <v>1.83</v>
      </c>
      <c r="F227" s="9">
        <f t="shared" si="358"/>
        <v>1.7</v>
      </c>
      <c r="G227" s="9">
        <f t="shared" ref="G227:H227" si="397">G226</f>
        <v>0.3</v>
      </c>
      <c r="H227" s="9">
        <f t="shared" si="397"/>
        <v>0.23</v>
      </c>
      <c r="I227" s="9">
        <v>1.4999999999999999E-2</v>
      </c>
      <c r="J227" s="9">
        <f t="shared" si="363"/>
        <v>0.01</v>
      </c>
      <c r="K227" s="9" t="str">
        <f t="shared" si="359"/>
        <v>1/100</v>
      </c>
      <c r="L227" s="9" t="str">
        <f t="shared" ref="L227:N227" si="398">L226</f>
        <v>U60</v>
      </c>
      <c r="M227" s="9">
        <f t="shared" si="398"/>
        <v>0.1</v>
      </c>
      <c r="N227" s="9">
        <f t="shared" si="398"/>
        <v>0.12</v>
      </c>
      <c r="O227" s="9">
        <f t="shared" si="351"/>
        <v>0.3</v>
      </c>
      <c r="P227" s="9">
        <f t="shared" si="365"/>
        <v>0.6</v>
      </c>
      <c r="Q227" s="9">
        <f t="shared" si="360"/>
        <v>1673.3</v>
      </c>
      <c r="R227" s="9">
        <f t="shared" si="347"/>
        <v>1673</v>
      </c>
      <c r="S227" s="9">
        <f t="shared" si="361"/>
        <v>1672.9</v>
      </c>
      <c r="T227" s="14">
        <f t="shared" si="348"/>
        <v>1673.13</v>
      </c>
      <c r="U227" s="9"/>
      <c r="W227" s="23">
        <f t="shared" si="368"/>
        <v>3400</v>
      </c>
      <c r="X227">
        <f t="shared" si="369"/>
        <v>1673.5</v>
      </c>
      <c r="Y227" s="3">
        <f t="shared" si="370"/>
        <v>1673.13</v>
      </c>
      <c r="Z227">
        <f t="shared" si="371"/>
        <v>1672.9</v>
      </c>
      <c r="AA227">
        <f t="shared" si="372"/>
        <v>1673.3</v>
      </c>
    </row>
    <row r="228" spans="1:27">
      <c r="A228" s="9"/>
      <c r="B228" s="10">
        <f t="shared" si="345"/>
        <v>3600</v>
      </c>
      <c r="C228" s="9">
        <f t="shared" si="350"/>
        <v>0.22</v>
      </c>
      <c r="D228" s="9">
        <f t="shared" si="356"/>
        <v>0.17</v>
      </c>
      <c r="E228" s="9">
        <f t="shared" si="357"/>
        <v>1.83</v>
      </c>
      <c r="F228" s="9">
        <f t="shared" si="358"/>
        <v>1.7</v>
      </c>
      <c r="G228" s="9">
        <f t="shared" ref="G228:H228" si="399">G227</f>
        <v>0.3</v>
      </c>
      <c r="H228" s="9">
        <f t="shared" si="399"/>
        <v>0.23</v>
      </c>
      <c r="I228" s="9">
        <v>1.4999999999999999E-2</v>
      </c>
      <c r="J228" s="9">
        <f t="shared" si="363"/>
        <v>0.01</v>
      </c>
      <c r="K228" s="9" t="str">
        <f t="shared" si="359"/>
        <v>1/100</v>
      </c>
      <c r="L228" s="9" t="str">
        <f t="shared" ref="L228:N228" si="400">L227</f>
        <v>U60</v>
      </c>
      <c r="M228" s="9">
        <f t="shared" si="400"/>
        <v>0.1</v>
      </c>
      <c r="N228" s="9">
        <f t="shared" si="400"/>
        <v>0.12</v>
      </c>
      <c r="O228" s="9">
        <f t="shared" si="351"/>
        <v>0.3</v>
      </c>
      <c r="P228" s="9">
        <f t="shared" si="365"/>
        <v>0.6</v>
      </c>
      <c r="Q228" s="9">
        <f t="shared" si="360"/>
        <v>1672</v>
      </c>
      <c r="R228" s="9">
        <f t="shared" si="347"/>
        <v>1671.7</v>
      </c>
      <c r="S228" s="9">
        <f t="shared" si="361"/>
        <v>1671.6000000000001</v>
      </c>
      <c r="T228" s="14">
        <f t="shared" si="348"/>
        <v>1671.8300000000002</v>
      </c>
      <c r="U228" s="9"/>
      <c r="W228" s="23">
        <f t="shared" si="368"/>
        <v>3600</v>
      </c>
      <c r="X228">
        <f t="shared" si="369"/>
        <v>1672.2</v>
      </c>
      <c r="Y228" s="3">
        <f t="shared" si="370"/>
        <v>1671.8300000000002</v>
      </c>
      <c r="Z228">
        <f t="shared" si="371"/>
        <v>1671.6000000000001</v>
      </c>
      <c r="AA228">
        <f t="shared" si="372"/>
        <v>1672</v>
      </c>
    </row>
    <row r="229" spans="1:27">
      <c r="A229" s="9"/>
      <c r="B229" s="10">
        <f t="shared" si="345"/>
        <v>3800</v>
      </c>
      <c r="C229" s="9">
        <f t="shared" si="350"/>
        <v>0.22</v>
      </c>
      <c r="D229" s="9">
        <f t="shared" si="356"/>
        <v>0.17</v>
      </c>
      <c r="E229" s="9">
        <f t="shared" si="357"/>
        <v>1.83</v>
      </c>
      <c r="F229" s="9">
        <f t="shared" si="358"/>
        <v>1.7</v>
      </c>
      <c r="G229" s="9">
        <f t="shared" ref="G229:H229" si="401">G228</f>
        <v>0.3</v>
      </c>
      <c r="H229" s="9">
        <f t="shared" si="401"/>
        <v>0.23</v>
      </c>
      <c r="I229" s="9">
        <v>1.4999999999999999E-2</v>
      </c>
      <c r="J229" s="9">
        <f t="shared" si="363"/>
        <v>0.01</v>
      </c>
      <c r="K229" s="9" t="str">
        <f t="shared" si="359"/>
        <v>1/100</v>
      </c>
      <c r="L229" s="9" t="str">
        <f t="shared" ref="L229:N229" si="402">L228</f>
        <v>U60</v>
      </c>
      <c r="M229" s="9">
        <f t="shared" si="402"/>
        <v>0.1</v>
      </c>
      <c r="N229" s="9">
        <f t="shared" si="402"/>
        <v>0.12</v>
      </c>
      <c r="O229" s="9">
        <f t="shared" si="351"/>
        <v>0.3</v>
      </c>
      <c r="P229" s="9">
        <f t="shared" si="365"/>
        <v>0.6</v>
      </c>
      <c r="Q229" s="9">
        <f t="shared" si="360"/>
        <v>1670.8</v>
      </c>
      <c r="R229" s="9">
        <f t="shared" si="347"/>
        <v>1670.5</v>
      </c>
      <c r="S229" s="9">
        <f t="shared" si="361"/>
        <v>1670.4</v>
      </c>
      <c r="T229" s="14">
        <f t="shared" si="348"/>
        <v>1670.63</v>
      </c>
      <c r="U229" s="9"/>
      <c r="W229" s="23">
        <f t="shared" si="368"/>
        <v>3800</v>
      </c>
      <c r="X229">
        <f t="shared" si="369"/>
        <v>1671</v>
      </c>
      <c r="Y229" s="3">
        <f t="shared" si="370"/>
        <v>1670.63</v>
      </c>
      <c r="Z229">
        <f t="shared" si="371"/>
        <v>1670.4</v>
      </c>
      <c r="AA229">
        <f t="shared" si="372"/>
        <v>1670.8</v>
      </c>
    </row>
    <row r="230" spans="1:27">
      <c r="A230" s="9"/>
      <c r="B230" s="10">
        <f t="shared" si="345"/>
        <v>4000</v>
      </c>
      <c r="C230" s="9">
        <f t="shared" si="350"/>
        <v>0.22</v>
      </c>
      <c r="D230" s="9">
        <f t="shared" si="356"/>
        <v>0.17</v>
      </c>
      <c r="E230" s="9">
        <f t="shared" si="357"/>
        <v>1.83</v>
      </c>
      <c r="F230" s="9">
        <f t="shared" si="358"/>
        <v>1.7</v>
      </c>
      <c r="G230" s="9">
        <f t="shared" ref="G230:H230" si="403">G229</f>
        <v>0.3</v>
      </c>
      <c r="H230" s="9">
        <f t="shared" si="403"/>
        <v>0.23</v>
      </c>
      <c r="I230" s="9">
        <v>1.4999999999999999E-2</v>
      </c>
      <c r="J230" s="9">
        <f t="shared" si="363"/>
        <v>0.01</v>
      </c>
      <c r="K230" s="9" t="str">
        <f t="shared" si="359"/>
        <v>1/100</v>
      </c>
      <c r="L230" s="9" t="str">
        <f t="shared" ref="L230:N230" si="404">L229</f>
        <v>U60</v>
      </c>
      <c r="M230" s="9">
        <f t="shared" si="404"/>
        <v>0.1</v>
      </c>
      <c r="N230" s="9">
        <f t="shared" si="404"/>
        <v>0.12</v>
      </c>
      <c r="O230" s="9">
        <f t="shared" si="351"/>
        <v>0.3</v>
      </c>
      <c r="P230" s="9">
        <f t="shared" si="365"/>
        <v>0.6</v>
      </c>
      <c r="Q230" s="9">
        <f t="shared" si="360"/>
        <v>1670.1</v>
      </c>
      <c r="R230" s="9">
        <f t="shared" si="347"/>
        <v>1669.8</v>
      </c>
      <c r="S230" s="9">
        <f>Q230-0.3</f>
        <v>1669.8</v>
      </c>
      <c r="T230" s="14">
        <f t="shared" si="348"/>
        <v>1670.03</v>
      </c>
      <c r="U230" s="9"/>
      <c r="W230" s="23">
        <f t="shared" si="368"/>
        <v>4000</v>
      </c>
      <c r="X230">
        <f t="shared" si="369"/>
        <v>1670.3999999999999</v>
      </c>
      <c r="Y230" s="3">
        <f t="shared" si="370"/>
        <v>1670.03</v>
      </c>
      <c r="Z230">
        <f t="shared" si="371"/>
        <v>1669.8</v>
      </c>
      <c r="AA230">
        <f t="shared" si="372"/>
        <v>1670.1</v>
      </c>
    </row>
    <row r="233" spans="1:27">
      <c r="B233" s="43" t="s">
        <v>336</v>
      </c>
      <c r="C233" s="43" t="s">
        <v>337</v>
      </c>
      <c r="D233" s="43"/>
      <c r="E233" s="43" t="s">
        <v>338</v>
      </c>
      <c r="F233" s="43"/>
      <c r="G233" s="43" t="s">
        <v>339</v>
      </c>
      <c r="H233" s="43"/>
      <c r="I233" s="9" t="s">
        <v>340</v>
      </c>
      <c r="J233" s="9" t="s">
        <v>289</v>
      </c>
      <c r="K233" s="9" t="s">
        <v>863</v>
      </c>
      <c r="L233" s="43" t="s">
        <v>786</v>
      </c>
      <c r="M233" s="43"/>
      <c r="N233" s="43" t="s">
        <v>793</v>
      </c>
      <c r="O233" s="43"/>
      <c r="P233" s="43" t="s">
        <v>794</v>
      </c>
      <c r="Q233" s="43"/>
      <c r="R233" s="9" t="s">
        <v>789</v>
      </c>
      <c r="S233" s="9" t="s">
        <v>790</v>
      </c>
    </row>
    <row r="234" spans="1:27" ht="15.6">
      <c r="B234" s="43"/>
      <c r="C234" s="9" t="s">
        <v>349</v>
      </c>
      <c r="D234" s="9" t="s">
        <v>348</v>
      </c>
      <c r="E234" s="9" t="s">
        <v>351</v>
      </c>
      <c r="F234" s="9" t="s">
        <v>352</v>
      </c>
      <c r="G234" s="9" t="s">
        <v>353</v>
      </c>
      <c r="H234" s="9" t="s">
        <v>354</v>
      </c>
      <c r="I234" s="9" t="s">
        <v>309</v>
      </c>
      <c r="J234" s="9" t="s">
        <v>308</v>
      </c>
      <c r="K234" s="9" t="s">
        <v>864</v>
      </c>
      <c r="L234" s="9" t="s">
        <v>787</v>
      </c>
      <c r="M234" s="9" t="s">
        <v>788</v>
      </c>
      <c r="N234" s="9" t="s">
        <v>798</v>
      </c>
      <c r="O234" s="9" t="s">
        <v>799</v>
      </c>
      <c r="P234" s="9" t="s">
        <v>800</v>
      </c>
      <c r="Q234" s="9" t="s">
        <v>801</v>
      </c>
      <c r="R234" s="9" t="s">
        <v>792</v>
      </c>
      <c r="S234" s="9" t="s">
        <v>791</v>
      </c>
    </row>
    <row r="235" spans="1:27" ht="16.2">
      <c r="B235" s="9" t="s">
        <v>356</v>
      </c>
      <c r="C235" s="9" t="s">
        <v>358</v>
      </c>
      <c r="D235" s="9" t="s">
        <v>358</v>
      </c>
      <c r="E235" s="9" t="s">
        <v>357</v>
      </c>
      <c r="F235" s="9" t="s">
        <v>357</v>
      </c>
      <c r="G235" s="9" t="s">
        <v>307</v>
      </c>
      <c r="H235" s="9" t="s">
        <v>307</v>
      </c>
      <c r="I235" s="9"/>
      <c r="J235" s="9"/>
      <c r="K235" s="9" t="s">
        <v>795</v>
      </c>
      <c r="L235" s="9" t="s">
        <v>796</v>
      </c>
      <c r="M235" s="9" t="s">
        <v>796</v>
      </c>
      <c r="N235" s="9" t="s">
        <v>797</v>
      </c>
      <c r="O235" s="9"/>
      <c r="P235" s="9" t="s">
        <v>797</v>
      </c>
      <c r="Q235" s="9"/>
      <c r="R235" s="9" t="s">
        <v>797</v>
      </c>
      <c r="S235" s="9" t="s">
        <v>797</v>
      </c>
    </row>
    <row r="236" spans="1:27">
      <c r="B236" s="10">
        <f t="shared" ref="B236:C255" si="405">B210</f>
        <v>0</v>
      </c>
      <c r="C236" s="9">
        <f t="shared" si="405"/>
        <v>0.22</v>
      </c>
      <c r="D236" s="9">
        <f t="shared" ref="D236:I236" si="406">D210</f>
        <v>0.17</v>
      </c>
      <c r="E236" s="9">
        <f t="shared" si="406"/>
        <v>1.83</v>
      </c>
      <c r="F236" s="9">
        <f t="shared" si="406"/>
        <v>1.7</v>
      </c>
      <c r="G236" s="9">
        <f t="shared" si="406"/>
        <v>0.3</v>
      </c>
      <c r="H236" s="9">
        <f t="shared" si="406"/>
        <v>0.23</v>
      </c>
      <c r="I236" s="9">
        <f t="shared" si="406"/>
        <v>1.4999999999999999E-2</v>
      </c>
      <c r="J236" s="9" t="str">
        <f>K210</f>
        <v>1/100</v>
      </c>
      <c r="K236" s="9" t="str">
        <f>L210</f>
        <v>U60</v>
      </c>
      <c r="L236" s="9">
        <f t="shared" ref="L236:L256" si="407">N210</f>
        <v>0.12</v>
      </c>
      <c r="M236" s="9">
        <f t="shared" ref="M236:M256" si="408">M210</f>
        <v>0.1</v>
      </c>
      <c r="N236" s="9">
        <v>0.82199999999999995</v>
      </c>
      <c r="O236" s="9">
        <v>0.76</v>
      </c>
      <c r="P236" s="13">
        <f t="shared" ref="P236" si="409">L236/N236</f>
        <v>0.14598540145985403</v>
      </c>
      <c r="Q236" s="13">
        <f t="shared" ref="Q236" si="410">M236/O236</f>
        <v>0.13157894736842105</v>
      </c>
      <c r="R236" s="9">
        <f>O210</f>
        <v>0.3</v>
      </c>
      <c r="S236" s="9">
        <f>P210</f>
        <v>0.6</v>
      </c>
    </row>
    <row r="237" spans="1:27">
      <c r="B237" s="10">
        <f t="shared" si="405"/>
        <v>200</v>
      </c>
      <c r="C237" s="9">
        <f t="shared" si="405"/>
        <v>0.22</v>
      </c>
      <c r="D237" s="9">
        <f t="shared" ref="D237:I246" si="411">D211</f>
        <v>0.17</v>
      </c>
      <c r="E237" s="9">
        <f t="shared" si="411"/>
        <v>1.83</v>
      </c>
      <c r="F237" s="9">
        <f t="shared" si="411"/>
        <v>1.7</v>
      </c>
      <c r="G237" s="9">
        <f t="shared" si="411"/>
        <v>0.3</v>
      </c>
      <c r="H237" s="9">
        <f t="shared" si="411"/>
        <v>0.23</v>
      </c>
      <c r="I237" s="9">
        <f t="shared" si="411"/>
        <v>1.4999999999999999E-2</v>
      </c>
      <c r="J237" s="9" t="str">
        <f t="shared" ref="J237:K237" si="412">K211</f>
        <v>1/100</v>
      </c>
      <c r="K237" s="9" t="str">
        <f t="shared" si="412"/>
        <v>U60</v>
      </c>
      <c r="L237" s="9">
        <f t="shared" si="407"/>
        <v>0.12</v>
      </c>
      <c r="M237" s="9">
        <f t="shared" si="408"/>
        <v>0.1</v>
      </c>
      <c r="N237" s="9">
        <v>0.82199999999999995</v>
      </c>
      <c r="O237" s="9">
        <v>0.76</v>
      </c>
      <c r="P237" s="13">
        <f t="shared" ref="P237:P256" si="413">L237/N237</f>
        <v>0.14598540145985403</v>
      </c>
      <c r="Q237" s="13">
        <f t="shared" ref="Q237:Q256" si="414">M237/O237</f>
        <v>0.13157894736842105</v>
      </c>
      <c r="R237" s="9">
        <f t="shared" ref="R237:S237" si="415">O211</f>
        <v>0.3</v>
      </c>
      <c r="S237" s="9">
        <f t="shared" si="415"/>
        <v>0.6</v>
      </c>
    </row>
    <row r="238" spans="1:27">
      <c r="B238" s="10">
        <f t="shared" si="405"/>
        <v>400</v>
      </c>
      <c r="C238" s="9">
        <f t="shared" si="405"/>
        <v>0.22</v>
      </c>
      <c r="D238" s="9">
        <f t="shared" si="411"/>
        <v>0.17</v>
      </c>
      <c r="E238" s="9">
        <f t="shared" si="411"/>
        <v>1.83</v>
      </c>
      <c r="F238" s="9">
        <f t="shared" si="411"/>
        <v>1.7</v>
      </c>
      <c r="G238" s="9">
        <f t="shared" si="411"/>
        <v>0.3</v>
      </c>
      <c r="H238" s="9">
        <f t="shared" si="411"/>
        <v>0.23</v>
      </c>
      <c r="I238" s="9">
        <f t="shared" si="411"/>
        <v>1.4999999999999999E-2</v>
      </c>
      <c r="J238" s="9" t="str">
        <f t="shared" ref="J238:K238" si="416">K212</f>
        <v>1/100</v>
      </c>
      <c r="K238" s="9" t="str">
        <f t="shared" si="416"/>
        <v>U60</v>
      </c>
      <c r="L238" s="9">
        <f t="shared" si="407"/>
        <v>0.12</v>
      </c>
      <c r="M238" s="9">
        <f t="shared" si="408"/>
        <v>0.1</v>
      </c>
      <c r="N238" s="9">
        <v>0.82199999999999995</v>
      </c>
      <c r="O238" s="9">
        <v>0.76</v>
      </c>
      <c r="P238" s="13">
        <f t="shared" si="413"/>
        <v>0.14598540145985403</v>
      </c>
      <c r="Q238" s="13">
        <f t="shared" si="414"/>
        <v>0.13157894736842105</v>
      </c>
      <c r="R238" s="9">
        <f t="shared" ref="R238:S238" si="417">O212</f>
        <v>0.3</v>
      </c>
      <c r="S238" s="9">
        <f t="shared" si="417"/>
        <v>0.6</v>
      </c>
    </row>
    <row r="239" spans="1:27">
      <c r="B239" s="10">
        <f t="shared" si="405"/>
        <v>600</v>
      </c>
      <c r="C239" s="9">
        <f t="shared" si="405"/>
        <v>0.22</v>
      </c>
      <c r="D239" s="9">
        <f t="shared" si="411"/>
        <v>0.17</v>
      </c>
      <c r="E239" s="9">
        <f t="shared" si="411"/>
        <v>1.83</v>
      </c>
      <c r="F239" s="9">
        <f t="shared" si="411"/>
        <v>1.7</v>
      </c>
      <c r="G239" s="9">
        <f t="shared" si="411"/>
        <v>0.3</v>
      </c>
      <c r="H239" s="9">
        <f t="shared" si="411"/>
        <v>0.23</v>
      </c>
      <c r="I239" s="9">
        <f t="shared" si="411"/>
        <v>1.4999999999999999E-2</v>
      </c>
      <c r="J239" s="9" t="str">
        <f t="shared" ref="J239:K239" si="418">K213</f>
        <v>1/100</v>
      </c>
      <c r="K239" s="9" t="str">
        <f t="shared" si="418"/>
        <v>U60</v>
      </c>
      <c r="L239" s="9">
        <f t="shared" si="407"/>
        <v>0.12</v>
      </c>
      <c r="M239" s="9">
        <f t="shared" si="408"/>
        <v>0.1</v>
      </c>
      <c r="N239" s="9">
        <v>0.82199999999999995</v>
      </c>
      <c r="O239" s="9">
        <v>0.76</v>
      </c>
      <c r="P239" s="13">
        <f t="shared" si="413"/>
        <v>0.14598540145985403</v>
      </c>
      <c r="Q239" s="13">
        <f t="shared" si="414"/>
        <v>0.13157894736842105</v>
      </c>
      <c r="R239" s="9">
        <f t="shared" ref="R239:S239" si="419">O213</f>
        <v>0.3</v>
      </c>
      <c r="S239" s="9">
        <f t="shared" si="419"/>
        <v>0.6</v>
      </c>
    </row>
    <row r="240" spans="1:27">
      <c r="B240" s="10">
        <f t="shared" si="405"/>
        <v>800</v>
      </c>
      <c r="C240" s="9">
        <f t="shared" si="405"/>
        <v>0.22</v>
      </c>
      <c r="D240" s="9">
        <f t="shared" si="411"/>
        <v>0.17</v>
      </c>
      <c r="E240" s="9">
        <f t="shared" si="411"/>
        <v>1.83</v>
      </c>
      <c r="F240" s="9">
        <f t="shared" si="411"/>
        <v>1.7</v>
      </c>
      <c r="G240" s="9">
        <f t="shared" si="411"/>
        <v>0.3</v>
      </c>
      <c r="H240" s="9">
        <f t="shared" si="411"/>
        <v>0.23</v>
      </c>
      <c r="I240" s="9">
        <f t="shared" si="411"/>
        <v>1.4999999999999999E-2</v>
      </c>
      <c r="J240" s="9" t="str">
        <f t="shared" ref="J240:K240" si="420">K214</f>
        <v>1/100</v>
      </c>
      <c r="K240" s="9" t="str">
        <f t="shared" si="420"/>
        <v>U60</v>
      </c>
      <c r="L240" s="9">
        <f t="shared" si="407"/>
        <v>0.12</v>
      </c>
      <c r="M240" s="9">
        <f t="shared" si="408"/>
        <v>0.1</v>
      </c>
      <c r="N240" s="9">
        <v>0.82199999999999995</v>
      </c>
      <c r="O240" s="9">
        <v>0.76</v>
      </c>
      <c r="P240" s="13">
        <f t="shared" si="413"/>
        <v>0.14598540145985403</v>
      </c>
      <c r="Q240" s="13">
        <f t="shared" si="414"/>
        <v>0.13157894736842105</v>
      </c>
      <c r="R240" s="9">
        <f t="shared" ref="R240:S240" si="421">O214</f>
        <v>0.3</v>
      </c>
      <c r="S240" s="9">
        <f t="shared" si="421"/>
        <v>0.6</v>
      </c>
    </row>
    <row r="241" spans="2:19">
      <c r="B241" s="10">
        <f t="shared" si="405"/>
        <v>1000</v>
      </c>
      <c r="C241" s="9">
        <f t="shared" si="405"/>
        <v>0.22</v>
      </c>
      <c r="D241" s="9">
        <f t="shared" si="411"/>
        <v>0.17</v>
      </c>
      <c r="E241" s="9">
        <f t="shared" si="411"/>
        <v>1.83</v>
      </c>
      <c r="F241" s="9">
        <f t="shared" si="411"/>
        <v>1.7</v>
      </c>
      <c r="G241" s="9">
        <f t="shared" si="411"/>
        <v>0.3</v>
      </c>
      <c r="H241" s="9">
        <f t="shared" si="411"/>
        <v>0.23</v>
      </c>
      <c r="I241" s="9">
        <f t="shared" si="411"/>
        <v>1.4999999999999999E-2</v>
      </c>
      <c r="J241" s="9" t="str">
        <f t="shared" ref="J241:K241" si="422">K215</f>
        <v>1/100</v>
      </c>
      <c r="K241" s="9" t="str">
        <f t="shared" si="422"/>
        <v>U60</v>
      </c>
      <c r="L241" s="9">
        <f t="shared" si="407"/>
        <v>0.12</v>
      </c>
      <c r="M241" s="9">
        <f t="shared" si="408"/>
        <v>0.1</v>
      </c>
      <c r="N241" s="9">
        <v>0.82199999999999995</v>
      </c>
      <c r="O241" s="9">
        <v>0.76</v>
      </c>
      <c r="P241" s="13">
        <f t="shared" si="413"/>
        <v>0.14598540145985403</v>
      </c>
      <c r="Q241" s="13">
        <f t="shared" si="414"/>
        <v>0.13157894736842105</v>
      </c>
      <c r="R241" s="9">
        <f t="shared" ref="R241:S241" si="423">O215</f>
        <v>0.3</v>
      </c>
      <c r="S241" s="9">
        <f t="shared" si="423"/>
        <v>0.6</v>
      </c>
    </row>
    <row r="242" spans="2:19">
      <c r="B242" s="10">
        <f t="shared" si="405"/>
        <v>1200</v>
      </c>
      <c r="C242" s="9">
        <f t="shared" si="405"/>
        <v>0.22</v>
      </c>
      <c r="D242" s="9">
        <f t="shared" si="411"/>
        <v>0.17</v>
      </c>
      <c r="E242" s="9">
        <f t="shared" si="411"/>
        <v>1.83</v>
      </c>
      <c r="F242" s="9">
        <f t="shared" si="411"/>
        <v>1.7</v>
      </c>
      <c r="G242" s="9">
        <f t="shared" si="411"/>
        <v>0.3</v>
      </c>
      <c r="H242" s="9">
        <f t="shared" si="411"/>
        <v>0.23</v>
      </c>
      <c r="I242" s="9">
        <f t="shared" si="411"/>
        <v>1.4999999999999999E-2</v>
      </c>
      <c r="J242" s="9" t="str">
        <f t="shared" ref="J242:K242" si="424">K216</f>
        <v>1/100</v>
      </c>
      <c r="K242" s="9" t="str">
        <f t="shared" si="424"/>
        <v>U60</v>
      </c>
      <c r="L242" s="9">
        <f t="shared" si="407"/>
        <v>0.12</v>
      </c>
      <c r="M242" s="9">
        <f t="shared" si="408"/>
        <v>0.1</v>
      </c>
      <c r="N242" s="9">
        <v>0.82199999999999995</v>
      </c>
      <c r="O242" s="9">
        <v>0.76</v>
      </c>
      <c r="P242" s="13">
        <f t="shared" si="413"/>
        <v>0.14598540145985403</v>
      </c>
      <c r="Q242" s="13">
        <f t="shared" si="414"/>
        <v>0.13157894736842105</v>
      </c>
      <c r="R242" s="9">
        <f t="shared" ref="R242:S242" si="425">O216</f>
        <v>0.3</v>
      </c>
      <c r="S242" s="9">
        <f t="shared" si="425"/>
        <v>0.6</v>
      </c>
    </row>
    <row r="243" spans="2:19">
      <c r="B243" s="10">
        <f t="shared" si="405"/>
        <v>1400</v>
      </c>
      <c r="C243" s="9">
        <f t="shared" si="405"/>
        <v>0.22</v>
      </c>
      <c r="D243" s="9">
        <f t="shared" si="411"/>
        <v>0.17</v>
      </c>
      <c r="E243" s="9">
        <f t="shared" si="411"/>
        <v>1.83</v>
      </c>
      <c r="F243" s="9">
        <f t="shared" si="411"/>
        <v>1.7</v>
      </c>
      <c r="G243" s="9">
        <f t="shared" si="411"/>
        <v>0.3</v>
      </c>
      <c r="H243" s="9">
        <f t="shared" si="411"/>
        <v>0.23</v>
      </c>
      <c r="I243" s="9">
        <f t="shared" si="411"/>
        <v>1.4999999999999999E-2</v>
      </c>
      <c r="J243" s="9" t="str">
        <f t="shared" ref="J243:K243" si="426">K217</f>
        <v>1/100</v>
      </c>
      <c r="K243" s="9" t="str">
        <f t="shared" si="426"/>
        <v>U60</v>
      </c>
      <c r="L243" s="9">
        <f t="shared" si="407"/>
        <v>0.12</v>
      </c>
      <c r="M243" s="9">
        <f t="shared" si="408"/>
        <v>0.1</v>
      </c>
      <c r="N243" s="9">
        <v>0.82199999999999995</v>
      </c>
      <c r="O243" s="9">
        <v>0.76</v>
      </c>
      <c r="P243" s="13">
        <f t="shared" si="413"/>
        <v>0.14598540145985403</v>
      </c>
      <c r="Q243" s="13">
        <f t="shared" si="414"/>
        <v>0.13157894736842105</v>
      </c>
      <c r="R243" s="9">
        <f t="shared" ref="R243:S243" si="427">O217</f>
        <v>0.3</v>
      </c>
      <c r="S243" s="9">
        <f t="shared" si="427"/>
        <v>0.6</v>
      </c>
    </row>
    <row r="244" spans="2:19">
      <c r="B244" s="10">
        <f t="shared" si="405"/>
        <v>1600</v>
      </c>
      <c r="C244" s="9">
        <f t="shared" si="405"/>
        <v>0.22</v>
      </c>
      <c r="D244" s="9">
        <f t="shared" si="411"/>
        <v>0.17</v>
      </c>
      <c r="E244" s="9">
        <f t="shared" si="411"/>
        <v>1.83</v>
      </c>
      <c r="F244" s="9">
        <f t="shared" si="411"/>
        <v>1.7</v>
      </c>
      <c r="G244" s="9">
        <f t="shared" si="411"/>
        <v>0.3</v>
      </c>
      <c r="H244" s="9">
        <f t="shared" si="411"/>
        <v>0.23</v>
      </c>
      <c r="I244" s="9">
        <f t="shared" si="411"/>
        <v>1.4999999999999999E-2</v>
      </c>
      <c r="J244" s="9" t="str">
        <f t="shared" ref="J244:K244" si="428">K218</f>
        <v>1/100</v>
      </c>
      <c r="K244" s="9" t="str">
        <f t="shared" si="428"/>
        <v>U60</v>
      </c>
      <c r="L244" s="9">
        <f t="shared" si="407"/>
        <v>0.12</v>
      </c>
      <c r="M244" s="9">
        <f t="shared" si="408"/>
        <v>0.1</v>
      </c>
      <c r="N244" s="9">
        <v>0.82199999999999995</v>
      </c>
      <c r="O244" s="9">
        <v>0.76</v>
      </c>
      <c r="P244" s="13">
        <f t="shared" si="413"/>
        <v>0.14598540145985403</v>
      </c>
      <c r="Q244" s="13">
        <f t="shared" si="414"/>
        <v>0.13157894736842105</v>
      </c>
      <c r="R244" s="9">
        <f t="shared" ref="R244:S244" si="429">O218</f>
        <v>0.3</v>
      </c>
      <c r="S244" s="9">
        <f t="shared" si="429"/>
        <v>0.6</v>
      </c>
    </row>
    <row r="245" spans="2:19">
      <c r="B245" s="10">
        <f t="shared" si="405"/>
        <v>1800</v>
      </c>
      <c r="C245" s="9">
        <f t="shared" si="405"/>
        <v>0.22</v>
      </c>
      <c r="D245" s="9">
        <f t="shared" si="411"/>
        <v>0.17</v>
      </c>
      <c r="E245" s="9">
        <f t="shared" si="411"/>
        <v>1.83</v>
      </c>
      <c r="F245" s="9">
        <f t="shared" si="411"/>
        <v>1.7</v>
      </c>
      <c r="G245" s="9">
        <f t="shared" si="411"/>
        <v>0.3</v>
      </c>
      <c r="H245" s="9">
        <f t="shared" si="411"/>
        <v>0.23</v>
      </c>
      <c r="I245" s="9">
        <f t="shared" si="411"/>
        <v>1.4999999999999999E-2</v>
      </c>
      <c r="J245" s="9" t="str">
        <f t="shared" ref="J245:K245" si="430">K219</f>
        <v>1/100</v>
      </c>
      <c r="K245" s="9" t="str">
        <f t="shared" si="430"/>
        <v>U60</v>
      </c>
      <c r="L245" s="9">
        <f t="shared" si="407"/>
        <v>0.12</v>
      </c>
      <c r="M245" s="9">
        <f t="shared" si="408"/>
        <v>0.1</v>
      </c>
      <c r="N245" s="9">
        <v>0.82199999999999995</v>
      </c>
      <c r="O245" s="9">
        <v>0.76</v>
      </c>
      <c r="P245" s="13">
        <f t="shared" si="413"/>
        <v>0.14598540145985403</v>
      </c>
      <c r="Q245" s="13">
        <f t="shared" si="414"/>
        <v>0.13157894736842105</v>
      </c>
      <c r="R245" s="9">
        <f t="shared" ref="R245:S245" si="431">O219</f>
        <v>0.3</v>
      </c>
      <c r="S245" s="9">
        <f t="shared" si="431"/>
        <v>0.6</v>
      </c>
    </row>
    <row r="246" spans="2:19">
      <c r="B246" s="10">
        <f t="shared" si="405"/>
        <v>2000</v>
      </c>
      <c r="C246" s="9">
        <f t="shared" si="405"/>
        <v>0.22</v>
      </c>
      <c r="D246" s="9">
        <f t="shared" si="411"/>
        <v>0.17</v>
      </c>
      <c r="E246" s="9">
        <f t="shared" si="411"/>
        <v>1.83</v>
      </c>
      <c r="F246" s="9">
        <f t="shared" si="411"/>
        <v>1.7</v>
      </c>
      <c r="G246" s="9">
        <f t="shared" si="411"/>
        <v>0.3</v>
      </c>
      <c r="H246" s="9">
        <f t="shared" si="411"/>
        <v>0.23</v>
      </c>
      <c r="I246" s="9">
        <f t="shared" si="411"/>
        <v>1.4999999999999999E-2</v>
      </c>
      <c r="J246" s="9" t="str">
        <f t="shared" ref="J246:K246" si="432">K220</f>
        <v>1/100</v>
      </c>
      <c r="K246" s="9" t="str">
        <f t="shared" si="432"/>
        <v>U60</v>
      </c>
      <c r="L246" s="9">
        <f t="shared" si="407"/>
        <v>0.12</v>
      </c>
      <c r="M246" s="9">
        <f t="shared" si="408"/>
        <v>0.1</v>
      </c>
      <c r="N246" s="9">
        <v>0.82199999999999995</v>
      </c>
      <c r="O246" s="9">
        <v>0.76</v>
      </c>
      <c r="P246" s="13">
        <f t="shared" si="413"/>
        <v>0.14598540145985403</v>
      </c>
      <c r="Q246" s="13">
        <f t="shared" si="414"/>
        <v>0.13157894736842105</v>
      </c>
      <c r="R246" s="9">
        <f t="shared" ref="R246:S246" si="433">O220</f>
        <v>0.3</v>
      </c>
      <c r="S246" s="9">
        <f t="shared" si="433"/>
        <v>0.6</v>
      </c>
    </row>
    <row r="247" spans="2:19">
      <c r="B247" s="10">
        <f t="shared" si="405"/>
        <v>2200</v>
      </c>
      <c r="C247" s="9">
        <f t="shared" si="405"/>
        <v>0.22</v>
      </c>
      <c r="D247" s="9">
        <f t="shared" ref="D247:I255" si="434">D221</f>
        <v>0.17</v>
      </c>
      <c r="E247" s="9">
        <f t="shared" si="434"/>
        <v>1.83</v>
      </c>
      <c r="F247" s="9">
        <f t="shared" si="434"/>
        <v>1.7</v>
      </c>
      <c r="G247" s="9">
        <f t="shared" si="434"/>
        <v>0.3</v>
      </c>
      <c r="H247" s="9">
        <f t="shared" si="434"/>
        <v>0.23</v>
      </c>
      <c r="I247" s="9">
        <f t="shared" si="434"/>
        <v>1.4999999999999999E-2</v>
      </c>
      <c r="J247" s="9" t="str">
        <f t="shared" ref="J247:K247" si="435">K221</f>
        <v>1/100</v>
      </c>
      <c r="K247" s="9" t="str">
        <f t="shared" si="435"/>
        <v>U60</v>
      </c>
      <c r="L247" s="9">
        <f t="shared" si="407"/>
        <v>0.12</v>
      </c>
      <c r="M247" s="9">
        <f t="shared" si="408"/>
        <v>0.1</v>
      </c>
      <c r="N247" s="9">
        <v>0.82199999999999995</v>
      </c>
      <c r="O247" s="9">
        <v>0.76</v>
      </c>
      <c r="P247" s="13">
        <f t="shared" si="413"/>
        <v>0.14598540145985403</v>
      </c>
      <c r="Q247" s="13">
        <f t="shared" si="414"/>
        <v>0.13157894736842105</v>
      </c>
      <c r="R247" s="9">
        <f t="shared" ref="R247:S247" si="436">O221</f>
        <v>0.3</v>
      </c>
      <c r="S247" s="9">
        <f t="shared" si="436"/>
        <v>0.6</v>
      </c>
    </row>
    <row r="248" spans="2:19">
      <c r="B248" s="10">
        <f t="shared" si="405"/>
        <v>2400</v>
      </c>
      <c r="C248" s="9">
        <f t="shared" si="405"/>
        <v>0.22</v>
      </c>
      <c r="D248" s="9">
        <f t="shared" si="434"/>
        <v>0.17</v>
      </c>
      <c r="E248" s="9">
        <f t="shared" si="434"/>
        <v>1.83</v>
      </c>
      <c r="F248" s="9">
        <f t="shared" si="434"/>
        <v>1.7</v>
      </c>
      <c r="G248" s="9">
        <f t="shared" si="434"/>
        <v>0.3</v>
      </c>
      <c r="H248" s="9">
        <f t="shared" si="434"/>
        <v>0.23</v>
      </c>
      <c r="I248" s="9">
        <f t="shared" si="434"/>
        <v>1.4999999999999999E-2</v>
      </c>
      <c r="J248" s="9" t="str">
        <f t="shared" ref="J248:K248" si="437">K222</f>
        <v>1/100</v>
      </c>
      <c r="K248" s="9" t="str">
        <f t="shared" si="437"/>
        <v>U60</v>
      </c>
      <c r="L248" s="9">
        <f t="shared" si="407"/>
        <v>0.12</v>
      </c>
      <c r="M248" s="9">
        <f t="shared" si="408"/>
        <v>0.1</v>
      </c>
      <c r="N248" s="9">
        <v>0.82199999999999995</v>
      </c>
      <c r="O248" s="9">
        <v>0.76</v>
      </c>
      <c r="P248" s="13">
        <f t="shared" si="413"/>
        <v>0.14598540145985403</v>
      </c>
      <c r="Q248" s="13">
        <f t="shared" si="414"/>
        <v>0.13157894736842105</v>
      </c>
      <c r="R248" s="9">
        <f t="shared" ref="R248:S248" si="438">O222</f>
        <v>0.3</v>
      </c>
      <c r="S248" s="9">
        <f t="shared" si="438"/>
        <v>0.6</v>
      </c>
    </row>
    <row r="249" spans="2:19">
      <c r="B249" s="10">
        <f t="shared" si="405"/>
        <v>2600</v>
      </c>
      <c r="C249" s="9">
        <f t="shared" si="405"/>
        <v>0.22</v>
      </c>
      <c r="D249" s="9">
        <f t="shared" si="434"/>
        <v>0.17</v>
      </c>
      <c r="E249" s="9">
        <f t="shared" si="434"/>
        <v>1.83</v>
      </c>
      <c r="F249" s="9">
        <f t="shared" si="434"/>
        <v>1.7</v>
      </c>
      <c r="G249" s="9">
        <f t="shared" si="434"/>
        <v>0.3</v>
      </c>
      <c r="H249" s="9">
        <f t="shared" si="434"/>
        <v>0.23</v>
      </c>
      <c r="I249" s="9">
        <f t="shared" si="434"/>
        <v>1.4999999999999999E-2</v>
      </c>
      <c r="J249" s="9" t="str">
        <f t="shared" ref="J249:K249" si="439">K223</f>
        <v>1/100</v>
      </c>
      <c r="K249" s="9" t="str">
        <f t="shared" si="439"/>
        <v>U60</v>
      </c>
      <c r="L249" s="9">
        <f t="shared" si="407"/>
        <v>0.12</v>
      </c>
      <c r="M249" s="9">
        <f t="shared" si="408"/>
        <v>0.1</v>
      </c>
      <c r="N249" s="9">
        <v>0.82199999999999995</v>
      </c>
      <c r="O249" s="9">
        <v>0.76</v>
      </c>
      <c r="P249" s="13">
        <f t="shared" si="413"/>
        <v>0.14598540145985403</v>
      </c>
      <c r="Q249" s="13">
        <f t="shared" si="414"/>
        <v>0.13157894736842105</v>
      </c>
      <c r="R249" s="9">
        <f t="shared" ref="R249:S249" si="440">O223</f>
        <v>0.3</v>
      </c>
      <c r="S249" s="9">
        <f t="shared" si="440"/>
        <v>0.6</v>
      </c>
    </row>
    <row r="250" spans="2:19">
      <c r="B250" s="10">
        <f t="shared" si="405"/>
        <v>2800</v>
      </c>
      <c r="C250" s="9">
        <f t="shared" si="405"/>
        <v>0.22</v>
      </c>
      <c r="D250" s="9">
        <f t="shared" si="434"/>
        <v>0.17</v>
      </c>
      <c r="E250" s="9">
        <f t="shared" si="434"/>
        <v>1.83</v>
      </c>
      <c r="F250" s="9">
        <f t="shared" si="434"/>
        <v>1.7</v>
      </c>
      <c r="G250" s="9">
        <f t="shared" si="434"/>
        <v>0.3</v>
      </c>
      <c r="H250" s="9">
        <f t="shared" si="434"/>
        <v>0.23</v>
      </c>
      <c r="I250" s="9">
        <f t="shared" si="434"/>
        <v>1.4999999999999999E-2</v>
      </c>
      <c r="J250" s="9" t="str">
        <f t="shared" ref="J250:K250" si="441">K224</f>
        <v>1/100</v>
      </c>
      <c r="K250" s="9" t="str">
        <f t="shared" si="441"/>
        <v>U60</v>
      </c>
      <c r="L250" s="9">
        <f t="shared" si="407"/>
        <v>0.12</v>
      </c>
      <c r="M250" s="9">
        <f t="shared" si="408"/>
        <v>0.1</v>
      </c>
      <c r="N250" s="9">
        <v>0.82199999999999995</v>
      </c>
      <c r="O250" s="9">
        <v>0.76</v>
      </c>
      <c r="P250" s="13">
        <f t="shared" si="413"/>
        <v>0.14598540145985403</v>
      </c>
      <c r="Q250" s="13">
        <f t="shared" si="414"/>
        <v>0.13157894736842105</v>
      </c>
      <c r="R250" s="9">
        <f t="shared" ref="R250:S250" si="442">O224</f>
        <v>0.3</v>
      </c>
      <c r="S250" s="9">
        <f t="shared" si="442"/>
        <v>0.6</v>
      </c>
    </row>
    <row r="251" spans="2:19">
      <c r="B251" s="10">
        <f t="shared" si="405"/>
        <v>3000</v>
      </c>
      <c r="C251" s="9">
        <f t="shared" si="405"/>
        <v>0.22</v>
      </c>
      <c r="D251" s="9">
        <f t="shared" si="434"/>
        <v>0.17</v>
      </c>
      <c r="E251" s="9">
        <f t="shared" si="434"/>
        <v>1.83</v>
      </c>
      <c r="F251" s="9">
        <f t="shared" si="434"/>
        <v>1.7</v>
      </c>
      <c r="G251" s="9">
        <f t="shared" si="434"/>
        <v>0.3</v>
      </c>
      <c r="H251" s="9">
        <f t="shared" si="434"/>
        <v>0.23</v>
      </c>
      <c r="I251" s="9">
        <f t="shared" si="434"/>
        <v>1.4999999999999999E-2</v>
      </c>
      <c r="J251" s="9" t="str">
        <f t="shared" ref="J251:K251" si="443">K225</f>
        <v>1/100</v>
      </c>
      <c r="K251" s="9" t="str">
        <f t="shared" si="443"/>
        <v>U60</v>
      </c>
      <c r="L251" s="9">
        <f t="shared" si="407"/>
        <v>0.12</v>
      </c>
      <c r="M251" s="9">
        <f t="shared" si="408"/>
        <v>0.1</v>
      </c>
      <c r="N251" s="9">
        <v>0.82199999999999995</v>
      </c>
      <c r="O251" s="9">
        <v>0.76</v>
      </c>
      <c r="P251" s="13">
        <f t="shared" si="413"/>
        <v>0.14598540145985403</v>
      </c>
      <c r="Q251" s="13">
        <f t="shared" si="414"/>
        <v>0.13157894736842105</v>
      </c>
      <c r="R251" s="9">
        <f t="shared" ref="R251:S251" si="444">O225</f>
        <v>0.3</v>
      </c>
      <c r="S251" s="9">
        <f t="shared" si="444"/>
        <v>0.6</v>
      </c>
    </row>
    <row r="252" spans="2:19">
      <c r="B252" s="10">
        <f t="shared" si="405"/>
        <v>3200</v>
      </c>
      <c r="C252" s="9">
        <f t="shared" si="405"/>
        <v>0.22</v>
      </c>
      <c r="D252" s="9">
        <f t="shared" si="434"/>
        <v>0.17</v>
      </c>
      <c r="E252" s="9">
        <f t="shared" si="434"/>
        <v>1.83</v>
      </c>
      <c r="F252" s="9">
        <f t="shared" si="434"/>
        <v>1.7</v>
      </c>
      <c r="G252" s="9">
        <f t="shared" si="434"/>
        <v>0.3</v>
      </c>
      <c r="H252" s="9">
        <f t="shared" si="434"/>
        <v>0.23</v>
      </c>
      <c r="I252" s="9">
        <f t="shared" si="434"/>
        <v>1.4999999999999999E-2</v>
      </c>
      <c r="J252" s="9" t="str">
        <f t="shared" ref="J252:K252" si="445">K226</f>
        <v>1/100</v>
      </c>
      <c r="K252" s="9" t="str">
        <f t="shared" si="445"/>
        <v>U60</v>
      </c>
      <c r="L252" s="9">
        <f t="shared" si="407"/>
        <v>0.12</v>
      </c>
      <c r="M252" s="9">
        <f t="shared" si="408"/>
        <v>0.1</v>
      </c>
      <c r="N252" s="9">
        <v>0.82199999999999995</v>
      </c>
      <c r="O252" s="9">
        <v>0.76</v>
      </c>
      <c r="P252" s="13">
        <f t="shared" si="413"/>
        <v>0.14598540145985403</v>
      </c>
      <c r="Q252" s="13">
        <f t="shared" si="414"/>
        <v>0.13157894736842105</v>
      </c>
      <c r="R252" s="9">
        <f t="shared" ref="R252:S252" si="446">O226</f>
        <v>0.3</v>
      </c>
      <c r="S252" s="9">
        <f t="shared" si="446"/>
        <v>0.6</v>
      </c>
    </row>
    <row r="253" spans="2:19">
      <c r="B253" s="10">
        <f t="shared" si="405"/>
        <v>3400</v>
      </c>
      <c r="C253" s="9">
        <f t="shared" si="405"/>
        <v>0.22</v>
      </c>
      <c r="D253" s="9">
        <f t="shared" si="434"/>
        <v>0.17</v>
      </c>
      <c r="E253" s="9">
        <f t="shared" si="434"/>
        <v>1.83</v>
      </c>
      <c r="F253" s="9">
        <f t="shared" si="434"/>
        <v>1.7</v>
      </c>
      <c r="G253" s="9">
        <f t="shared" si="434"/>
        <v>0.3</v>
      </c>
      <c r="H253" s="9">
        <f t="shared" si="434"/>
        <v>0.23</v>
      </c>
      <c r="I253" s="9">
        <f t="shared" si="434"/>
        <v>1.4999999999999999E-2</v>
      </c>
      <c r="J253" s="9" t="str">
        <f t="shared" ref="J253:K253" si="447">K227</f>
        <v>1/100</v>
      </c>
      <c r="K253" s="9" t="str">
        <f t="shared" si="447"/>
        <v>U60</v>
      </c>
      <c r="L253" s="9">
        <f t="shared" si="407"/>
        <v>0.12</v>
      </c>
      <c r="M253" s="9">
        <f t="shared" si="408"/>
        <v>0.1</v>
      </c>
      <c r="N253" s="9">
        <v>0.82199999999999995</v>
      </c>
      <c r="O253" s="9">
        <v>0.76</v>
      </c>
      <c r="P253" s="13">
        <f t="shared" si="413"/>
        <v>0.14598540145985403</v>
      </c>
      <c r="Q253" s="13">
        <f t="shared" si="414"/>
        <v>0.13157894736842105</v>
      </c>
      <c r="R253" s="9">
        <f t="shared" ref="R253:S253" si="448">O227</f>
        <v>0.3</v>
      </c>
      <c r="S253" s="9">
        <f t="shared" si="448"/>
        <v>0.6</v>
      </c>
    </row>
    <row r="254" spans="2:19">
      <c r="B254" s="10">
        <f t="shared" si="405"/>
        <v>3600</v>
      </c>
      <c r="C254" s="9">
        <f t="shared" si="405"/>
        <v>0.22</v>
      </c>
      <c r="D254" s="9">
        <f t="shared" si="434"/>
        <v>0.17</v>
      </c>
      <c r="E254" s="9">
        <f t="shared" si="434"/>
        <v>1.83</v>
      </c>
      <c r="F254" s="9">
        <f t="shared" si="434"/>
        <v>1.7</v>
      </c>
      <c r="G254" s="9">
        <f t="shared" si="434"/>
        <v>0.3</v>
      </c>
      <c r="H254" s="9">
        <f t="shared" si="434"/>
        <v>0.23</v>
      </c>
      <c r="I254" s="9">
        <f t="shared" si="434"/>
        <v>1.4999999999999999E-2</v>
      </c>
      <c r="J254" s="9" t="str">
        <f t="shared" ref="J254:K254" si="449">K228</f>
        <v>1/100</v>
      </c>
      <c r="K254" s="9" t="str">
        <f t="shared" si="449"/>
        <v>U60</v>
      </c>
      <c r="L254" s="9">
        <f t="shared" si="407"/>
        <v>0.12</v>
      </c>
      <c r="M254" s="9">
        <f t="shared" si="408"/>
        <v>0.1</v>
      </c>
      <c r="N254" s="9">
        <v>0.82199999999999995</v>
      </c>
      <c r="O254" s="9">
        <v>0.76</v>
      </c>
      <c r="P254" s="13">
        <f t="shared" si="413"/>
        <v>0.14598540145985403</v>
      </c>
      <c r="Q254" s="13">
        <f t="shared" si="414"/>
        <v>0.13157894736842105</v>
      </c>
      <c r="R254" s="9">
        <f t="shared" ref="R254:S254" si="450">O228</f>
        <v>0.3</v>
      </c>
      <c r="S254" s="9">
        <f t="shared" si="450"/>
        <v>0.6</v>
      </c>
    </row>
    <row r="255" spans="2:19">
      <c r="B255" s="10">
        <f t="shared" si="405"/>
        <v>3800</v>
      </c>
      <c r="C255" s="9">
        <f t="shared" si="405"/>
        <v>0.22</v>
      </c>
      <c r="D255" s="9">
        <f t="shared" si="434"/>
        <v>0.17</v>
      </c>
      <c r="E255" s="9">
        <f t="shared" si="434"/>
        <v>1.83</v>
      </c>
      <c r="F255" s="9">
        <f t="shared" si="434"/>
        <v>1.7</v>
      </c>
      <c r="G255" s="9">
        <f t="shared" si="434"/>
        <v>0.3</v>
      </c>
      <c r="H255" s="9">
        <f t="shared" si="434"/>
        <v>0.23</v>
      </c>
      <c r="I255" s="9">
        <f t="shared" si="434"/>
        <v>1.4999999999999999E-2</v>
      </c>
      <c r="J255" s="9" t="str">
        <f t="shared" ref="J255:K255" si="451">K229</f>
        <v>1/100</v>
      </c>
      <c r="K255" s="9" t="str">
        <f t="shared" si="451"/>
        <v>U60</v>
      </c>
      <c r="L255" s="9">
        <f t="shared" si="407"/>
        <v>0.12</v>
      </c>
      <c r="M255" s="9">
        <f t="shared" si="408"/>
        <v>0.1</v>
      </c>
      <c r="N255" s="9">
        <v>0.82199999999999995</v>
      </c>
      <c r="O255" s="9">
        <v>0.76</v>
      </c>
      <c r="P255" s="13">
        <f t="shared" si="413"/>
        <v>0.14598540145985403</v>
      </c>
      <c r="Q255" s="13">
        <f t="shared" si="414"/>
        <v>0.13157894736842105</v>
      </c>
      <c r="R255" s="9">
        <f t="shared" ref="R255:S255" si="452">O229</f>
        <v>0.3</v>
      </c>
      <c r="S255" s="9">
        <f t="shared" si="452"/>
        <v>0.6</v>
      </c>
    </row>
    <row r="256" spans="2:19">
      <c r="B256" s="10">
        <f>B230</f>
        <v>4000</v>
      </c>
      <c r="C256" s="9">
        <f t="shared" ref="C256:I256" si="453">C230</f>
        <v>0.22</v>
      </c>
      <c r="D256" s="9">
        <f t="shared" si="453"/>
        <v>0.17</v>
      </c>
      <c r="E256" s="9">
        <f t="shared" si="453"/>
        <v>1.83</v>
      </c>
      <c r="F256" s="9">
        <f t="shared" si="453"/>
        <v>1.7</v>
      </c>
      <c r="G256" s="9">
        <f t="shared" si="453"/>
        <v>0.3</v>
      </c>
      <c r="H256" s="9">
        <f t="shared" si="453"/>
        <v>0.23</v>
      </c>
      <c r="I256" s="9">
        <f t="shared" si="453"/>
        <v>1.4999999999999999E-2</v>
      </c>
      <c r="J256" s="9" t="str">
        <f t="shared" ref="J256:K256" si="454">K230</f>
        <v>1/100</v>
      </c>
      <c r="K256" s="9" t="str">
        <f t="shared" si="454"/>
        <v>U60</v>
      </c>
      <c r="L256" s="9">
        <f t="shared" si="407"/>
        <v>0.12</v>
      </c>
      <c r="M256" s="9">
        <f t="shared" si="408"/>
        <v>0.1</v>
      </c>
      <c r="N256" s="9">
        <v>0.82199999999999995</v>
      </c>
      <c r="O256" s="9">
        <v>0.76</v>
      </c>
      <c r="P256" s="13">
        <f t="shared" si="413"/>
        <v>0.14598540145985403</v>
      </c>
      <c r="Q256" s="13">
        <f t="shared" si="414"/>
        <v>0.13157894736842105</v>
      </c>
      <c r="R256" s="9">
        <f t="shared" ref="R256:S256" si="455">O230</f>
        <v>0.3</v>
      </c>
      <c r="S256" s="9">
        <f t="shared" si="455"/>
        <v>0.6</v>
      </c>
    </row>
    <row r="260" spans="1:27">
      <c r="A260" s="15" t="s">
        <v>536</v>
      </c>
    </row>
    <row r="261" spans="1:27">
      <c r="A261" s="43" t="s">
        <v>359</v>
      </c>
      <c r="B261" s="43" t="s">
        <v>336</v>
      </c>
      <c r="C261" s="43" t="s">
        <v>337</v>
      </c>
      <c r="D261" s="43"/>
      <c r="E261" s="43" t="s">
        <v>338</v>
      </c>
      <c r="F261" s="43"/>
      <c r="G261" s="43" t="s">
        <v>339</v>
      </c>
      <c r="H261" s="43"/>
      <c r="I261" s="9" t="s">
        <v>340</v>
      </c>
      <c r="J261" s="9" t="s">
        <v>289</v>
      </c>
      <c r="K261" s="9"/>
      <c r="L261" s="9" t="s">
        <v>438</v>
      </c>
      <c r="M261" s="11"/>
      <c r="N261" s="11"/>
      <c r="O261" s="9" t="s">
        <v>343</v>
      </c>
      <c r="P261" s="9" t="s">
        <v>344</v>
      </c>
      <c r="Q261" s="43" t="s">
        <v>521</v>
      </c>
      <c r="R261" s="43" t="s">
        <v>522</v>
      </c>
      <c r="S261" s="43" t="s">
        <v>346</v>
      </c>
      <c r="T261" s="43" t="s">
        <v>347</v>
      </c>
      <c r="U261" s="43" t="s">
        <v>359</v>
      </c>
    </row>
    <row r="262" spans="1:27" ht="15.6">
      <c r="A262" s="43"/>
      <c r="B262" s="43"/>
      <c r="C262" s="9" t="s">
        <v>349</v>
      </c>
      <c r="D262" s="9" t="s">
        <v>348</v>
      </c>
      <c r="E262" s="9" t="s">
        <v>351</v>
      </c>
      <c r="F262" s="9" t="s">
        <v>352</v>
      </c>
      <c r="G262" s="9" t="s">
        <v>353</v>
      </c>
      <c r="H262" s="9" t="s">
        <v>354</v>
      </c>
      <c r="I262" s="9" t="s">
        <v>309</v>
      </c>
      <c r="J262" s="9" t="s">
        <v>308</v>
      </c>
      <c r="K262" s="9"/>
      <c r="L262" s="9" t="s">
        <v>306</v>
      </c>
      <c r="M262" s="11" t="s">
        <v>368</v>
      </c>
      <c r="N262" s="11" t="s">
        <v>366</v>
      </c>
      <c r="O262" s="9" t="s">
        <v>355</v>
      </c>
      <c r="P262" s="9" t="s">
        <v>310</v>
      </c>
      <c r="Q262" s="43"/>
      <c r="R262" s="43"/>
      <c r="S262" s="43"/>
      <c r="T262" s="43"/>
      <c r="U262" s="43"/>
    </row>
    <row r="263" spans="1:27" ht="16.2">
      <c r="A263" s="9"/>
      <c r="B263" s="9" t="s">
        <v>356</v>
      </c>
      <c r="C263" s="9" t="s">
        <v>358</v>
      </c>
      <c r="D263" s="9" t="s">
        <v>358</v>
      </c>
      <c r="E263" s="9" t="s">
        <v>357</v>
      </c>
      <c r="F263" s="9" t="s">
        <v>357</v>
      </c>
      <c r="G263" s="9" t="s">
        <v>307</v>
      </c>
      <c r="H263" s="9" t="s">
        <v>307</v>
      </c>
      <c r="I263" s="9"/>
      <c r="J263" s="9"/>
      <c r="K263" s="9"/>
      <c r="L263" s="9" t="s">
        <v>307</v>
      </c>
      <c r="M263" s="9"/>
      <c r="N263" s="9"/>
      <c r="O263" s="9" t="s">
        <v>307</v>
      </c>
      <c r="P263" s="9" t="s">
        <v>307</v>
      </c>
      <c r="Q263" s="9" t="s">
        <v>307</v>
      </c>
      <c r="R263" s="9" t="s">
        <v>307</v>
      </c>
      <c r="S263" s="9" t="s">
        <v>307</v>
      </c>
      <c r="T263" s="9" t="s">
        <v>307</v>
      </c>
      <c r="U263" s="9"/>
      <c r="W263" t="s">
        <v>336</v>
      </c>
      <c r="X263" t="s">
        <v>773</v>
      </c>
      <c r="Y263" t="s">
        <v>774</v>
      </c>
      <c r="Z263" t="s">
        <v>776</v>
      </c>
      <c r="AA263" t="s">
        <v>775</v>
      </c>
    </row>
    <row r="264" spans="1:27">
      <c r="A264" s="9"/>
      <c r="B264" s="10">
        <f t="shared" ref="B264:B282" si="456">M2</f>
        <v>0</v>
      </c>
      <c r="C264" s="9">
        <f>ROUND(D264*1.3,2)</f>
        <v>0.2</v>
      </c>
      <c r="D264" s="9">
        <f>支渠!M12</f>
        <v>0.15</v>
      </c>
      <c r="E264" s="9">
        <f>ROUND(C264/N264,2)</f>
        <v>1.82</v>
      </c>
      <c r="F264" s="9">
        <f>ROUND(D264/M264,2)</f>
        <v>1.5</v>
      </c>
      <c r="G264" s="9">
        <v>0.25</v>
      </c>
      <c r="H264" s="9">
        <v>0.22</v>
      </c>
      <c r="I264" s="9">
        <v>1.4999999999999999E-2</v>
      </c>
      <c r="J264" s="9">
        <v>0.01</v>
      </c>
      <c r="K264" s="9" t="str">
        <f>"1/"&amp;ROUND(1/J264,0)</f>
        <v>1/100</v>
      </c>
      <c r="L264" s="9" t="s">
        <v>531</v>
      </c>
      <c r="M264" s="9">
        <v>0.1</v>
      </c>
      <c r="N264" s="9">
        <v>0.11</v>
      </c>
      <c r="O264" s="9">
        <f t="shared" ref="O264" si="457">P264-G264</f>
        <v>0.35</v>
      </c>
      <c r="P264" s="9">
        <v>0.6</v>
      </c>
      <c r="Q264" s="9">
        <f>R264+0.3</f>
        <v>1715.5</v>
      </c>
      <c r="R264" s="9">
        <f t="shared" ref="R264:R282" si="458">N2</f>
        <v>1715.2</v>
      </c>
      <c r="S264" s="9">
        <f>R264-0.1</f>
        <v>1715.1000000000001</v>
      </c>
      <c r="T264" s="14">
        <f t="shared" ref="T264:T282" si="459">S264+H264</f>
        <v>1715.3200000000002</v>
      </c>
      <c r="U264" s="9"/>
      <c r="W264" s="23">
        <f>B264</f>
        <v>0</v>
      </c>
      <c r="X264">
        <f t="shared" ref="X264:X282" si="460">Z264+P264</f>
        <v>1715.7</v>
      </c>
      <c r="Y264" s="3">
        <f>T264</f>
        <v>1715.3200000000002</v>
      </c>
      <c r="Z264">
        <f>S264</f>
        <v>1715.1000000000001</v>
      </c>
      <c r="AA264">
        <f>Q264</f>
        <v>1715.5</v>
      </c>
    </row>
    <row r="265" spans="1:27">
      <c r="A265" s="12"/>
      <c r="B265" s="10">
        <f t="shared" si="456"/>
        <v>200</v>
      </c>
      <c r="C265" s="9">
        <f t="shared" ref="C265:C282" si="461">ROUND(D265*1.3,2)</f>
        <v>0.2</v>
      </c>
      <c r="D265" s="9">
        <f>D264</f>
        <v>0.15</v>
      </c>
      <c r="E265" s="9">
        <f>ROUND(C265/N265,2)</f>
        <v>1.82</v>
      </c>
      <c r="F265" s="9">
        <f>ROUND(D265/M265,2)</f>
        <v>1.5</v>
      </c>
      <c r="G265" s="9">
        <f>G264</f>
        <v>0.25</v>
      </c>
      <c r="H265" s="9">
        <f>H264</f>
        <v>0.22</v>
      </c>
      <c r="I265" s="9">
        <v>1.4999999999999999E-2</v>
      </c>
      <c r="J265" s="9">
        <v>0.01</v>
      </c>
      <c r="K265" s="9" t="str">
        <f>"1/"&amp;ROUND(1/J265,0)</f>
        <v>1/100</v>
      </c>
      <c r="L265" s="9" t="str">
        <f t="shared" ref="L265:N266" si="462">L264</f>
        <v>U60</v>
      </c>
      <c r="M265" s="9">
        <f t="shared" si="462"/>
        <v>0.1</v>
      </c>
      <c r="N265" s="9">
        <f t="shared" si="462"/>
        <v>0.11</v>
      </c>
      <c r="O265" s="9">
        <f t="shared" ref="O265:O282" si="463">P265-G265</f>
        <v>0.35</v>
      </c>
      <c r="P265" s="9">
        <f>P264</f>
        <v>0.6</v>
      </c>
      <c r="Q265" s="9">
        <f>R265+0.3</f>
        <v>1712.3</v>
      </c>
      <c r="R265" s="9">
        <f t="shared" si="458"/>
        <v>1712</v>
      </c>
      <c r="S265" s="9">
        <f>R265-0.1</f>
        <v>1711.9</v>
      </c>
      <c r="T265" s="14">
        <f t="shared" si="459"/>
        <v>1712.1200000000001</v>
      </c>
      <c r="U265" s="9"/>
      <c r="W265" s="23">
        <f t="shared" ref="W265:W282" si="464">B265</f>
        <v>200</v>
      </c>
      <c r="X265">
        <f t="shared" si="460"/>
        <v>1712.5</v>
      </c>
      <c r="Y265" s="3">
        <f t="shared" ref="Y265:Y282" si="465">T265</f>
        <v>1712.1200000000001</v>
      </c>
      <c r="Z265">
        <f t="shared" ref="Z265:Z282" si="466">S265</f>
        <v>1711.9</v>
      </c>
      <c r="AA265">
        <f t="shared" ref="AA265:AA282" si="467">Q265</f>
        <v>1712.3</v>
      </c>
    </row>
    <row r="266" spans="1:27">
      <c r="A266" s="9"/>
      <c r="B266" s="10">
        <f t="shared" si="456"/>
        <v>400</v>
      </c>
      <c r="C266" s="9">
        <f t="shared" si="461"/>
        <v>0.2</v>
      </c>
      <c r="D266" s="9">
        <f t="shared" ref="D266:D282" si="468">D265</f>
        <v>0.15</v>
      </c>
      <c r="E266" s="9">
        <f t="shared" ref="E266:E282" si="469">ROUND(C266/N266,2)</f>
        <v>1.82</v>
      </c>
      <c r="F266" s="9">
        <f t="shared" ref="F266:F282" si="470">ROUND(D266/M266,2)</f>
        <v>1.5</v>
      </c>
      <c r="G266" s="9">
        <f>G265</f>
        <v>0.25</v>
      </c>
      <c r="H266" s="9">
        <f>H265</f>
        <v>0.22</v>
      </c>
      <c r="I266" s="9">
        <v>1.4999999999999999E-2</v>
      </c>
      <c r="J266" s="9">
        <f>J265</f>
        <v>0.01</v>
      </c>
      <c r="K266" s="9" t="str">
        <f t="shared" ref="K266:K282" si="471">"1/"&amp;ROUND(1/J266,0)</f>
        <v>1/100</v>
      </c>
      <c r="L266" s="9" t="str">
        <f t="shared" si="462"/>
        <v>U60</v>
      </c>
      <c r="M266" s="9">
        <f t="shared" si="462"/>
        <v>0.1</v>
      </c>
      <c r="N266" s="9">
        <f t="shared" si="462"/>
        <v>0.11</v>
      </c>
      <c r="O266" s="9">
        <f t="shared" si="463"/>
        <v>0.35</v>
      </c>
      <c r="P266" s="9">
        <f>P265</f>
        <v>0.6</v>
      </c>
      <c r="Q266" s="9">
        <f t="shared" ref="Q266:Q282" si="472">R266+0.3</f>
        <v>1709.6</v>
      </c>
      <c r="R266" s="9">
        <f t="shared" si="458"/>
        <v>1709.3</v>
      </c>
      <c r="S266" s="9">
        <f t="shared" ref="S266:S282" si="473">R266-0.1</f>
        <v>1709.2</v>
      </c>
      <c r="T266" s="14">
        <f t="shared" si="459"/>
        <v>1709.42</v>
      </c>
      <c r="U266" s="9"/>
      <c r="W266" s="23">
        <f t="shared" si="464"/>
        <v>400</v>
      </c>
      <c r="X266">
        <f t="shared" si="460"/>
        <v>1709.8</v>
      </c>
      <c r="Y266" s="3">
        <f t="shared" si="465"/>
        <v>1709.42</v>
      </c>
      <c r="Z266">
        <f t="shared" si="466"/>
        <v>1709.2</v>
      </c>
      <c r="AA266">
        <f t="shared" si="467"/>
        <v>1709.6</v>
      </c>
    </row>
    <row r="267" spans="1:27">
      <c r="A267" s="9"/>
      <c r="B267" s="10">
        <f t="shared" si="456"/>
        <v>600</v>
      </c>
      <c r="C267" s="9">
        <f t="shared" si="461"/>
        <v>0.2</v>
      </c>
      <c r="D267" s="9">
        <f t="shared" si="468"/>
        <v>0.15</v>
      </c>
      <c r="E267" s="9">
        <f t="shared" si="469"/>
        <v>1.82</v>
      </c>
      <c r="F267" s="9">
        <f t="shared" si="470"/>
        <v>1.5</v>
      </c>
      <c r="G267" s="9">
        <f t="shared" ref="G267:H267" si="474">G266</f>
        <v>0.25</v>
      </c>
      <c r="H267" s="9">
        <f t="shared" si="474"/>
        <v>0.22</v>
      </c>
      <c r="I267" s="9">
        <v>1.4999999999999999E-2</v>
      </c>
      <c r="J267" s="9">
        <f t="shared" ref="J267:J282" si="475">J266</f>
        <v>0.01</v>
      </c>
      <c r="K267" s="9" t="str">
        <f t="shared" si="471"/>
        <v>1/100</v>
      </c>
      <c r="L267" s="9" t="str">
        <f t="shared" ref="L267:N267" si="476">L266</f>
        <v>U60</v>
      </c>
      <c r="M267" s="9">
        <f t="shared" si="476"/>
        <v>0.1</v>
      </c>
      <c r="N267" s="9">
        <f t="shared" si="476"/>
        <v>0.11</v>
      </c>
      <c r="O267" s="9">
        <f t="shared" si="463"/>
        <v>0.35</v>
      </c>
      <c r="P267" s="9">
        <f t="shared" ref="P267:P282" si="477">P266</f>
        <v>0.6</v>
      </c>
      <c r="Q267" s="9">
        <f t="shared" si="472"/>
        <v>1707</v>
      </c>
      <c r="R267" s="9">
        <f t="shared" si="458"/>
        <v>1706.7</v>
      </c>
      <c r="S267" s="9">
        <f t="shared" si="473"/>
        <v>1706.6000000000001</v>
      </c>
      <c r="T267" s="14">
        <f t="shared" si="459"/>
        <v>1706.8200000000002</v>
      </c>
      <c r="U267" s="9"/>
      <c r="W267" s="23">
        <f t="shared" si="464"/>
        <v>600</v>
      </c>
      <c r="X267">
        <f t="shared" si="460"/>
        <v>1707.2</v>
      </c>
      <c r="Y267" s="3">
        <f t="shared" si="465"/>
        <v>1706.8200000000002</v>
      </c>
      <c r="Z267">
        <f t="shared" si="466"/>
        <v>1706.6000000000001</v>
      </c>
      <c r="AA267">
        <f t="shared" si="467"/>
        <v>1707</v>
      </c>
    </row>
    <row r="268" spans="1:27">
      <c r="A268" s="9"/>
      <c r="B268" s="10">
        <f t="shared" si="456"/>
        <v>800</v>
      </c>
      <c r="C268" s="9">
        <f t="shared" si="461"/>
        <v>0.2</v>
      </c>
      <c r="D268" s="9">
        <f t="shared" si="468"/>
        <v>0.15</v>
      </c>
      <c r="E268" s="9">
        <f t="shared" si="469"/>
        <v>1.82</v>
      </c>
      <c r="F268" s="9">
        <f t="shared" si="470"/>
        <v>1.5</v>
      </c>
      <c r="G268" s="9">
        <f t="shared" ref="G268:H268" si="478">G267</f>
        <v>0.25</v>
      </c>
      <c r="H268" s="9">
        <f t="shared" si="478"/>
        <v>0.22</v>
      </c>
      <c r="I268" s="9">
        <v>1.4999999999999999E-2</v>
      </c>
      <c r="J268" s="9">
        <f t="shared" si="475"/>
        <v>0.01</v>
      </c>
      <c r="K268" s="9" t="str">
        <f t="shared" si="471"/>
        <v>1/100</v>
      </c>
      <c r="L268" s="9" t="str">
        <f t="shared" ref="L268:N268" si="479">L267</f>
        <v>U60</v>
      </c>
      <c r="M268" s="9">
        <f t="shared" si="479"/>
        <v>0.1</v>
      </c>
      <c r="N268" s="9">
        <f t="shared" si="479"/>
        <v>0.11</v>
      </c>
      <c r="O268" s="9">
        <f t="shared" si="463"/>
        <v>0.35</v>
      </c>
      <c r="P268" s="9">
        <f t="shared" si="477"/>
        <v>0.6</v>
      </c>
      <c r="Q268" s="9">
        <f t="shared" si="472"/>
        <v>1704.2</v>
      </c>
      <c r="R268" s="9">
        <f t="shared" si="458"/>
        <v>1703.9</v>
      </c>
      <c r="S268" s="9">
        <f t="shared" si="473"/>
        <v>1703.8000000000002</v>
      </c>
      <c r="T268" s="14">
        <f t="shared" si="459"/>
        <v>1704.0200000000002</v>
      </c>
      <c r="U268" s="9"/>
      <c r="W268" s="23">
        <f t="shared" si="464"/>
        <v>800</v>
      </c>
      <c r="X268">
        <f t="shared" si="460"/>
        <v>1704.4</v>
      </c>
      <c r="Y268" s="3">
        <f t="shared" si="465"/>
        <v>1704.0200000000002</v>
      </c>
      <c r="Z268">
        <f t="shared" si="466"/>
        <v>1703.8000000000002</v>
      </c>
      <c r="AA268">
        <f t="shared" si="467"/>
        <v>1704.2</v>
      </c>
    </row>
    <row r="269" spans="1:27">
      <c r="A269" s="9"/>
      <c r="B269" s="10">
        <f t="shared" si="456"/>
        <v>1000</v>
      </c>
      <c r="C269" s="9">
        <f t="shared" si="461"/>
        <v>0.2</v>
      </c>
      <c r="D269" s="9">
        <f t="shared" si="468"/>
        <v>0.15</v>
      </c>
      <c r="E269" s="9">
        <f t="shared" si="469"/>
        <v>1.82</v>
      </c>
      <c r="F269" s="9">
        <f t="shared" si="470"/>
        <v>1.5</v>
      </c>
      <c r="G269" s="9">
        <f t="shared" ref="G269:H269" si="480">G268</f>
        <v>0.25</v>
      </c>
      <c r="H269" s="9">
        <f t="shared" si="480"/>
        <v>0.22</v>
      </c>
      <c r="I269" s="9">
        <v>1.4999999999999999E-2</v>
      </c>
      <c r="J269" s="9">
        <f t="shared" si="475"/>
        <v>0.01</v>
      </c>
      <c r="K269" s="9" t="str">
        <f t="shared" si="471"/>
        <v>1/100</v>
      </c>
      <c r="L269" s="9" t="str">
        <f t="shared" ref="L269:N269" si="481">L268</f>
        <v>U60</v>
      </c>
      <c r="M269" s="9">
        <f t="shared" si="481"/>
        <v>0.1</v>
      </c>
      <c r="N269" s="9">
        <f t="shared" si="481"/>
        <v>0.11</v>
      </c>
      <c r="O269" s="9">
        <f t="shared" si="463"/>
        <v>0.35</v>
      </c>
      <c r="P269" s="9">
        <f t="shared" si="477"/>
        <v>0.6</v>
      </c>
      <c r="Q269" s="9">
        <f t="shared" si="472"/>
        <v>1700.9099999999999</v>
      </c>
      <c r="R269" s="9">
        <f t="shared" si="458"/>
        <v>1700.61</v>
      </c>
      <c r="S269" s="9">
        <f t="shared" si="473"/>
        <v>1700.51</v>
      </c>
      <c r="T269" s="14">
        <f t="shared" si="459"/>
        <v>1700.73</v>
      </c>
      <c r="U269" s="9"/>
      <c r="W269" s="23">
        <f t="shared" si="464"/>
        <v>1000</v>
      </c>
      <c r="X269">
        <f t="shared" si="460"/>
        <v>1701.11</v>
      </c>
      <c r="Y269" s="3">
        <f t="shared" si="465"/>
        <v>1700.73</v>
      </c>
      <c r="Z269">
        <f t="shared" si="466"/>
        <v>1700.51</v>
      </c>
      <c r="AA269">
        <f t="shared" si="467"/>
        <v>1700.9099999999999</v>
      </c>
    </row>
    <row r="270" spans="1:27">
      <c r="A270" s="9"/>
      <c r="B270" s="10">
        <f t="shared" si="456"/>
        <v>1200</v>
      </c>
      <c r="C270" s="9">
        <f t="shared" si="461"/>
        <v>0.2</v>
      </c>
      <c r="D270" s="9">
        <f t="shared" si="468"/>
        <v>0.15</v>
      </c>
      <c r="E270" s="9">
        <f t="shared" si="469"/>
        <v>1.82</v>
      </c>
      <c r="F270" s="9">
        <f t="shared" si="470"/>
        <v>1.5</v>
      </c>
      <c r="G270" s="9">
        <f t="shared" ref="G270:H270" si="482">G269</f>
        <v>0.25</v>
      </c>
      <c r="H270" s="9">
        <f t="shared" si="482"/>
        <v>0.22</v>
      </c>
      <c r="I270" s="9">
        <v>1.4999999999999999E-2</v>
      </c>
      <c r="J270" s="9">
        <f t="shared" si="475"/>
        <v>0.01</v>
      </c>
      <c r="K270" s="9" t="str">
        <f t="shared" si="471"/>
        <v>1/100</v>
      </c>
      <c r="L270" s="9" t="str">
        <f t="shared" ref="L270:N270" si="483">L269</f>
        <v>U60</v>
      </c>
      <c r="M270" s="9">
        <f t="shared" si="483"/>
        <v>0.1</v>
      </c>
      <c r="N270" s="9">
        <f t="shared" si="483"/>
        <v>0.11</v>
      </c>
      <c r="O270" s="9">
        <f t="shared" si="463"/>
        <v>0.35</v>
      </c>
      <c r="P270" s="9">
        <f t="shared" si="477"/>
        <v>0.6</v>
      </c>
      <c r="Q270" s="9">
        <f t="shared" si="472"/>
        <v>1697.95</v>
      </c>
      <c r="R270" s="9">
        <f t="shared" si="458"/>
        <v>1697.65</v>
      </c>
      <c r="S270" s="9">
        <f t="shared" si="473"/>
        <v>1697.5500000000002</v>
      </c>
      <c r="T270" s="14">
        <f t="shared" si="459"/>
        <v>1697.7700000000002</v>
      </c>
      <c r="U270" s="9"/>
      <c r="W270" s="23">
        <f t="shared" si="464"/>
        <v>1200</v>
      </c>
      <c r="X270">
        <f t="shared" si="460"/>
        <v>1698.15</v>
      </c>
      <c r="Y270" s="3">
        <f t="shared" si="465"/>
        <v>1697.7700000000002</v>
      </c>
      <c r="Z270">
        <f t="shared" si="466"/>
        <v>1697.5500000000002</v>
      </c>
      <c r="AA270">
        <f t="shared" si="467"/>
        <v>1697.95</v>
      </c>
    </row>
    <row r="271" spans="1:27">
      <c r="A271" s="9"/>
      <c r="B271" s="10">
        <f t="shared" si="456"/>
        <v>1400</v>
      </c>
      <c r="C271" s="9">
        <f t="shared" si="461"/>
        <v>0.2</v>
      </c>
      <c r="D271" s="9">
        <f t="shared" si="468"/>
        <v>0.15</v>
      </c>
      <c r="E271" s="9">
        <f t="shared" si="469"/>
        <v>1.82</v>
      </c>
      <c r="F271" s="9">
        <f t="shared" si="470"/>
        <v>1.5</v>
      </c>
      <c r="G271" s="9">
        <f t="shared" ref="G271:H271" si="484">G270</f>
        <v>0.25</v>
      </c>
      <c r="H271" s="9">
        <f t="shared" si="484"/>
        <v>0.22</v>
      </c>
      <c r="I271" s="9">
        <v>1.4999999999999999E-2</v>
      </c>
      <c r="J271" s="9">
        <f t="shared" si="475"/>
        <v>0.01</v>
      </c>
      <c r="K271" s="9" t="str">
        <f t="shared" si="471"/>
        <v>1/100</v>
      </c>
      <c r="L271" s="9" t="str">
        <f t="shared" ref="L271:N271" si="485">L270</f>
        <v>U60</v>
      </c>
      <c r="M271" s="9">
        <f t="shared" si="485"/>
        <v>0.1</v>
      </c>
      <c r="N271" s="9">
        <f t="shared" si="485"/>
        <v>0.11</v>
      </c>
      <c r="O271" s="9">
        <f t="shared" si="463"/>
        <v>0.35</v>
      </c>
      <c r="P271" s="9">
        <f t="shared" si="477"/>
        <v>0.6</v>
      </c>
      <c r="Q271" s="9">
        <f t="shared" si="472"/>
        <v>1695.3999999999999</v>
      </c>
      <c r="R271" s="9">
        <f t="shared" si="458"/>
        <v>1695.1</v>
      </c>
      <c r="S271" s="9">
        <f t="shared" si="473"/>
        <v>1695</v>
      </c>
      <c r="T271" s="14">
        <f t="shared" si="459"/>
        <v>1695.22</v>
      </c>
      <c r="U271" s="9"/>
      <c r="W271" s="23">
        <f t="shared" si="464"/>
        <v>1400</v>
      </c>
      <c r="X271">
        <f t="shared" si="460"/>
        <v>1695.6</v>
      </c>
      <c r="Y271" s="3">
        <f t="shared" si="465"/>
        <v>1695.22</v>
      </c>
      <c r="Z271">
        <f t="shared" si="466"/>
        <v>1695</v>
      </c>
      <c r="AA271">
        <f t="shared" si="467"/>
        <v>1695.3999999999999</v>
      </c>
    </row>
    <row r="272" spans="1:27">
      <c r="A272" s="9"/>
      <c r="B272" s="10">
        <f t="shared" si="456"/>
        <v>1600</v>
      </c>
      <c r="C272" s="9">
        <f t="shared" si="461"/>
        <v>0.2</v>
      </c>
      <c r="D272" s="9">
        <f t="shared" si="468"/>
        <v>0.15</v>
      </c>
      <c r="E272" s="9">
        <f t="shared" si="469"/>
        <v>1.82</v>
      </c>
      <c r="F272" s="9">
        <f t="shared" si="470"/>
        <v>1.5</v>
      </c>
      <c r="G272" s="9">
        <f t="shared" ref="G272:H272" si="486">G271</f>
        <v>0.25</v>
      </c>
      <c r="H272" s="9">
        <f t="shared" si="486"/>
        <v>0.22</v>
      </c>
      <c r="I272" s="9">
        <v>1.4999999999999999E-2</v>
      </c>
      <c r="J272" s="9">
        <f t="shared" si="475"/>
        <v>0.01</v>
      </c>
      <c r="K272" s="9" t="str">
        <f t="shared" si="471"/>
        <v>1/100</v>
      </c>
      <c r="L272" s="9" t="str">
        <f t="shared" ref="L272:N272" si="487">L271</f>
        <v>U60</v>
      </c>
      <c r="M272" s="9">
        <f t="shared" si="487"/>
        <v>0.1</v>
      </c>
      <c r="N272" s="9">
        <f t="shared" si="487"/>
        <v>0.11</v>
      </c>
      <c r="O272" s="9">
        <f t="shared" si="463"/>
        <v>0.35</v>
      </c>
      <c r="P272" s="9">
        <f t="shared" si="477"/>
        <v>0.6</v>
      </c>
      <c r="Q272" s="9">
        <f t="shared" si="472"/>
        <v>1692.3</v>
      </c>
      <c r="R272" s="9">
        <f t="shared" si="458"/>
        <v>1692</v>
      </c>
      <c r="S272" s="9">
        <f t="shared" si="473"/>
        <v>1691.9</v>
      </c>
      <c r="T272" s="14">
        <f t="shared" si="459"/>
        <v>1692.1200000000001</v>
      </c>
      <c r="U272" s="9"/>
      <c r="W272" s="23">
        <f t="shared" si="464"/>
        <v>1600</v>
      </c>
      <c r="X272">
        <f t="shared" si="460"/>
        <v>1692.5</v>
      </c>
      <c r="Y272" s="3">
        <f t="shared" si="465"/>
        <v>1692.1200000000001</v>
      </c>
      <c r="Z272">
        <f t="shared" si="466"/>
        <v>1691.9</v>
      </c>
      <c r="AA272">
        <f t="shared" si="467"/>
        <v>1692.3</v>
      </c>
    </row>
    <row r="273" spans="1:27">
      <c r="A273" s="9"/>
      <c r="B273" s="10">
        <f t="shared" si="456"/>
        <v>1800</v>
      </c>
      <c r="C273" s="9">
        <f t="shared" si="461"/>
        <v>0.2</v>
      </c>
      <c r="D273" s="9">
        <f t="shared" si="468"/>
        <v>0.15</v>
      </c>
      <c r="E273" s="9">
        <f t="shared" si="469"/>
        <v>1.82</v>
      </c>
      <c r="F273" s="9">
        <f t="shared" si="470"/>
        <v>1.5</v>
      </c>
      <c r="G273" s="9">
        <f t="shared" ref="G273:H273" si="488">G272</f>
        <v>0.25</v>
      </c>
      <c r="H273" s="9">
        <f t="shared" si="488"/>
        <v>0.22</v>
      </c>
      <c r="I273" s="9">
        <v>1.4999999999999999E-2</v>
      </c>
      <c r="J273" s="9">
        <f t="shared" si="475"/>
        <v>0.01</v>
      </c>
      <c r="K273" s="9" t="str">
        <f t="shared" si="471"/>
        <v>1/100</v>
      </c>
      <c r="L273" s="9" t="str">
        <f t="shared" ref="L273:N273" si="489">L272</f>
        <v>U60</v>
      </c>
      <c r="M273" s="9">
        <f t="shared" si="489"/>
        <v>0.1</v>
      </c>
      <c r="N273" s="9">
        <f t="shared" si="489"/>
        <v>0.11</v>
      </c>
      <c r="O273" s="9">
        <f t="shared" si="463"/>
        <v>0.35</v>
      </c>
      <c r="P273" s="9">
        <f t="shared" si="477"/>
        <v>0.6</v>
      </c>
      <c r="Q273" s="9">
        <f t="shared" si="472"/>
        <v>1689.2</v>
      </c>
      <c r="R273" s="9">
        <f t="shared" si="458"/>
        <v>1688.9</v>
      </c>
      <c r="S273" s="9">
        <f t="shared" si="473"/>
        <v>1688.8000000000002</v>
      </c>
      <c r="T273" s="14">
        <f t="shared" si="459"/>
        <v>1689.0200000000002</v>
      </c>
      <c r="U273" s="9"/>
      <c r="W273" s="23">
        <f t="shared" si="464"/>
        <v>1800</v>
      </c>
      <c r="X273">
        <f t="shared" si="460"/>
        <v>1689.4</v>
      </c>
      <c r="Y273" s="3">
        <f t="shared" si="465"/>
        <v>1689.0200000000002</v>
      </c>
      <c r="Z273">
        <f t="shared" si="466"/>
        <v>1688.8000000000002</v>
      </c>
      <c r="AA273">
        <f t="shared" si="467"/>
        <v>1689.2</v>
      </c>
    </row>
    <row r="274" spans="1:27">
      <c r="A274" s="12"/>
      <c r="B274" s="10">
        <f t="shared" si="456"/>
        <v>2000</v>
      </c>
      <c r="C274" s="9">
        <f t="shared" si="461"/>
        <v>0.2</v>
      </c>
      <c r="D274" s="9">
        <f t="shared" si="468"/>
        <v>0.15</v>
      </c>
      <c r="E274" s="9">
        <f t="shared" si="469"/>
        <v>1.82</v>
      </c>
      <c r="F274" s="9">
        <f t="shared" si="470"/>
        <v>1.5</v>
      </c>
      <c r="G274" s="9">
        <f t="shared" ref="G274:H274" si="490">G273</f>
        <v>0.25</v>
      </c>
      <c r="H274" s="9">
        <f t="shared" si="490"/>
        <v>0.22</v>
      </c>
      <c r="I274" s="9">
        <v>1.4999999999999999E-2</v>
      </c>
      <c r="J274" s="9">
        <f t="shared" si="475"/>
        <v>0.01</v>
      </c>
      <c r="K274" s="9" t="str">
        <f t="shared" si="471"/>
        <v>1/100</v>
      </c>
      <c r="L274" s="9" t="str">
        <f t="shared" ref="L274:N274" si="491">L273</f>
        <v>U60</v>
      </c>
      <c r="M274" s="9">
        <f t="shared" si="491"/>
        <v>0.1</v>
      </c>
      <c r="N274" s="9">
        <f t="shared" si="491"/>
        <v>0.11</v>
      </c>
      <c r="O274" s="9">
        <f t="shared" si="463"/>
        <v>0.35</v>
      </c>
      <c r="P274" s="9">
        <f t="shared" si="477"/>
        <v>0.6</v>
      </c>
      <c r="Q274" s="9">
        <f t="shared" si="472"/>
        <v>1686.7</v>
      </c>
      <c r="R274" s="9">
        <f t="shared" si="458"/>
        <v>1686.4</v>
      </c>
      <c r="S274" s="9">
        <f t="shared" si="473"/>
        <v>1686.3000000000002</v>
      </c>
      <c r="T274" s="14">
        <f t="shared" si="459"/>
        <v>1686.5200000000002</v>
      </c>
      <c r="U274" s="9"/>
      <c r="W274" s="23">
        <f t="shared" si="464"/>
        <v>2000</v>
      </c>
      <c r="X274">
        <f t="shared" si="460"/>
        <v>1686.9</v>
      </c>
      <c r="Y274" s="3">
        <f t="shared" si="465"/>
        <v>1686.5200000000002</v>
      </c>
      <c r="Z274">
        <f t="shared" si="466"/>
        <v>1686.3000000000002</v>
      </c>
      <c r="AA274">
        <f t="shared" si="467"/>
        <v>1686.7</v>
      </c>
    </row>
    <row r="275" spans="1:27">
      <c r="A275" s="9"/>
      <c r="B275" s="10">
        <f t="shared" si="456"/>
        <v>2200</v>
      </c>
      <c r="C275" s="9">
        <f t="shared" si="461"/>
        <v>0.2</v>
      </c>
      <c r="D275" s="9">
        <f t="shared" si="468"/>
        <v>0.15</v>
      </c>
      <c r="E275" s="9">
        <f t="shared" si="469"/>
        <v>1.82</v>
      </c>
      <c r="F275" s="9">
        <f t="shared" si="470"/>
        <v>1.5</v>
      </c>
      <c r="G275" s="9">
        <f t="shared" ref="G275:H275" si="492">G274</f>
        <v>0.25</v>
      </c>
      <c r="H275" s="9">
        <f t="shared" si="492"/>
        <v>0.22</v>
      </c>
      <c r="I275" s="9">
        <v>1.4999999999999999E-2</v>
      </c>
      <c r="J275" s="9">
        <f t="shared" si="475"/>
        <v>0.01</v>
      </c>
      <c r="K275" s="9" t="str">
        <f t="shared" si="471"/>
        <v>1/100</v>
      </c>
      <c r="L275" s="9" t="str">
        <f t="shared" ref="L275:N275" si="493">L274</f>
        <v>U60</v>
      </c>
      <c r="M275" s="9">
        <f t="shared" si="493"/>
        <v>0.1</v>
      </c>
      <c r="N275" s="9">
        <f t="shared" si="493"/>
        <v>0.11</v>
      </c>
      <c r="O275" s="9">
        <f t="shared" si="463"/>
        <v>0.35</v>
      </c>
      <c r="P275" s="9">
        <f t="shared" si="477"/>
        <v>0.6</v>
      </c>
      <c r="Q275" s="9">
        <f t="shared" si="472"/>
        <v>1684.2</v>
      </c>
      <c r="R275" s="9">
        <f t="shared" si="458"/>
        <v>1683.9</v>
      </c>
      <c r="S275" s="9">
        <f t="shared" si="473"/>
        <v>1683.8000000000002</v>
      </c>
      <c r="T275" s="14">
        <f t="shared" si="459"/>
        <v>1684.0200000000002</v>
      </c>
      <c r="U275" s="9"/>
      <c r="W275" s="23">
        <f t="shared" si="464"/>
        <v>2200</v>
      </c>
      <c r="X275">
        <f t="shared" si="460"/>
        <v>1684.4</v>
      </c>
      <c r="Y275" s="3">
        <f t="shared" si="465"/>
        <v>1684.0200000000002</v>
      </c>
      <c r="Z275">
        <f t="shared" si="466"/>
        <v>1683.8000000000002</v>
      </c>
      <c r="AA275">
        <f t="shared" si="467"/>
        <v>1684.2</v>
      </c>
    </row>
    <row r="276" spans="1:27">
      <c r="A276" s="9"/>
      <c r="B276" s="10">
        <f t="shared" si="456"/>
        <v>2400</v>
      </c>
      <c r="C276" s="9">
        <f t="shared" si="461"/>
        <v>0.2</v>
      </c>
      <c r="D276" s="9">
        <f t="shared" si="468"/>
        <v>0.15</v>
      </c>
      <c r="E276" s="9">
        <f t="shared" si="469"/>
        <v>1.82</v>
      </c>
      <c r="F276" s="9">
        <f t="shared" si="470"/>
        <v>1.5</v>
      </c>
      <c r="G276" s="9">
        <f t="shared" ref="G276:H276" si="494">G275</f>
        <v>0.25</v>
      </c>
      <c r="H276" s="9">
        <f t="shared" si="494"/>
        <v>0.22</v>
      </c>
      <c r="I276" s="9">
        <v>1.4999999999999999E-2</v>
      </c>
      <c r="J276" s="9">
        <f t="shared" si="475"/>
        <v>0.01</v>
      </c>
      <c r="K276" s="9" t="str">
        <f t="shared" si="471"/>
        <v>1/100</v>
      </c>
      <c r="L276" s="9" t="str">
        <f t="shared" ref="L276:N276" si="495">L275</f>
        <v>U60</v>
      </c>
      <c r="M276" s="9">
        <f t="shared" si="495"/>
        <v>0.1</v>
      </c>
      <c r="N276" s="9">
        <f t="shared" si="495"/>
        <v>0.11</v>
      </c>
      <c r="O276" s="9">
        <f t="shared" si="463"/>
        <v>0.35</v>
      </c>
      <c r="P276" s="9">
        <f t="shared" si="477"/>
        <v>0.6</v>
      </c>
      <c r="Q276" s="9">
        <f t="shared" si="472"/>
        <v>1681.7</v>
      </c>
      <c r="R276" s="9">
        <f t="shared" si="458"/>
        <v>1681.4</v>
      </c>
      <c r="S276" s="9">
        <f t="shared" si="473"/>
        <v>1681.3000000000002</v>
      </c>
      <c r="T276" s="14">
        <f t="shared" si="459"/>
        <v>1681.5200000000002</v>
      </c>
      <c r="U276" s="9"/>
      <c r="W276" s="23">
        <f t="shared" si="464"/>
        <v>2400</v>
      </c>
      <c r="X276">
        <f t="shared" si="460"/>
        <v>1681.9</v>
      </c>
      <c r="Y276" s="3">
        <f t="shared" si="465"/>
        <v>1681.5200000000002</v>
      </c>
      <c r="Z276">
        <f t="shared" si="466"/>
        <v>1681.3000000000002</v>
      </c>
      <c r="AA276">
        <f t="shared" si="467"/>
        <v>1681.7</v>
      </c>
    </row>
    <row r="277" spans="1:27">
      <c r="A277" s="9"/>
      <c r="B277" s="10">
        <f t="shared" si="456"/>
        <v>2600</v>
      </c>
      <c r="C277" s="9">
        <f t="shared" si="461"/>
        <v>0.2</v>
      </c>
      <c r="D277" s="9">
        <f t="shared" si="468"/>
        <v>0.15</v>
      </c>
      <c r="E277" s="9">
        <f t="shared" si="469"/>
        <v>1.82</v>
      </c>
      <c r="F277" s="9">
        <f t="shared" si="470"/>
        <v>1.5</v>
      </c>
      <c r="G277" s="9">
        <f t="shared" ref="G277:H277" si="496">G276</f>
        <v>0.25</v>
      </c>
      <c r="H277" s="9">
        <f t="shared" si="496"/>
        <v>0.22</v>
      </c>
      <c r="I277" s="9">
        <v>1.4999999999999999E-2</v>
      </c>
      <c r="J277" s="9">
        <f t="shared" si="475"/>
        <v>0.01</v>
      </c>
      <c r="K277" s="9" t="str">
        <f t="shared" si="471"/>
        <v>1/100</v>
      </c>
      <c r="L277" s="9" t="str">
        <f t="shared" ref="L277:N277" si="497">L276</f>
        <v>U60</v>
      </c>
      <c r="M277" s="9">
        <f t="shared" si="497"/>
        <v>0.1</v>
      </c>
      <c r="N277" s="9">
        <f t="shared" si="497"/>
        <v>0.11</v>
      </c>
      <c r="O277" s="9">
        <f t="shared" si="463"/>
        <v>0.35</v>
      </c>
      <c r="P277" s="9">
        <f t="shared" si="477"/>
        <v>0.6</v>
      </c>
      <c r="Q277" s="9">
        <f t="shared" si="472"/>
        <v>1678.5</v>
      </c>
      <c r="R277" s="9">
        <f t="shared" si="458"/>
        <v>1678.2</v>
      </c>
      <c r="S277" s="9">
        <f t="shared" si="473"/>
        <v>1678.1000000000001</v>
      </c>
      <c r="T277" s="14">
        <f t="shared" si="459"/>
        <v>1678.3200000000002</v>
      </c>
      <c r="U277" s="9"/>
      <c r="W277" s="23">
        <f t="shared" si="464"/>
        <v>2600</v>
      </c>
      <c r="X277">
        <f t="shared" si="460"/>
        <v>1678.7</v>
      </c>
      <c r="Y277" s="3">
        <f t="shared" si="465"/>
        <v>1678.3200000000002</v>
      </c>
      <c r="Z277">
        <f t="shared" si="466"/>
        <v>1678.1000000000001</v>
      </c>
      <c r="AA277">
        <f t="shared" si="467"/>
        <v>1678.5</v>
      </c>
    </row>
    <row r="278" spans="1:27">
      <c r="A278" s="9"/>
      <c r="B278" s="10">
        <f t="shared" si="456"/>
        <v>2800</v>
      </c>
      <c r="C278" s="9">
        <f t="shared" si="461"/>
        <v>0.2</v>
      </c>
      <c r="D278" s="9">
        <f t="shared" si="468"/>
        <v>0.15</v>
      </c>
      <c r="E278" s="9">
        <f t="shared" si="469"/>
        <v>1.82</v>
      </c>
      <c r="F278" s="9">
        <f t="shared" si="470"/>
        <v>1.5</v>
      </c>
      <c r="G278" s="9">
        <f t="shared" ref="G278:H278" si="498">G277</f>
        <v>0.25</v>
      </c>
      <c r="H278" s="9">
        <f t="shared" si="498"/>
        <v>0.22</v>
      </c>
      <c r="I278" s="9">
        <v>1.4999999999999999E-2</v>
      </c>
      <c r="J278" s="9">
        <f t="shared" si="475"/>
        <v>0.01</v>
      </c>
      <c r="K278" s="9" t="str">
        <f t="shared" si="471"/>
        <v>1/100</v>
      </c>
      <c r="L278" s="9" t="str">
        <f t="shared" ref="L278:N278" si="499">L277</f>
        <v>U60</v>
      </c>
      <c r="M278" s="9">
        <f t="shared" si="499"/>
        <v>0.1</v>
      </c>
      <c r="N278" s="9">
        <f t="shared" si="499"/>
        <v>0.11</v>
      </c>
      <c r="O278" s="9">
        <f t="shared" si="463"/>
        <v>0.35</v>
      </c>
      <c r="P278" s="9">
        <f t="shared" si="477"/>
        <v>0.6</v>
      </c>
      <c r="Q278" s="9">
        <f t="shared" si="472"/>
        <v>1675.98</v>
      </c>
      <c r="R278" s="9">
        <f t="shared" si="458"/>
        <v>1675.68</v>
      </c>
      <c r="S278" s="9">
        <f t="shared" si="473"/>
        <v>1675.5800000000002</v>
      </c>
      <c r="T278" s="14">
        <f t="shared" si="459"/>
        <v>1675.8000000000002</v>
      </c>
      <c r="U278" s="9"/>
      <c r="W278" s="23">
        <f t="shared" si="464"/>
        <v>2800</v>
      </c>
      <c r="X278">
        <f t="shared" si="460"/>
        <v>1676.18</v>
      </c>
      <c r="Y278" s="3">
        <f t="shared" si="465"/>
        <v>1675.8000000000002</v>
      </c>
      <c r="Z278">
        <f t="shared" si="466"/>
        <v>1675.5800000000002</v>
      </c>
      <c r="AA278">
        <f t="shared" si="467"/>
        <v>1675.98</v>
      </c>
    </row>
    <row r="279" spans="1:27">
      <c r="A279" s="9"/>
      <c r="B279" s="10">
        <f t="shared" si="456"/>
        <v>3000</v>
      </c>
      <c r="C279" s="9">
        <f t="shared" si="461"/>
        <v>0.2</v>
      </c>
      <c r="D279" s="9">
        <f t="shared" si="468"/>
        <v>0.15</v>
      </c>
      <c r="E279" s="9">
        <f t="shared" si="469"/>
        <v>1.82</v>
      </c>
      <c r="F279" s="9">
        <f t="shared" si="470"/>
        <v>1.5</v>
      </c>
      <c r="G279" s="9">
        <f t="shared" ref="G279:H279" si="500">G278</f>
        <v>0.25</v>
      </c>
      <c r="H279" s="9">
        <f t="shared" si="500"/>
        <v>0.22</v>
      </c>
      <c r="I279" s="9">
        <v>1.4999999999999999E-2</v>
      </c>
      <c r="J279" s="9">
        <f t="shared" si="475"/>
        <v>0.01</v>
      </c>
      <c r="K279" s="9" t="str">
        <f t="shared" si="471"/>
        <v>1/100</v>
      </c>
      <c r="L279" s="9" t="str">
        <f t="shared" ref="L279:N279" si="501">L278</f>
        <v>U60</v>
      </c>
      <c r="M279" s="9">
        <f t="shared" si="501"/>
        <v>0.1</v>
      </c>
      <c r="N279" s="9">
        <f t="shared" si="501"/>
        <v>0.11</v>
      </c>
      <c r="O279" s="9">
        <f t="shared" si="463"/>
        <v>0.35</v>
      </c>
      <c r="P279" s="9">
        <f t="shared" si="477"/>
        <v>0.6</v>
      </c>
      <c r="Q279" s="9">
        <f t="shared" si="472"/>
        <v>1673.3</v>
      </c>
      <c r="R279" s="9">
        <f t="shared" si="458"/>
        <v>1673</v>
      </c>
      <c r="S279" s="9">
        <f t="shared" si="473"/>
        <v>1672.9</v>
      </c>
      <c r="T279" s="14">
        <f t="shared" si="459"/>
        <v>1673.1200000000001</v>
      </c>
      <c r="U279" s="9"/>
      <c r="W279" s="23">
        <f t="shared" si="464"/>
        <v>3000</v>
      </c>
      <c r="X279">
        <f t="shared" si="460"/>
        <v>1673.5</v>
      </c>
      <c r="Y279" s="3">
        <f t="shared" si="465"/>
        <v>1673.1200000000001</v>
      </c>
      <c r="Z279">
        <f t="shared" si="466"/>
        <v>1672.9</v>
      </c>
      <c r="AA279">
        <f t="shared" si="467"/>
        <v>1673.3</v>
      </c>
    </row>
    <row r="280" spans="1:27">
      <c r="A280" s="9"/>
      <c r="B280" s="10">
        <f t="shared" si="456"/>
        <v>3200</v>
      </c>
      <c r="C280" s="9">
        <f t="shared" si="461"/>
        <v>0.2</v>
      </c>
      <c r="D280" s="9">
        <f t="shared" si="468"/>
        <v>0.15</v>
      </c>
      <c r="E280" s="9">
        <f t="shared" si="469"/>
        <v>1.82</v>
      </c>
      <c r="F280" s="9">
        <f t="shared" si="470"/>
        <v>1.5</v>
      </c>
      <c r="G280" s="9">
        <f t="shared" ref="G280:H280" si="502">G279</f>
        <v>0.25</v>
      </c>
      <c r="H280" s="9">
        <f t="shared" si="502"/>
        <v>0.22</v>
      </c>
      <c r="I280" s="9">
        <v>1.4999999999999999E-2</v>
      </c>
      <c r="J280" s="9">
        <f t="shared" si="475"/>
        <v>0.01</v>
      </c>
      <c r="K280" s="9" t="str">
        <f t="shared" si="471"/>
        <v>1/100</v>
      </c>
      <c r="L280" s="9" t="str">
        <f t="shared" ref="L280:N280" si="503">L279</f>
        <v>U60</v>
      </c>
      <c r="M280" s="9">
        <f t="shared" si="503"/>
        <v>0.1</v>
      </c>
      <c r="N280" s="9">
        <f t="shared" si="503"/>
        <v>0.11</v>
      </c>
      <c r="O280" s="9">
        <f t="shared" si="463"/>
        <v>0.35</v>
      </c>
      <c r="P280" s="9">
        <f t="shared" si="477"/>
        <v>0.6</v>
      </c>
      <c r="Q280" s="9">
        <f t="shared" si="472"/>
        <v>1671.6499999999999</v>
      </c>
      <c r="R280" s="9">
        <f t="shared" si="458"/>
        <v>1671.35</v>
      </c>
      <c r="S280" s="9">
        <f t="shared" si="473"/>
        <v>1671.25</v>
      </c>
      <c r="T280" s="14">
        <f t="shared" si="459"/>
        <v>1671.47</v>
      </c>
      <c r="U280" s="9"/>
      <c r="W280" s="23">
        <f t="shared" si="464"/>
        <v>3200</v>
      </c>
      <c r="X280">
        <f t="shared" si="460"/>
        <v>1671.85</v>
      </c>
      <c r="Y280" s="3">
        <f t="shared" si="465"/>
        <v>1671.47</v>
      </c>
      <c r="Z280">
        <f t="shared" si="466"/>
        <v>1671.25</v>
      </c>
      <c r="AA280">
        <f t="shared" si="467"/>
        <v>1671.6499999999999</v>
      </c>
    </row>
    <row r="281" spans="1:27">
      <c r="A281" s="9"/>
      <c r="B281" s="10">
        <f t="shared" si="456"/>
        <v>3400</v>
      </c>
      <c r="C281" s="9">
        <f t="shared" si="461"/>
        <v>0.2</v>
      </c>
      <c r="D281" s="9">
        <f t="shared" si="468"/>
        <v>0.15</v>
      </c>
      <c r="E281" s="9">
        <f t="shared" si="469"/>
        <v>1.82</v>
      </c>
      <c r="F281" s="9">
        <f t="shared" si="470"/>
        <v>1.5</v>
      </c>
      <c r="G281" s="9">
        <f t="shared" ref="G281:H281" si="504">G280</f>
        <v>0.25</v>
      </c>
      <c r="H281" s="9">
        <f t="shared" si="504"/>
        <v>0.22</v>
      </c>
      <c r="I281" s="9">
        <v>1.4999999999999999E-2</v>
      </c>
      <c r="J281" s="9">
        <f t="shared" si="475"/>
        <v>0.01</v>
      </c>
      <c r="K281" s="9" t="str">
        <f t="shared" si="471"/>
        <v>1/100</v>
      </c>
      <c r="L281" s="9" t="str">
        <f t="shared" ref="L281:N281" si="505">L280</f>
        <v>U60</v>
      </c>
      <c r="M281" s="9">
        <f t="shared" si="505"/>
        <v>0.1</v>
      </c>
      <c r="N281" s="9">
        <f t="shared" si="505"/>
        <v>0.11</v>
      </c>
      <c r="O281" s="9">
        <f t="shared" si="463"/>
        <v>0.35</v>
      </c>
      <c r="P281" s="9">
        <f t="shared" si="477"/>
        <v>0.6</v>
      </c>
      <c r="Q281" s="9">
        <f t="shared" si="472"/>
        <v>1670.3999999999999</v>
      </c>
      <c r="R281" s="9">
        <f t="shared" si="458"/>
        <v>1670.1</v>
      </c>
      <c r="S281" s="9">
        <f t="shared" si="473"/>
        <v>1670</v>
      </c>
      <c r="T281" s="14">
        <f t="shared" si="459"/>
        <v>1670.22</v>
      </c>
      <c r="U281" s="9"/>
      <c r="W281" s="23">
        <f t="shared" si="464"/>
        <v>3400</v>
      </c>
      <c r="X281">
        <f t="shared" si="460"/>
        <v>1670.6</v>
      </c>
      <c r="Y281" s="3">
        <f t="shared" si="465"/>
        <v>1670.22</v>
      </c>
      <c r="Z281">
        <f t="shared" si="466"/>
        <v>1670</v>
      </c>
      <c r="AA281">
        <f t="shared" si="467"/>
        <v>1670.3999999999999</v>
      </c>
    </row>
    <row r="282" spans="1:27">
      <c r="A282" s="9"/>
      <c r="B282" s="10">
        <f t="shared" si="456"/>
        <v>3550</v>
      </c>
      <c r="C282" s="9">
        <f t="shared" si="461"/>
        <v>0.2</v>
      </c>
      <c r="D282" s="9">
        <f t="shared" si="468"/>
        <v>0.15</v>
      </c>
      <c r="E282" s="9">
        <f t="shared" si="469"/>
        <v>1.82</v>
      </c>
      <c r="F282" s="9">
        <f t="shared" si="470"/>
        <v>1.5</v>
      </c>
      <c r="G282" s="9">
        <f t="shared" ref="G282:H282" si="506">G281</f>
        <v>0.25</v>
      </c>
      <c r="H282" s="9">
        <f t="shared" si="506"/>
        <v>0.22</v>
      </c>
      <c r="I282" s="9">
        <v>1.4999999999999999E-2</v>
      </c>
      <c r="J282" s="9">
        <f t="shared" si="475"/>
        <v>0.01</v>
      </c>
      <c r="K282" s="9" t="str">
        <f t="shared" si="471"/>
        <v>1/100</v>
      </c>
      <c r="L282" s="9" t="str">
        <f t="shared" ref="L282:N282" si="507">L281</f>
        <v>U60</v>
      </c>
      <c r="M282" s="9">
        <f t="shared" si="507"/>
        <v>0.1</v>
      </c>
      <c r="N282" s="9">
        <f t="shared" si="507"/>
        <v>0.11</v>
      </c>
      <c r="O282" s="9">
        <f t="shared" si="463"/>
        <v>0.35</v>
      </c>
      <c r="P282" s="9">
        <f t="shared" si="477"/>
        <v>0.6</v>
      </c>
      <c r="Q282" s="9">
        <f t="shared" si="472"/>
        <v>1670.1</v>
      </c>
      <c r="R282" s="9">
        <f t="shared" si="458"/>
        <v>1669.8</v>
      </c>
      <c r="S282" s="9">
        <f t="shared" si="473"/>
        <v>1669.7</v>
      </c>
      <c r="T282" s="14">
        <f t="shared" si="459"/>
        <v>1669.92</v>
      </c>
      <c r="U282" s="9"/>
      <c r="W282" s="23">
        <f t="shared" si="464"/>
        <v>3550</v>
      </c>
      <c r="X282">
        <f t="shared" si="460"/>
        <v>1670.3</v>
      </c>
      <c r="Y282" s="3">
        <f t="shared" si="465"/>
        <v>1669.92</v>
      </c>
      <c r="Z282">
        <f t="shared" si="466"/>
        <v>1669.7</v>
      </c>
      <c r="AA282">
        <f t="shared" si="467"/>
        <v>1670.1</v>
      </c>
    </row>
    <row r="283" spans="1:27">
      <c r="A283" s="16"/>
      <c r="B283" s="21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22"/>
      <c r="U283" s="16"/>
      <c r="W283" s="23"/>
      <c r="Y283" s="3"/>
    </row>
    <row r="284" spans="1:27">
      <c r="A284" s="16"/>
      <c r="B284" s="21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22"/>
      <c r="U284" s="16"/>
      <c r="W284" s="23"/>
      <c r="Y284" s="3"/>
    </row>
    <row r="285" spans="1:27">
      <c r="A285" s="16"/>
      <c r="B285" s="43" t="s">
        <v>336</v>
      </c>
      <c r="C285" s="43" t="s">
        <v>337</v>
      </c>
      <c r="D285" s="43"/>
      <c r="E285" s="43" t="s">
        <v>338</v>
      </c>
      <c r="F285" s="43"/>
      <c r="G285" s="43" t="s">
        <v>339</v>
      </c>
      <c r="H285" s="43"/>
      <c r="I285" s="9" t="s">
        <v>340</v>
      </c>
      <c r="J285" s="9" t="s">
        <v>289</v>
      </c>
      <c r="K285" s="9" t="s">
        <v>863</v>
      </c>
      <c r="L285" s="43" t="s">
        <v>786</v>
      </c>
      <c r="M285" s="43"/>
      <c r="N285" s="43" t="s">
        <v>793</v>
      </c>
      <c r="O285" s="43"/>
      <c r="P285" s="43" t="s">
        <v>794</v>
      </c>
      <c r="Q285" s="43"/>
      <c r="R285" s="9" t="s">
        <v>789</v>
      </c>
      <c r="S285" s="9" t="s">
        <v>790</v>
      </c>
      <c r="T285" s="22"/>
      <c r="U285" s="16"/>
      <c r="W285" s="23"/>
      <c r="Y285" s="3"/>
    </row>
    <row r="286" spans="1:27" ht="15.6">
      <c r="A286" s="16"/>
      <c r="B286" s="43"/>
      <c r="C286" s="9" t="s">
        <v>349</v>
      </c>
      <c r="D286" s="9" t="s">
        <v>348</v>
      </c>
      <c r="E286" s="9" t="s">
        <v>351</v>
      </c>
      <c r="F286" s="9" t="s">
        <v>352</v>
      </c>
      <c r="G286" s="9" t="s">
        <v>353</v>
      </c>
      <c r="H286" s="9" t="s">
        <v>354</v>
      </c>
      <c r="I286" s="9" t="s">
        <v>309</v>
      </c>
      <c r="J286" s="9" t="s">
        <v>308</v>
      </c>
      <c r="K286" s="9" t="s">
        <v>864</v>
      </c>
      <c r="L286" s="9" t="s">
        <v>787</v>
      </c>
      <c r="M286" s="9" t="s">
        <v>788</v>
      </c>
      <c r="N286" s="9" t="s">
        <v>798</v>
      </c>
      <c r="O286" s="9" t="s">
        <v>799</v>
      </c>
      <c r="P286" s="9" t="s">
        <v>800</v>
      </c>
      <c r="Q286" s="9" t="s">
        <v>801</v>
      </c>
      <c r="R286" s="9" t="s">
        <v>792</v>
      </c>
      <c r="S286" s="9" t="s">
        <v>791</v>
      </c>
      <c r="T286" s="22"/>
      <c r="U286" s="16"/>
      <c r="W286" s="23"/>
      <c r="Y286" s="3"/>
    </row>
    <row r="287" spans="1:27" ht="16.2">
      <c r="A287" s="16"/>
      <c r="B287" s="9" t="s">
        <v>356</v>
      </c>
      <c r="C287" s="9" t="s">
        <v>358</v>
      </c>
      <c r="D287" s="9" t="s">
        <v>358</v>
      </c>
      <c r="E287" s="9" t="s">
        <v>357</v>
      </c>
      <c r="F287" s="9" t="s">
        <v>357</v>
      </c>
      <c r="G287" s="9" t="s">
        <v>307</v>
      </c>
      <c r="H287" s="9" t="s">
        <v>307</v>
      </c>
      <c r="I287" s="9"/>
      <c r="J287" s="9"/>
      <c r="K287" s="9" t="s">
        <v>795</v>
      </c>
      <c r="L287" s="9" t="s">
        <v>796</v>
      </c>
      <c r="M287" s="9" t="s">
        <v>796</v>
      </c>
      <c r="N287" s="9" t="s">
        <v>797</v>
      </c>
      <c r="O287" s="9"/>
      <c r="P287" s="9" t="s">
        <v>797</v>
      </c>
      <c r="Q287" s="9"/>
      <c r="R287" s="9" t="s">
        <v>797</v>
      </c>
      <c r="S287" s="9" t="s">
        <v>797</v>
      </c>
      <c r="T287" s="22"/>
      <c r="U287" s="16"/>
      <c r="W287" s="23"/>
      <c r="Y287" s="3"/>
    </row>
    <row r="288" spans="1:27">
      <c r="A288" s="16"/>
      <c r="B288" s="10">
        <f t="shared" ref="B288:C306" si="508">B264</f>
        <v>0</v>
      </c>
      <c r="C288" s="9">
        <f t="shared" si="508"/>
        <v>0.2</v>
      </c>
      <c r="D288" s="9">
        <f t="shared" ref="D288:I288" si="509">D264</f>
        <v>0.15</v>
      </c>
      <c r="E288" s="9">
        <f t="shared" si="509"/>
        <v>1.82</v>
      </c>
      <c r="F288" s="9">
        <f t="shared" si="509"/>
        <v>1.5</v>
      </c>
      <c r="G288" s="9">
        <f t="shared" si="509"/>
        <v>0.25</v>
      </c>
      <c r="H288" s="9">
        <f t="shared" si="509"/>
        <v>0.22</v>
      </c>
      <c r="I288" s="9">
        <f t="shared" si="509"/>
        <v>1.4999999999999999E-2</v>
      </c>
      <c r="J288" s="9" t="str">
        <f>K264</f>
        <v>1/100</v>
      </c>
      <c r="K288" s="9" t="str">
        <f>L264</f>
        <v>U60</v>
      </c>
      <c r="L288" s="9">
        <f t="shared" ref="L288:L306" si="510">N264</f>
        <v>0.11</v>
      </c>
      <c r="M288" s="9">
        <f t="shared" ref="M288:M306" si="511">M264</f>
        <v>0.1</v>
      </c>
      <c r="N288" s="9">
        <v>0.80100000000000005</v>
      </c>
      <c r="O288" s="9">
        <v>0.73899999999999999</v>
      </c>
      <c r="P288" s="13">
        <f t="shared" ref="P288" si="512">L288/N288</f>
        <v>0.13732833957553059</v>
      </c>
      <c r="Q288" s="13">
        <f t="shared" ref="Q288" si="513">M288/O288</f>
        <v>0.13531799729364005</v>
      </c>
      <c r="R288" s="9">
        <f>O264</f>
        <v>0.35</v>
      </c>
      <c r="S288" s="9">
        <f>P264</f>
        <v>0.6</v>
      </c>
      <c r="T288" s="22"/>
      <c r="U288" s="16"/>
      <c r="W288" s="23"/>
      <c r="Y288" s="3"/>
    </row>
    <row r="289" spans="1:25">
      <c r="A289" s="16"/>
      <c r="B289" s="10">
        <f t="shared" si="508"/>
        <v>200</v>
      </c>
      <c r="C289" s="9">
        <f t="shared" si="508"/>
        <v>0.2</v>
      </c>
      <c r="D289" s="9">
        <f t="shared" ref="D289:I298" si="514">D265</f>
        <v>0.15</v>
      </c>
      <c r="E289" s="9">
        <f t="shared" si="514"/>
        <v>1.82</v>
      </c>
      <c r="F289" s="9">
        <f t="shared" si="514"/>
        <v>1.5</v>
      </c>
      <c r="G289" s="9">
        <f t="shared" si="514"/>
        <v>0.25</v>
      </c>
      <c r="H289" s="9">
        <f t="shared" si="514"/>
        <v>0.22</v>
      </c>
      <c r="I289" s="9">
        <f t="shared" si="514"/>
        <v>1.4999999999999999E-2</v>
      </c>
      <c r="J289" s="9" t="str">
        <f t="shared" ref="J289:K289" si="515">K265</f>
        <v>1/100</v>
      </c>
      <c r="K289" s="9" t="str">
        <f t="shared" si="515"/>
        <v>U60</v>
      </c>
      <c r="L289" s="9">
        <f t="shared" si="510"/>
        <v>0.11</v>
      </c>
      <c r="M289" s="9">
        <f t="shared" si="511"/>
        <v>0.1</v>
      </c>
      <c r="N289" s="9">
        <v>0.80100000000000005</v>
      </c>
      <c r="O289" s="9">
        <v>0.73899999999999999</v>
      </c>
      <c r="P289" s="13">
        <f t="shared" ref="P289:P306" si="516">L289/N289</f>
        <v>0.13732833957553059</v>
      </c>
      <c r="Q289" s="13">
        <f t="shared" ref="Q289:Q306" si="517">M289/O289</f>
        <v>0.13531799729364005</v>
      </c>
      <c r="R289" s="9">
        <f t="shared" ref="R289:S289" si="518">O265</f>
        <v>0.35</v>
      </c>
      <c r="S289" s="9">
        <f t="shared" si="518"/>
        <v>0.6</v>
      </c>
      <c r="T289" s="22"/>
      <c r="U289" s="16"/>
      <c r="W289" s="23"/>
      <c r="Y289" s="3"/>
    </row>
    <row r="290" spans="1:25">
      <c r="A290" s="16"/>
      <c r="B290" s="10">
        <f t="shared" si="508"/>
        <v>400</v>
      </c>
      <c r="C290" s="9">
        <f t="shared" si="508"/>
        <v>0.2</v>
      </c>
      <c r="D290" s="9">
        <f t="shared" si="514"/>
        <v>0.15</v>
      </c>
      <c r="E290" s="9">
        <f t="shared" si="514"/>
        <v>1.82</v>
      </c>
      <c r="F290" s="9">
        <f t="shared" si="514"/>
        <v>1.5</v>
      </c>
      <c r="G290" s="9">
        <f t="shared" si="514"/>
        <v>0.25</v>
      </c>
      <c r="H290" s="9">
        <f t="shared" si="514"/>
        <v>0.22</v>
      </c>
      <c r="I290" s="9">
        <f t="shared" si="514"/>
        <v>1.4999999999999999E-2</v>
      </c>
      <c r="J290" s="9" t="str">
        <f t="shared" ref="J290:K290" si="519">K266</f>
        <v>1/100</v>
      </c>
      <c r="K290" s="9" t="str">
        <f t="shared" si="519"/>
        <v>U60</v>
      </c>
      <c r="L290" s="9">
        <f t="shared" si="510"/>
        <v>0.11</v>
      </c>
      <c r="M290" s="9">
        <f t="shared" si="511"/>
        <v>0.1</v>
      </c>
      <c r="N290" s="9">
        <v>0.80100000000000005</v>
      </c>
      <c r="O290" s="9">
        <v>0.73899999999999999</v>
      </c>
      <c r="P290" s="13">
        <f t="shared" si="516"/>
        <v>0.13732833957553059</v>
      </c>
      <c r="Q290" s="13">
        <f t="shared" si="517"/>
        <v>0.13531799729364005</v>
      </c>
      <c r="R290" s="9">
        <f t="shared" ref="R290:S290" si="520">O266</f>
        <v>0.35</v>
      </c>
      <c r="S290" s="9">
        <f t="shared" si="520"/>
        <v>0.6</v>
      </c>
      <c r="T290" s="22"/>
      <c r="U290" s="16"/>
      <c r="W290" s="23"/>
      <c r="Y290" s="3"/>
    </row>
    <row r="291" spans="1:25">
      <c r="A291" s="16"/>
      <c r="B291" s="10">
        <f t="shared" si="508"/>
        <v>600</v>
      </c>
      <c r="C291" s="9">
        <f t="shared" si="508"/>
        <v>0.2</v>
      </c>
      <c r="D291" s="9">
        <f t="shared" si="514"/>
        <v>0.15</v>
      </c>
      <c r="E291" s="9">
        <f t="shared" si="514"/>
        <v>1.82</v>
      </c>
      <c r="F291" s="9">
        <f t="shared" si="514"/>
        <v>1.5</v>
      </c>
      <c r="G291" s="9">
        <f t="shared" si="514"/>
        <v>0.25</v>
      </c>
      <c r="H291" s="9">
        <f t="shared" si="514"/>
        <v>0.22</v>
      </c>
      <c r="I291" s="9">
        <f t="shared" si="514"/>
        <v>1.4999999999999999E-2</v>
      </c>
      <c r="J291" s="9" t="str">
        <f t="shared" ref="J291:K291" si="521">K267</f>
        <v>1/100</v>
      </c>
      <c r="K291" s="9" t="str">
        <f t="shared" si="521"/>
        <v>U60</v>
      </c>
      <c r="L291" s="9">
        <f t="shared" si="510"/>
        <v>0.11</v>
      </c>
      <c r="M291" s="9">
        <f t="shared" si="511"/>
        <v>0.1</v>
      </c>
      <c r="N291" s="9">
        <v>0.80100000000000005</v>
      </c>
      <c r="O291" s="9">
        <v>0.73899999999999999</v>
      </c>
      <c r="P291" s="13">
        <f t="shared" si="516"/>
        <v>0.13732833957553059</v>
      </c>
      <c r="Q291" s="13">
        <f t="shared" si="517"/>
        <v>0.13531799729364005</v>
      </c>
      <c r="R291" s="9">
        <f t="shared" ref="R291:S291" si="522">O267</f>
        <v>0.35</v>
      </c>
      <c r="S291" s="9">
        <f t="shared" si="522"/>
        <v>0.6</v>
      </c>
      <c r="T291" s="22"/>
      <c r="U291" s="16"/>
      <c r="W291" s="23"/>
      <c r="Y291" s="3"/>
    </row>
    <row r="292" spans="1:25">
      <c r="A292" s="16"/>
      <c r="B292" s="10">
        <f t="shared" si="508"/>
        <v>800</v>
      </c>
      <c r="C292" s="9">
        <f t="shared" si="508"/>
        <v>0.2</v>
      </c>
      <c r="D292" s="9">
        <f t="shared" si="514"/>
        <v>0.15</v>
      </c>
      <c r="E292" s="9">
        <f t="shared" si="514"/>
        <v>1.82</v>
      </c>
      <c r="F292" s="9">
        <f t="shared" si="514"/>
        <v>1.5</v>
      </c>
      <c r="G292" s="9">
        <f t="shared" si="514"/>
        <v>0.25</v>
      </c>
      <c r="H292" s="9">
        <f t="shared" si="514"/>
        <v>0.22</v>
      </c>
      <c r="I292" s="9">
        <f t="shared" si="514"/>
        <v>1.4999999999999999E-2</v>
      </c>
      <c r="J292" s="9" t="str">
        <f t="shared" ref="J292:K292" si="523">K268</f>
        <v>1/100</v>
      </c>
      <c r="K292" s="9" t="str">
        <f t="shared" si="523"/>
        <v>U60</v>
      </c>
      <c r="L292" s="9">
        <f t="shared" si="510"/>
        <v>0.11</v>
      </c>
      <c r="M292" s="9">
        <f t="shared" si="511"/>
        <v>0.1</v>
      </c>
      <c r="N292" s="9">
        <v>0.80100000000000005</v>
      </c>
      <c r="O292" s="9">
        <v>0.73899999999999999</v>
      </c>
      <c r="P292" s="13">
        <f t="shared" si="516"/>
        <v>0.13732833957553059</v>
      </c>
      <c r="Q292" s="13">
        <f t="shared" si="517"/>
        <v>0.13531799729364005</v>
      </c>
      <c r="R292" s="9">
        <f t="shared" ref="R292:S292" si="524">O268</f>
        <v>0.35</v>
      </c>
      <c r="S292" s="9">
        <f t="shared" si="524"/>
        <v>0.6</v>
      </c>
      <c r="T292" s="22"/>
      <c r="U292" s="16"/>
      <c r="W292" s="23"/>
      <c r="Y292" s="3"/>
    </row>
    <row r="293" spans="1:25">
      <c r="A293" s="16"/>
      <c r="B293" s="10">
        <f t="shared" si="508"/>
        <v>1000</v>
      </c>
      <c r="C293" s="9">
        <f t="shared" si="508"/>
        <v>0.2</v>
      </c>
      <c r="D293" s="9">
        <f t="shared" si="514"/>
        <v>0.15</v>
      </c>
      <c r="E293" s="9">
        <f t="shared" si="514"/>
        <v>1.82</v>
      </c>
      <c r="F293" s="9">
        <f t="shared" si="514"/>
        <v>1.5</v>
      </c>
      <c r="G293" s="9">
        <f t="shared" si="514"/>
        <v>0.25</v>
      </c>
      <c r="H293" s="9">
        <f t="shared" si="514"/>
        <v>0.22</v>
      </c>
      <c r="I293" s="9">
        <f t="shared" si="514"/>
        <v>1.4999999999999999E-2</v>
      </c>
      <c r="J293" s="9" t="str">
        <f t="shared" ref="J293:K293" si="525">K269</f>
        <v>1/100</v>
      </c>
      <c r="K293" s="9" t="str">
        <f t="shared" si="525"/>
        <v>U60</v>
      </c>
      <c r="L293" s="9">
        <f t="shared" si="510"/>
        <v>0.11</v>
      </c>
      <c r="M293" s="9">
        <f t="shared" si="511"/>
        <v>0.1</v>
      </c>
      <c r="N293" s="9">
        <v>0.80100000000000005</v>
      </c>
      <c r="O293" s="9">
        <v>0.73899999999999999</v>
      </c>
      <c r="P293" s="13">
        <f t="shared" si="516"/>
        <v>0.13732833957553059</v>
      </c>
      <c r="Q293" s="13">
        <f t="shared" si="517"/>
        <v>0.13531799729364005</v>
      </c>
      <c r="R293" s="9">
        <f t="shared" ref="R293:S293" si="526">O269</f>
        <v>0.35</v>
      </c>
      <c r="S293" s="9">
        <f t="shared" si="526"/>
        <v>0.6</v>
      </c>
      <c r="T293" s="22"/>
      <c r="U293" s="16"/>
      <c r="W293" s="23"/>
      <c r="Y293" s="3"/>
    </row>
    <row r="294" spans="1:25">
      <c r="A294" s="16"/>
      <c r="B294" s="10">
        <f t="shared" si="508"/>
        <v>1200</v>
      </c>
      <c r="C294" s="9">
        <f t="shared" si="508"/>
        <v>0.2</v>
      </c>
      <c r="D294" s="9">
        <f t="shared" si="514"/>
        <v>0.15</v>
      </c>
      <c r="E294" s="9">
        <f t="shared" si="514"/>
        <v>1.82</v>
      </c>
      <c r="F294" s="9">
        <f t="shared" si="514"/>
        <v>1.5</v>
      </c>
      <c r="G294" s="9">
        <f t="shared" si="514"/>
        <v>0.25</v>
      </c>
      <c r="H294" s="9">
        <f t="shared" si="514"/>
        <v>0.22</v>
      </c>
      <c r="I294" s="9">
        <f t="shared" si="514"/>
        <v>1.4999999999999999E-2</v>
      </c>
      <c r="J294" s="9" t="str">
        <f t="shared" ref="J294:K294" si="527">K270</f>
        <v>1/100</v>
      </c>
      <c r="K294" s="9" t="str">
        <f t="shared" si="527"/>
        <v>U60</v>
      </c>
      <c r="L294" s="9">
        <f t="shared" si="510"/>
        <v>0.11</v>
      </c>
      <c r="M294" s="9">
        <f t="shared" si="511"/>
        <v>0.1</v>
      </c>
      <c r="N294" s="9">
        <v>0.80100000000000005</v>
      </c>
      <c r="O294" s="9">
        <v>0.73899999999999999</v>
      </c>
      <c r="P294" s="13">
        <f t="shared" si="516"/>
        <v>0.13732833957553059</v>
      </c>
      <c r="Q294" s="13">
        <f t="shared" si="517"/>
        <v>0.13531799729364005</v>
      </c>
      <c r="R294" s="9">
        <f t="shared" ref="R294:S294" si="528">O270</f>
        <v>0.35</v>
      </c>
      <c r="S294" s="9">
        <f t="shared" si="528"/>
        <v>0.6</v>
      </c>
      <c r="T294" s="22"/>
      <c r="U294" s="16"/>
      <c r="W294" s="23"/>
      <c r="Y294" s="3"/>
    </row>
    <row r="295" spans="1:25">
      <c r="A295" s="16"/>
      <c r="B295" s="10">
        <f t="shared" si="508"/>
        <v>1400</v>
      </c>
      <c r="C295" s="9">
        <f t="shared" si="508"/>
        <v>0.2</v>
      </c>
      <c r="D295" s="9">
        <f t="shared" si="514"/>
        <v>0.15</v>
      </c>
      <c r="E295" s="9">
        <f t="shared" si="514"/>
        <v>1.82</v>
      </c>
      <c r="F295" s="9">
        <f t="shared" si="514"/>
        <v>1.5</v>
      </c>
      <c r="G295" s="9">
        <f t="shared" si="514"/>
        <v>0.25</v>
      </c>
      <c r="H295" s="9">
        <f t="shared" si="514"/>
        <v>0.22</v>
      </c>
      <c r="I295" s="9">
        <f t="shared" si="514"/>
        <v>1.4999999999999999E-2</v>
      </c>
      <c r="J295" s="9" t="str">
        <f t="shared" ref="J295:K295" si="529">K271</f>
        <v>1/100</v>
      </c>
      <c r="K295" s="9" t="str">
        <f t="shared" si="529"/>
        <v>U60</v>
      </c>
      <c r="L295" s="9">
        <f t="shared" si="510"/>
        <v>0.11</v>
      </c>
      <c r="M295" s="9">
        <f t="shared" si="511"/>
        <v>0.1</v>
      </c>
      <c r="N295" s="9">
        <v>0.80100000000000005</v>
      </c>
      <c r="O295" s="9">
        <v>0.73899999999999999</v>
      </c>
      <c r="P295" s="13">
        <f t="shared" si="516"/>
        <v>0.13732833957553059</v>
      </c>
      <c r="Q295" s="13">
        <f t="shared" si="517"/>
        <v>0.13531799729364005</v>
      </c>
      <c r="R295" s="9">
        <f t="shared" ref="R295:S295" si="530">O271</f>
        <v>0.35</v>
      </c>
      <c r="S295" s="9">
        <f t="shared" si="530"/>
        <v>0.6</v>
      </c>
      <c r="T295" s="22"/>
      <c r="U295" s="16"/>
      <c r="W295" s="23"/>
      <c r="Y295" s="3"/>
    </row>
    <row r="296" spans="1:25">
      <c r="A296" s="16"/>
      <c r="B296" s="10">
        <f t="shared" si="508"/>
        <v>1600</v>
      </c>
      <c r="C296" s="9">
        <f t="shared" si="508"/>
        <v>0.2</v>
      </c>
      <c r="D296" s="9">
        <f t="shared" si="514"/>
        <v>0.15</v>
      </c>
      <c r="E296" s="9">
        <f t="shared" si="514"/>
        <v>1.82</v>
      </c>
      <c r="F296" s="9">
        <f t="shared" si="514"/>
        <v>1.5</v>
      </c>
      <c r="G296" s="9">
        <f t="shared" si="514"/>
        <v>0.25</v>
      </c>
      <c r="H296" s="9">
        <f t="shared" si="514"/>
        <v>0.22</v>
      </c>
      <c r="I296" s="9">
        <f t="shared" si="514"/>
        <v>1.4999999999999999E-2</v>
      </c>
      <c r="J296" s="9" t="str">
        <f t="shared" ref="J296:K296" si="531">K272</f>
        <v>1/100</v>
      </c>
      <c r="K296" s="9" t="str">
        <f t="shared" si="531"/>
        <v>U60</v>
      </c>
      <c r="L296" s="9">
        <f t="shared" si="510"/>
        <v>0.11</v>
      </c>
      <c r="M296" s="9">
        <f t="shared" si="511"/>
        <v>0.1</v>
      </c>
      <c r="N296" s="9">
        <v>0.80100000000000005</v>
      </c>
      <c r="O296" s="9">
        <v>0.73899999999999999</v>
      </c>
      <c r="P296" s="13">
        <f t="shared" si="516"/>
        <v>0.13732833957553059</v>
      </c>
      <c r="Q296" s="13">
        <f t="shared" si="517"/>
        <v>0.13531799729364005</v>
      </c>
      <c r="R296" s="9">
        <f t="shared" ref="R296:S296" si="532">O272</f>
        <v>0.35</v>
      </c>
      <c r="S296" s="9">
        <f t="shared" si="532"/>
        <v>0.6</v>
      </c>
      <c r="T296" s="22"/>
      <c r="U296" s="16"/>
      <c r="W296" s="23"/>
      <c r="Y296" s="3"/>
    </row>
    <row r="297" spans="1:25">
      <c r="A297" s="16"/>
      <c r="B297" s="10">
        <f t="shared" si="508"/>
        <v>1800</v>
      </c>
      <c r="C297" s="9">
        <f t="shared" si="508"/>
        <v>0.2</v>
      </c>
      <c r="D297" s="9">
        <f t="shared" si="514"/>
        <v>0.15</v>
      </c>
      <c r="E297" s="9">
        <f t="shared" si="514"/>
        <v>1.82</v>
      </c>
      <c r="F297" s="9">
        <f t="shared" si="514"/>
        <v>1.5</v>
      </c>
      <c r="G297" s="9">
        <f t="shared" si="514"/>
        <v>0.25</v>
      </c>
      <c r="H297" s="9">
        <f t="shared" si="514"/>
        <v>0.22</v>
      </c>
      <c r="I297" s="9">
        <f t="shared" si="514"/>
        <v>1.4999999999999999E-2</v>
      </c>
      <c r="J297" s="9" t="str">
        <f t="shared" ref="J297:K297" si="533">K273</f>
        <v>1/100</v>
      </c>
      <c r="K297" s="9" t="str">
        <f t="shared" si="533"/>
        <v>U60</v>
      </c>
      <c r="L297" s="9">
        <f t="shared" si="510"/>
        <v>0.11</v>
      </c>
      <c r="M297" s="9">
        <f t="shared" si="511"/>
        <v>0.1</v>
      </c>
      <c r="N297" s="9">
        <v>0.80100000000000005</v>
      </c>
      <c r="O297" s="9">
        <v>0.73899999999999999</v>
      </c>
      <c r="P297" s="13">
        <f t="shared" si="516"/>
        <v>0.13732833957553059</v>
      </c>
      <c r="Q297" s="13">
        <f t="shared" si="517"/>
        <v>0.13531799729364005</v>
      </c>
      <c r="R297" s="9">
        <f t="shared" ref="R297:S297" si="534">O273</f>
        <v>0.35</v>
      </c>
      <c r="S297" s="9">
        <f t="shared" si="534"/>
        <v>0.6</v>
      </c>
      <c r="T297" s="22"/>
      <c r="U297" s="16"/>
      <c r="W297" s="23"/>
      <c r="Y297" s="3"/>
    </row>
    <row r="298" spans="1:25">
      <c r="A298" s="16"/>
      <c r="B298" s="10">
        <f t="shared" si="508"/>
        <v>2000</v>
      </c>
      <c r="C298" s="9">
        <f t="shared" si="508"/>
        <v>0.2</v>
      </c>
      <c r="D298" s="9">
        <f t="shared" si="514"/>
        <v>0.15</v>
      </c>
      <c r="E298" s="9">
        <f t="shared" si="514"/>
        <v>1.82</v>
      </c>
      <c r="F298" s="9">
        <f t="shared" si="514"/>
        <v>1.5</v>
      </c>
      <c r="G298" s="9">
        <f t="shared" si="514"/>
        <v>0.25</v>
      </c>
      <c r="H298" s="9">
        <f t="shared" si="514"/>
        <v>0.22</v>
      </c>
      <c r="I298" s="9">
        <f t="shared" si="514"/>
        <v>1.4999999999999999E-2</v>
      </c>
      <c r="J298" s="9" t="str">
        <f t="shared" ref="J298:K298" si="535">K274</f>
        <v>1/100</v>
      </c>
      <c r="K298" s="9" t="str">
        <f t="shared" si="535"/>
        <v>U60</v>
      </c>
      <c r="L298" s="9">
        <f t="shared" si="510"/>
        <v>0.11</v>
      </c>
      <c r="M298" s="9">
        <f t="shared" si="511"/>
        <v>0.1</v>
      </c>
      <c r="N298" s="9">
        <v>0.80100000000000005</v>
      </c>
      <c r="O298" s="9">
        <v>0.73899999999999999</v>
      </c>
      <c r="P298" s="13">
        <f t="shared" si="516"/>
        <v>0.13732833957553059</v>
      </c>
      <c r="Q298" s="13">
        <f t="shared" si="517"/>
        <v>0.13531799729364005</v>
      </c>
      <c r="R298" s="9">
        <f t="shared" ref="R298:S298" si="536">O274</f>
        <v>0.35</v>
      </c>
      <c r="S298" s="9">
        <f t="shared" si="536"/>
        <v>0.6</v>
      </c>
      <c r="T298" s="22"/>
      <c r="U298" s="16"/>
      <c r="W298" s="23"/>
      <c r="Y298" s="3"/>
    </row>
    <row r="299" spans="1:25">
      <c r="A299" s="16"/>
      <c r="B299" s="10">
        <f t="shared" si="508"/>
        <v>2200</v>
      </c>
      <c r="C299" s="9">
        <f t="shared" si="508"/>
        <v>0.2</v>
      </c>
      <c r="D299" s="9">
        <f t="shared" ref="D299:I306" si="537">D275</f>
        <v>0.15</v>
      </c>
      <c r="E299" s="9">
        <f t="shared" si="537"/>
        <v>1.82</v>
      </c>
      <c r="F299" s="9">
        <f t="shared" si="537"/>
        <v>1.5</v>
      </c>
      <c r="G299" s="9">
        <f t="shared" si="537"/>
        <v>0.25</v>
      </c>
      <c r="H299" s="9">
        <f t="shared" si="537"/>
        <v>0.22</v>
      </c>
      <c r="I299" s="9">
        <f t="shared" si="537"/>
        <v>1.4999999999999999E-2</v>
      </c>
      <c r="J299" s="9" t="str">
        <f t="shared" ref="J299:K299" si="538">K275</f>
        <v>1/100</v>
      </c>
      <c r="K299" s="9" t="str">
        <f t="shared" si="538"/>
        <v>U60</v>
      </c>
      <c r="L299" s="9">
        <f t="shared" si="510"/>
        <v>0.11</v>
      </c>
      <c r="M299" s="9">
        <f t="shared" si="511"/>
        <v>0.1</v>
      </c>
      <c r="N299" s="9">
        <v>0.80100000000000005</v>
      </c>
      <c r="O299" s="9">
        <v>0.73899999999999999</v>
      </c>
      <c r="P299" s="13">
        <f t="shared" si="516"/>
        <v>0.13732833957553059</v>
      </c>
      <c r="Q299" s="13">
        <f t="shared" si="517"/>
        <v>0.13531799729364005</v>
      </c>
      <c r="R299" s="9">
        <f t="shared" ref="R299:S299" si="539">O275</f>
        <v>0.35</v>
      </c>
      <c r="S299" s="9">
        <f t="shared" si="539"/>
        <v>0.6</v>
      </c>
      <c r="T299" s="22"/>
      <c r="U299" s="16"/>
      <c r="W299" s="23"/>
      <c r="Y299" s="3"/>
    </row>
    <row r="300" spans="1:25">
      <c r="A300" s="16"/>
      <c r="B300" s="10">
        <f t="shared" si="508"/>
        <v>2400</v>
      </c>
      <c r="C300" s="9">
        <f t="shared" si="508"/>
        <v>0.2</v>
      </c>
      <c r="D300" s="9">
        <f t="shared" si="537"/>
        <v>0.15</v>
      </c>
      <c r="E300" s="9">
        <f t="shared" si="537"/>
        <v>1.82</v>
      </c>
      <c r="F300" s="9">
        <f t="shared" si="537"/>
        <v>1.5</v>
      </c>
      <c r="G300" s="9">
        <f t="shared" si="537"/>
        <v>0.25</v>
      </c>
      <c r="H300" s="9">
        <f t="shared" si="537"/>
        <v>0.22</v>
      </c>
      <c r="I300" s="9">
        <f t="shared" si="537"/>
        <v>1.4999999999999999E-2</v>
      </c>
      <c r="J300" s="9" t="str">
        <f t="shared" ref="J300:K300" si="540">K276</f>
        <v>1/100</v>
      </c>
      <c r="K300" s="9" t="str">
        <f t="shared" si="540"/>
        <v>U60</v>
      </c>
      <c r="L300" s="9">
        <f t="shared" si="510"/>
        <v>0.11</v>
      </c>
      <c r="M300" s="9">
        <f t="shared" si="511"/>
        <v>0.1</v>
      </c>
      <c r="N300" s="9">
        <v>0.80100000000000005</v>
      </c>
      <c r="O300" s="9">
        <v>0.73899999999999999</v>
      </c>
      <c r="P300" s="13">
        <f t="shared" si="516"/>
        <v>0.13732833957553059</v>
      </c>
      <c r="Q300" s="13">
        <f t="shared" si="517"/>
        <v>0.13531799729364005</v>
      </c>
      <c r="R300" s="9">
        <f t="shared" ref="R300:S300" si="541">O276</f>
        <v>0.35</v>
      </c>
      <c r="S300" s="9">
        <f t="shared" si="541"/>
        <v>0.6</v>
      </c>
      <c r="T300" s="22"/>
      <c r="U300" s="16"/>
      <c r="W300" s="23"/>
      <c r="Y300" s="3"/>
    </row>
    <row r="301" spans="1:25">
      <c r="A301" s="16"/>
      <c r="B301" s="10">
        <f t="shared" si="508"/>
        <v>2600</v>
      </c>
      <c r="C301" s="9">
        <f t="shared" si="508"/>
        <v>0.2</v>
      </c>
      <c r="D301" s="9">
        <f t="shared" si="537"/>
        <v>0.15</v>
      </c>
      <c r="E301" s="9">
        <f t="shared" si="537"/>
        <v>1.82</v>
      </c>
      <c r="F301" s="9">
        <f t="shared" si="537"/>
        <v>1.5</v>
      </c>
      <c r="G301" s="9">
        <f t="shared" si="537"/>
        <v>0.25</v>
      </c>
      <c r="H301" s="9">
        <f t="shared" si="537"/>
        <v>0.22</v>
      </c>
      <c r="I301" s="9">
        <f t="shared" si="537"/>
        <v>1.4999999999999999E-2</v>
      </c>
      <c r="J301" s="9" t="str">
        <f t="shared" ref="J301:K301" si="542">K277</f>
        <v>1/100</v>
      </c>
      <c r="K301" s="9" t="str">
        <f t="shared" si="542"/>
        <v>U60</v>
      </c>
      <c r="L301" s="9">
        <f t="shared" si="510"/>
        <v>0.11</v>
      </c>
      <c r="M301" s="9">
        <f t="shared" si="511"/>
        <v>0.1</v>
      </c>
      <c r="N301" s="9">
        <v>0.80100000000000005</v>
      </c>
      <c r="O301" s="9">
        <v>0.73899999999999999</v>
      </c>
      <c r="P301" s="13">
        <f t="shared" si="516"/>
        <v>0.13732833957553059</v>
      </c>
      <c r="Q301" s="13">
        <f t="shared" si="517"/>
        <v>0.13531799729364005</v>
      </c>
      <c r="R301" s="9">
        <f t="shared" ref="R301:S301" si="543">O277</f>
        <v>0.35</v>
      </c>
      <c r="S301" s="9">
        <f t="shared" si="543"/>
        <v>0.6</v>
      </c>
      <c r="T301" s="22"/>
      <c r="U301" s="16"/>
      <c r="W301" s="23"/>
      <c r="Y301" s="3"/>
    </row>
    <row r="302" spans="1:25">
      <c r="A302" s="16"/>
      <c r="B302" s="10">
        <f t="shared" si="508"/>
        <v>2800</v>
      </c>
      <c r="C302" s="9">
        <f t="shared" si="508"/>
        <v>0.2</v>
      </c>
      <c r="D302" s="9">
        <f t="shared" si="537"/>
        <v>0.15</v>
      </c>
      <c r="E302" s="9">
        <f t="shared" si="537"/>
        <v>1.82</v>
      </c>
      <c r="F302" s="9">
        <f t="shared" si="537"/>
        <v>1.5</v>
      </c>
      <c r="G302" s="9">
        <f t="shared" si="537"/>
        <v>0.25</v>
      </c>
      <c r="H302" s="9">
        <f t="shared" si="537"/>
        <v>0.22</v>
      </c>
      <c r="I302" s="9">
        <f t="shared" si="537"/>
        <v>1.4999999999999999E-2</v>
      </c>
      <c r="J302" s="9" t="str">
        <f t="shared" ref="J302:K302" si="544">K278</f>
        <v>1/100</v>
      </c>
      <c r="K302" s="9" t="str">
        <f t="shared" si="544"/>
        <v>U60</v>
      </c>
      <c r="L302" s="9">
        <f t="shared" si="510"/>
        <v>0.11</v>
      </c>
      <c r="M302" s="9">
        <f t="shared" si="511"/>
        <v>0.1</v>
      </c>
      <c r="N302" s="9">
        <v>0.80100000000000005</v>
      </c>
      <c r="O302" s="9">
        <v>0.73899999999999999</v>
      </c>
      <c r="P302" s="13">
        <f t="shared" si="516"/>
        <v>0.13732833957553059</v>
      </c>
      <c r="Q302" s="13">
        <f t="shared" si="517"/>
        <v>0.13531799729364005</v>
      </c>
      <c r="R302" s="9">
        <f t="shared" ref="R302:S302" si="545">O278</f>
        <v>0.35</v>
      </c>
      <c r="S302" s="9">
        <f t="shared" si="545"/>
        <v>0.6</v>
      </c>
      <c r="T302" s="22"/>
      <c r="U302" s="16"/>
      <c r="W302" s="23"/>
      <c r="Y302" s="3"/>
    </row>
    <row r="303" spans="1:25">
      <c r="A303" s="16"/>
      <c r="B303" s="10">
        <f t="shared" si="508"/>
        <v>3000</v>
      </c>
      <c r="C303" s="9">
        <f t="shared" si="508"/>
        <v>0.2</v>
      </c>
      <c r="D303" s="9">
        <f t="shared" si="537"/>
        <v>0.15</v>
      </c>
      <c r="E303" s="9">
        <f t="shared" si="537"/>
        <v>1.82</v>
      </c>
      <c r="F303" s="9">
        <f t="shared" si="537"/>
        <v>1.5</v>
      </c>
      <c r="G303" s="9">
        <f t="shared" si="537"/>
        <v>0.25</v>
      </c>
      <c r="H303" s="9">
        <f t="shared" si="537"/>
        <v>0.22</v>
      </c>
      <c r="I303" s="9">
        <f t="shared" si="537"/>
        <v>1.4999999999999999E-2</v>
      </c>
      <c r="J303" s="9" t="str">
        <f t="shared" ref="J303:K303" si="546">K279</f>
        <v>1/100</v>
      </c>
      <c r="K303" s="9" t="str">
        <f t="shared" si="546"/>
        <v>U60</v>
      </c>
      <c r="L303" s="9">
        <f t="shared" si="510"/>
        <v>0.11</v>
      </c>
      <c r="M303" s="9">
        <f t="shared" si="511"/>
        <v>0.1</v>
      </c>
      <c r="N303" s="9">
        <v>0.80100000000000005</v>
      </c>
      <c r="O303" s="9">
        <v>0.73899999999999999</v>
      </c>
      <c r="P303" s="13">
        <f t="shared" si="516"/>
        <v>0.13732833957553059</v>
      </c>
      <c r="Q303" s="13">
        <f t="shared" si="517"/>
        <v>0.13531799729364005</v>
      </c>
      <c r="R303" s="9">
        <f t="shared" ref="R303:S303" si="547">O279</f>
        <v>0.35</v>
      </c>
      <c r="S303" s="9">
        <f t="shared" si="547"/>
        <v>0.6</v>
      </c>
      <c r="T303" s="22"/>
      <c r="U303" s="16"/>
      <c r="W303" s="23"/>
      <c r="Y303" s="3"/>
    </row>
    <row r="304" spans="1:25">
      <c r="A304" s="16"/>
      <c r="B304" s="10">
        <f t="shared" si="508"/>
        <v>3200</v>
      </c>
      <c r="C304" s="9">
        <f t="shared" si="508"/>
        <v>0.2</v>
      </c>
      <c r="D304" s="9">
        <f t="shared" si="537"/>
        <v>0.15</v>
      </c>
      <c r="E304" s="9">
        <f t="shared" si="537"/>
        <v>1.82</v>
      </c>
      <c r="F304" s="9">
        <f t="shared" si="537"/>
        <v>1.5</v>
      </c>
      <c r="G304" s="9">
        <f t="shared" si="537"/>
        <v>0.25</v>
      </c>
      <c r="H304" s="9">
        <f t="shared" si="537"/>
        <v>0.22</v>
      </c>
      <c r="I304" s="9">
        <f t="shared" si="537"/>
        <v>1.4999999999999999E-2</v>
      </c>
      <c r="J304" s="9" t="str">
        <f t="shared" ref="J304:K304" si="548">K280</f>
        <v>1/100</v>
      </c>
      <c r="K304" s="9" t="str">
        <f t="shared" si="548"/>
        <v>U60</v>
      </c>
      <c r="L304" s="9">
        <f t="shared" si="510"/>
        <v>0.11</v>
      </c>
      <c r="M304" s="9">
        <f t="shared" si="511"/>
        <v>0.1</v>
      </c>
      <c r="N304" s="9">
        <v>0.80100000000000005</v>
      </c>
      <c r="O304" s="9">
        <v>0.73899999999999999</v>
      </c>
      <c r="P304" s="13">
        <f t="shared" si="516"/>
        <v>0.13732833957553059</v>
      </c>
      <c r="Q304" s="13">
        <f t="shared" si="517"/>
        <v>0.13531799729364005</v>
      </c>
      <c r="R304" s="9">
        <f t="shared" ref="R304:S304" si="549">O280</f>
        <v>0.35</v>
      </c>
      <c r="S304" s="9">
        <f t="shared" si="549"/>
        <v>0.6</v>
      </c>
      <c r="T304" s="22"/>
      <c r="U304" s="16"/>
      <c r="W304" s="23"/>
      <c r="Y304" s="3"/>
    </row>
    <row r="305" spans="1:27">
      <c r="A305" s="16"/>
      <c r="B305" s="10">
        <f t="shared" si="508"/>
        <v>3400</v>
      </c>
      <c r="C305" s="9">
        <f t="shared" si="508"/>
        <v>0.2</v>
      </c>
      <c r="D305" s="9">
        <f t="shared" si="537"/>
        <v>0.15</v>
      </c>
      <c r="E305" s="9">
        <f t="shared" si="537"/>
        <v>1.82</v>
      </c>
      <c r="F305" s="9">
        <f t="shared" si="537"/>
        <v>1.5</v>
      </c>
      <c r="G305" s="9">
        <f t="shared" si="537"/>
        <v>0.25</v>
      </c>
      <c r="H305" s="9">
        <f t="shared" si="537"/>
        <v>0.22</v>
      </c>
      <c r="I305" s="9">
        <f t="shared" si="537"/>
        <v>1.4999999999999999E-2</v>
      </c>
      <c r="J305" s="9" t="str">
        <f t="shared" ref="J305:K305" si="550">K281</f>
        <v>1/100</v>
      </c>
      <c r="K305" s="9" t="str">
        <f t="shared" si="550"/>
        <v>U60</v>
      </c>
      <c r="L305" s="9">
        <f t="shared" si="510"/>
        <v>0.11</v>
      </c>
      <c r="M305" s="9">
        <f t="shared" si="511"/>
        <v>0.1</v>
      </c>
      <c r="N305" s="9">
        <v>0.80100000000000005</v>
      </c>
      <c r="O305" s="9">
        <v>0.73899999999999999</v>
      </c>
      <c r="P305" s="13">
        <f t="shared" si="516"/>
        <v>0.13732833957553059</v>
      </c>
      <c r="Q305" s="13">
        <f t="shared" si="517"/>
        <v>0.13531799729364005</v>
      </c>
      <c r="R305" s="9">
        <f t="shared" ref="R305:S305" si="551">O281</f>
        <v>0.35</v>
      </c>
      <c r="S305" s="9">
        <f t="shared" si="551"/>
        <v>0.6</v>
      </c>
      <c r="T305" s="22"/>
      <c r="U305" s="16"/>
      <c r="W305" s="23"/>
      <c r="Y305" s="3"/>
    </row>
    <row r="306" spans="1:27">
      <c r="A306" s="16"/>
      <c r="B306" s="10">
        <f t="shared" si="508"/>
        <v>3550</v>
      </c>
      <c r="C306" s="9">
        <f t="shared" si="508"/>
        <v>0.2</v>
      </c>
      <c r="D306" s="9">
        <f t="shared" si="537"/>
        <v>0.15</v>
      </c>
      <c r="E306" s="9">
        <f t="shared" si="537"/>
        <v>1.82</v>
      </c>
      <c r="F306" s="9">
        <f t="shared" si="537"/>
        <v>1.5</v>
      </c>
      <c r="G306" s="9">
        <f t="shared" si="537"/>
        <v>0.25</v>
      </c>
      <c r="H306" s="9">
        <f t="shared" si="537"/>
        <v>0.22</v>
      </c>
      <c r="I306" s="9">
        <f t="shared" si="537"/>
        <v>1.4999999999999999E-2</v>
      </c>
      <c r="J306" s="9" t="str">
        <f t="shared" ref="J306:K306" si="552">K282</f>
        <v>1/100</v>
      </c>
      <c r="K306" s="9" t="str">
        <f t="shared" si="552"/>
        <v>U60</v>
      </c>
      <c r="L306" s="9">
        <f t="shared" si="510"/>
        <v>0.11</v>
      </c>
      <c r="M306" s="9">
        <f t="shared" si="511"/>
        <v>0.1</v>
      </c>
      <c r="N306" s="9">
        <v>0.80100000000000005</v>
      </c>
      <c r="O306" s="9">
        <v>0.73899999999999999</v>
      </c>
      <c r="P306" s="13">
        <f t="shared" si="516"/>
        <v>0.13732833957553059</v>
      </c>
      <c r="Q306" s="13">
        <f t="shared" si="517"/>
        <v>0.13531799729364005</v>
      </c>
      <c r="R306" s="9">
        <f t="shared" ref="R306:S306" si="553">O282</f>
        <v>0.35</v>
      </c>
      <c r="S306" s="9">
        <f t="shared" si="553"/>
        <v>0.6</v>
      </c>
      <c r="T306" s="22"/>
      <c r="U306" s="16"/>
      <c r="W306" s="23"/>
      <c r="Y306" s="3"/>
    </row>
    <row r="307" spans="1:27">
      <c r="A307" s="16"/>
      <c r="B307" s="21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22"/>
      <c r="U307" s="16"/>
      <c r="W307" s="23"/>
      <c r="Y307" s="3"/>
    </row>
    <row r="309" spans="1:27">
      <c r="A309" s="15" t="s">
        <v>537</v>
      </c>
    </row>
    <row r="310" spans="1:27">
      <c r="A310" s="43" t="s">
        <v>359</v>
      </c>
      <c r="B310" s="43" t="s">
        <v>336</v>
      </c>
      <c r="C310" s="43" t="s">
        <v>337</v>
      </c>
      <c r="D310" s="43"/>
      <c r="E310" s="43" t="s">
        <v>338</v>
      </c>
      <c r="F310" s="43"/>
      <c r="G310" s="43" t="s">
        <v>339</v>
      </c>
      <c r="H310" s="43"/>
      <c r="I310" s="9" t="s">
        <v>340</v>
      </c>
      <c r="J310" s="9" t="s">
        <v>289</v>
      </c>
      <c r="K310" s="9"/>
      <c r="L310" s="9" t="s">
        <v>438</v>
      </c>
      <c r="M310" s="11"/>
      <c r="N310" s="11"/>
      <c r="O310" s="9" t="s">
        <v>343</v>
      </c>
      <c r="P310" s="9" t="s">
        <v>344</v>
      </c>
      <c r="Q310" s="43" t="s">
        <v>521</v>
      </c>
      <c r="R310" s="43" t="s">
        <v>522</v>
      </c>
      <c r="S310" s="43" t="s">
        <v>346</v>
      </c>
      <c r="T310" s="43" t="s">
        <v>347</v>
      </c>
      <c r="U310" s="43" t="s">
        <v>359</v>
      </c>
    </row>
    <row r="311" spans="1:27" ht="15.6">
      <c r="A311" s="43"/>
      <c r="B311" s="43"/>
      <c r="C311" s="9" t="s">
        <v>349</v>
      </c>
      <c r="D311" s="9" t="s">
        <v>348</v>
      </c>
      <c r="E311" s="9" t="s">
        <v>351</v>
      </c>
      <c r="F311" s="9" t="s">
        <v>352</v>
      </c>
      <c r="G311" s="9" t="s">
        <v>353</v>
      </c>
      <c r="H311" s="9" t="s">
        <v>354</v>
      </c>
      <c r="I311" s="9" t="s">
        <v>309</v>
      </c>
      <c r="J311" s="9" t="s">
        <v>308</v>
      </c>
      <c r="K311" s="9"/>
      <c r="L311" s="9" t="s">
        <v>306</v>
      </c>
      <c r="M311" s="11" t="s">
        <v>368</v>
      </c>
      <c r="N311" s="11" t="s">
        <v>366</v>
      </c>
      <c r="O311" s="9" t="s">
        <v>355</v>
      </c>
      <c r="P311" s="9" t="s">
        <v>310</v>
      </c>
      <c r="Q311" s="43"/>
      <c r="R311" s="43"/>
      <c r="S311" s="43"/>
      <c r="T311" s="43"/>
      <c r="U311" s="43"/>
    </row>
    <row r="312" spans="1:27" ht="16.2">
      <c r="A312" s="9"/>
      <c r="B312" s="9" t="s">
        <v>356</v>
      </c>
      <c r="C312" s="9" t="s">
        <v>358</v>
      </c>
      <c r="D312" s="9" t="s">
        <v>358</v>
      </c>
      <c r="E312" s="9" t="s">
        <v>357</v>
      </c>
      <c r="F312" s="9" t="s">
        <v>357</v>
      </c>
      <c r="G312" s="9" t="s">
        <v>307</v>
      </c>
      <c r="H312" s="9" t="s">
        <v>307</v>
      </c>
      <c r="I312" s="9"/>
      <c r="J312" s="9"/>
      <c r="K312" s="9"/>
      <c r="L312" s="9" t="s">
        <v>307</v>
      </c>
      <c r="M312" s="9"/>
      <c r="N312" s="9"/>
      <c r="O312" s="9" t="s">
        <v>307</v>
      </c>
      <c r="P312" s="9" t="s">
        <v>307</v>
      </c>
      <c r="Q312" s="9" t="s">
        <v>307</v>
      </c>
      <c r="R312" s="9" t="s">
        <v>307</v>
      </c>
      <c r="S312" s="9" t="s">
        <v>307</v>
      </c>
      <c r="T312" s="9" t="s">
        <v>307</v>
      </c>
      <c r="U312" s="9"/>
      <c r="W312" t="s">
        <v>336</v>
      </c>
      <c r="X312" t="s">
        <v>773</v>
      </c>
      <c r="Y312" t="s">
        <v>774</v>
      </c>
      <c r="Z312" t="s">
        <v>776</v>
      </c>
      <c r="AA312" t="s">
        <v>775</v>
      </c>
    </row>
    <row r="313" spans="1:27">
      <c r="A313" s="9"/>
      <c r="B313" s="10">
        <f t="shared" ref="B313:B330" si="554">P2</f>
        <v>0</v>
      </c>
      <c r="C313" s="9">
        <f>ROUND(D313*1.3,2)</f>
        <v>0.2</v>
      </c>
      <c r="D313" s="9">
        <f>支渠!M13</f>
        <v>0.15</v>
      </c>
      <c r="E313" s="9">
        <f>ROUND(C313/N313,2)</f>
        <v>1.82</v>
      </c>
      <c r="F313" s="9">
        <f>ROUND(D313/M313,2)</f>
        <v>1.5</v>
      </c>
      <c r="G313" s="9">
        <v>0.25</v>
      </c>
      <c r="H313" s="9">
        <v>0.22</v>
      </c>
      <c r="I313" s="9">
        <v>1.4999999999999999E-2</v>
      </c>
      <c r="J313" s="9">
        <v>0.01</v>
      </c>
      <c r="K313" s="9" t="str">
        <f>"1/"&amp;ROUND(1/J313,0)</f>
        <v>1/100</v>
      </c>
      <c r="L313" s="9" t="s">
        <v>531</v>
      </c>
      <c r="M313" s="9">
        <v>0.1</v>
      </c>
      <c r="N313" s="9">
        <v>0.11</v>
      </c>
      <c r="O313" s="9">
        <f t="shared" ref="O313:O330" si="555">P313-G313</f>
        <v>0.35</v>
      </c>
      <c r="P313" s="9">
        <v>0.6</v>
      </c>
      <c r="Q313" s="9">
        <f>R313+0.3</f>
        <v>1713.8899999999999</v>
      </c>
      <c r="R313" s="9">
        <f t="shared" ref="R313:R330" si="556">Q2</f>
        <v>1713.59</v>
      </c>
      <c r="S313" s="9">
        <f>R313-0.1</f>
        <v>1713.49</v>
      </c>
      <c r="T313" s="14">
        <f t="shared" ref="T313:T330" si="557">S313+H313</f>
        <v>1713.71</v>
      </c>
      <c r="U313" s="9"/>
      <c r="W313" s="23">
        <f>B313</f>
        <v>0</v>
      </c>
      <c r="X313">
        <f t="shared" ref="X313:X330" si="558">Z313+P313</f>
        <v>1714.09</v>
      </c>
      <c r="Y313" s="3">
        <f>T313</f>
        <v>1713.71</v>
      </c>
      <c r="Z313">
        <f>S313</f>
        <v>1713.49</v>
      </c>
      <c r="AA313">
        <f>Q313</f>
        <v>1713.8899999999999</v>
      </c>
    </row>
    <row r="314" spans="1:27">
      <c r="A314" s="12"/>
      <c r="B314" s="10">
        <f t="shared" si="554"/>
        <v>200</v>
      </c>
      <c r="C314" s="9">
        <f t="shared" ref="C314:C330" si="559">ROUND(D314*1.3,2)</f>
        <v>0.2</v>
      </c>
      <c r="D314" s="9">
        <f>D313</f>
        <v>0.15</v>
      </c>
      <c r="E314" s="9">
        <f>ROUND(C314/N314,2)</f>
        <v>1.82</v>
      </c>
      <c r="F314" s="9">
        <f>ROUND(D314/M314,2)</f>
        <v>1.5</v>
      </c>
      <c r="G314" s="9">
        <f>G313</f>
        <v>0.25</v>
      </c>
      <c r="H314" s="9">
        <f>H313</f>
        <v>0.22</v>
      </c>
      <c r="I314" s="9">
        <v>1.4999999999999999E-2</v>
      </c>
      <c r="J314" s="9">
        <v>0.01</v>
      </c>
      <c r="K314" s="9" t="str">
        <f>"1/"&amp;ROUND(1/J314,0)</f>
        <v>1/100</v>
      </c>
      <c r="L314" s="9" t="str">
        <f t="shared" ref="L314:N315" si="560">L313</f>
        <v>U60</v>
      </c>
      <c r="M314" s="9">
        <f t="shared" si="560"/>
        <v>0.1</v>
      </c>
      <c r="N314" s="9">
        <f t="shared" si="560"/>
        <v>0.11</v>
      </c>
      <c r="O314" s="9">
        <f t="shared" si="555"/>
        <v>0.35</v>
      </c>
      <c r="P314" s="9">
        <f>P313</f>
        <v>0.6</v>
      </c>
      <c r="Q314" s="9">
        <f>R314+0.3</f>
        <v>1710.8</v>
      </c>
      <c r="R314" s="9">
        <f t="shared" si="556"/>
        <v>1710.5</v>
      </c>
      <c r="S314" s="9">
        <f>R314-0.1</f>
        <v>1710.4</v>
      </c>
      <c r="T314" s="14">
        <f t="shared" si="557"/>
        <v>1710.6200000000001</v>
      </c>
      <c r="U314" s="9"/>
      <c r="W314" s="23">
        <f t="shared" ref="W314:W330" si="561">B314</f>
        <v>200</v>
      </c>
      <c r="X314">
        <f t="shared" si="558"/>
        <v>1711</v>
      </c>
      <c r="Y314" s="3">
        <f t="shared" ref="Y314:Y330" si="562">T314</f>
        <v>1710.6200000000001</v>
      </c>
      <c r="Z314">
        <f t="shared" ref="Z314:Z330" si="563">S314</f>
        <v>1710.4</v>
      </c>
      <c r="AA314">
        <f t="shared" ref="AA314:AA330" si="564">Q314</f>
        <v>1710.8</v>
      </c>
    </row>
    <row r="315" spans="1:27">
      <c r="A315" s="9"/>
      <c r="B315" s="10">
        <f t="shared" si="554"/>
        <v>400</v>
      </c>
      <c r="C315" s="9">
        <f t="shared" si="559"/>
        <v>0.2</v>
      </c>
      <c r="D315" s="9">
        <f t="shared" ref="D315:D330" si="565">D314</f>
        <v>0.15</v>
      </c>
      <c r="E315" s="9">
        <f t="shared" ref="E315:E330" si="566">ROUND(C315/N315,2)</f>
        <v>1.82</v>
      </c>
      <c r="F315" s="9">
        <f t="shared" ref="F315:F330" si="567">ROUND(D315/M315,2)</f>
        <v>1.5</v>
      </c>
      <c r="G315" s="9">
        <f>G314</f>
        <v>0.25</v>
      </c>
      <c r="H315" s="9">
        <f>H314</f>
        <v>0.22</v>
      </c>
      <c r="I315" s="9">
        <v>1.4999999999999999E-2</v>
      </c>
      <c r="J315" s="9">
        <f>J314</f>
        <v>0.01</v>
      </c>
      <c r="K315" s="9" t="str">
        <f t="shared" ref="K315:K330" si="568">"1/"&amp;ROUND(1/J315,0)</f>
        <v>1/100</v>
      </c>
      <c r="L315" s="9" t="str">
        <f t="shared" si="560"/>
        <v>U60</v>
      </c>
      <c r="M315" s="9">
        <f t="shared" si="560"/>
        <v>0.1</v>
      </c>
      <c r="N315" s="9">
        <f t="shared" si="560"/>
        <v>0.11</v>
      </c>
      <c r="O315" s="9">
        <f t="shared" si="555"/>
        <v>0.35</v>
      </c>
      <c r="P315" s="9">
        <f>P314</f>
        <v>0.6</v>
      </c>
      <c r="Q315" s="9">
        <f t="shared" ref="Q315:Q330" si="569">R315+0.3</f>
        <v>1708.3999999999999</v>
      </c>
      <c r="R315" s="9">
        <f t="shared" si="556"/>
        <v>1708.1</v>
      </c>
      <c r="S315" s="9">
        <f t="shared" ref="S315:S330" si="570">R315-0.1</f>
        <v>1708</v>
      </c>
      <c r="T315" s="14">
        <f t="shared" si="557"/>
        <v>1708.22</v>
      </c>
      <c r="U315" s="9"/>
      <c r="W315" s="23">
        <f t="shared" si="561"/>
        <v>400</v>
      </c>
      <c r="X315">
        <f t="shared" si="558"/>
        <v>1708.6</v>
      </c>
      <c r="Y315" s="3">
        <f t="shared" si="562"/>
        <v>1708.22</v>
      </c>
      <c r="Z315">
        <f t="shared" si="563"/>
        <v>1708</v>
      </c>
      <c r="AA315">
        <f t="shared" si="564"/>
        <v>1708.3999999999999</v>
      </c>
    </row>
    <row r="316" spans="1:27">
      <c r="A316" s="9"/>
      <c r="B316" s="10">
        <f t="shared" si="554"/>
        <v>600</v>
      </c>
      <c r="C316" s="9">
        <f t="shared" si="559"/>
        <v>0.2</v>
      </c>
      <c r="D316" s="9">
        <f t="shared" si="565"/>
        <v>0.15</v>
      </c>
      <c r="E316" s="9">
        <f t="shared" si="566"/>
        <v>1.82</v>
      </c>
      <c r="F316" s="9">
        <f t="shared" si="567"/>
        <v>1.5</v>
      </c>
      <c r="G316" s="9">
        <f t="shared" ref="G316:H316" si="571">G315</f>
        <v>0.25</v>
      </c>
      <c r="H316" s="9">
        <f t="shared" si="571"/>
        <v>0.22</v>
      </c>
      <c r="I316" s="9">
        <v>1.4999999999999999E-2</v>
      </c>
      <c r="J316" s="9">
        <f t="shared" ref="J316:J330" si="572">J315</f>
        <v>0.01</v>
      </c>
      <c r="K316" s="9" t="str">
        <f t="shared" si="568"/>
        <v>1/100</v>
      </c>
      <c r="L316" s="9" t="str">
        <f t="shared" ref="L316:N316" si="573">L315</f>
        <v>U60</v>
      </c>
      <c r="M316" s="9">
        <f t="shared" si="573"/>
        <v>0.1</v>
      </c>
      <c r="N316" s="9">
        <f t="shared" si="573"/>
        <v>0.11</v>
      </c>
      <c r="O316" s="9">
        <f t="shared" si="555"/>
        <v>0.35</v>
      </c>
      <c r="P316" s="9">
        <f t="shared" ref="P316:P330" si="574">P315</f>
        <v>0.6</v>
      </c>
      <c r="Q316" s="9">
        <f t="shared" si="569"/>
        <v>1704.8</v>
      </c>
      <c r="R316" s="9">
        <f t="shared" si="556"/>
        <v>1704.5</v>
      </c>
      <c r="S316" s="9">
        <f t="shared" si="570"/>
        <v>1704.4</v>
      </c>
      <c r="T316" s="14">
        <f t="shared" si="557"/>
        <v>1704.6200000000001</v>
      </c>
      <c r="U316" s="9"/>
      <c r="W316" s="23">
        <f t="shared" si="561"/>
        <v>600</v>
      </c>
      <c r="X316">
        <f t="shared" si="558"/>
        <v>1705</v>
      </c>
      <c r="Y316" s="3">
        <f t="shared" si="562"/>
        <v>1704.6200000000001</v>
      </c>
      <c r="Z316">
        <f t="shared" si="563"/>
        <v>1704.4</v>
      </c>
      <c r="AA316">
        <f t="shared" si="564"/>
        <v>1704.8</v>
      </c>
    </row>
    <row r="317" spans="1:27">
      <c r="A317" s="9"/>
      <c r="B317" s="10">
        <f t="shared" si="554"/>
        <v>800</v>
      </c>
      <c r="C317" s="9">
        <f t="shared" si="559"/>
        <v>0.2</v>
      </c>
      <c r="D317" s="9">
        <f t="shared" si="565"/>
        <v>0.15</v>
      </c>
      <c r="E317" s="9">
        <f t="shared" si="566"/>
        <v>1.82</v>
      </c>
      <c r="F317" s="9">
        <f t="shared" si="567"/>
        <v>1.5</v>
      </c>
      <c r="G317" s="9">
        <f t="shared" ref="G317:H317" si="575">G316</f>
        <v>0.25</v>
      </c>
      <c r="H317" s="9">
        <f t="shared" si="575"/>
        <v>0.22</v>
      </c>
      <c r="I317" s="9">
        <v>1.4999999999999999E-2</v>
      </c>
      <c r="J317" s="9">
        <f t="shared" si="572"/>
        <v>0.01</v>
      </c>
      <c r="K317" s="9" t="str">
        <f t="shared" si="568"/>
        <v>1/100</v>
      </c>
      <c r="L317" s="9" t="str">
        <f t="shared" ref="L317:N317" si="576">L316</f>
        <v>U60</v>
      </c>
      <c r="M317" s="9">
        <f t="shared" si="576"/>
        <v>0.1</v>
      </c>
      <c r="N317" s="9">
        <f t="shared" si="576"/>
        <v>0.11</v>
      </c>
      <c r="O317" s="9">
        <f t="shared" si="555"/>
        <v>0.35</v>
      </c>
      <c r="P317" s="9">
        <f t="shared" si="574"/>
        <v>0.6</v>
      </c>
      <c r="Q317" s="9">
        <f t="shared" si="569"/>
        <v>1702.04</v>
      </c>
      <c r="R317" s="9">
        <f t="shared" si="556"/>
        <v>1701.74</v>
      </c>
      <c r="S317" s="9">
        <f t="shared" si="570"/>
        <v>1701.64</v>
      </c>
      <c r="T317" s="14">
        <f t="shared" si="557"/>
        <v>1701.8600000000001</v>
      </c>
      <c r="U317" s="9"/>
      <c r="W317" s="23">
        <f t="shared" si="561"/>
        <v>800</v>
      </c>
      <c r="X317">
        <f t="shared" si="558"/>
        <v>1702.24</v>
      </c>
      <c r="Y317" s="3">
        <f t="shared" si="562"/>
        <v>1701.8600000000001</v>
      </c>
      <c r="Z317">
        <f t="shared" si="563"/>
        <v>1701.64</v>
      </c>
      <c r="AA317">
        <f t="shared" si="564"/>
        <v>1702.04</v>
      </c>
    </row>
    <row r="318" spans="1:27">
      <c r="A318" s="9"/>
      <c r="B318" s="10">
        <f t="shared" si="554"/>
        <v>1000</v>
      </c>
      <c r="C318" s="9">
        <f t="shared" si="559"/>
        <v>0.2</v>
      </c>
      <c r="D318" s="9">
        <f t="shared" si="565"/>
        <v>0.15</v>
      </c>
      <c r="E318" s="9">
        <f t="shared" si="566"/>
        <v>1.82</v>
      </c>
      <c r="F318" s="9">
        <f t="shared" si="567"/>
        <v>1.5</v>
      </c>
      <c r="G318" s="9">
        <f t="shared" ref="G318:H318" si="577">G317</f>
        <v>0.25</v>
      </c>
      <c r="H318" s="9">
        <f t="shared" si="577"/>
        <v>0.22</v>
      </c>
      <c r="I318" s="9">
        <v>1.4999999999999999E-2</v>
      </c>
      <c r="J318" s="9">
        <f t="shared" si="572"/>
        <v>0.01</v>
      </c>
      <c r="K318" s="9" t="str">
        <f t="shared" si="568"/>
        <v>1/100</v>
      </c>
      <c r="L318" s="9" t="str">
        <f t="shared" ref="L318:N318" si="578">L317</f>
        <v>U60</v>
      </c>
      <c r="M318" s="9">
        <f t="shared" si="578"/>
        <v>0.1</v>
      </c>
      <c r="N318" s="9">
        <f t="shared" si="578"/>
        <v>0.11</v>
      </c>
      <c r="O318" s="9">
        <f t="shared" si="555"/>
        <v>0.35</v>
      </c>
      <c r="P318" s="9">
        <f t="shared" si="574"/>
        <v>0.6</v>
      </c>
      <c r="Q318" s="9">
        <f t="shared" si="569"/>
        <v>1699.3</v>
      </c>
      <c r="R318" s="9">
        <f t="shared" si="556"/>
        <v>1699</v>
      </c>
      <c r="S318" s="9">
        <f t="shared" si="570"/>
        <v>1698.9</v>
      </c>
      <c r="T318" s="14">
        <f t="shared" si="557"/>
        <v>1699.1200000000001</v>
      </c>
      <c r="U318" s="9"/>
      <c r="W318" s="23">
        <f t="shared" si="561"/>
        <v>1000</v>
      </c>
      <c r="X318">
        <f t="shared" si="558"/>
        <v>1699.5</v>
      </c>
      <c r="Y318" s="3">
        <f t="shared" si="562"/>
        <v>1699.1200000000001</v>
      </c>
      <c r="Z318">
        <f t="shared" si="563"/>
        <v>1698.9</v>
      </c>
      <c r="AA318">
        <f t="shared" si="564"/>
        <v>1699.3</v>
      </c>
    </row>
    <row r="319" spans="1:27">
      <c r="A319" s="9"/>
      <c r="B319" s="10">
        <f t="shared" si="554"/>
        <v>1200</v>
      </c>
      <c r="C319" s="9">
        <f t="shared" si="559"/>
        <v>0.2</v>
      </c>
      <c r="D319" s="9">
        <f t="shared" si="565"/>
        <v>0.15</v>
      </c>
      <c r="E319" s="9">
        <f t="shared" si="566"/>
        <v>1.82</v>
      </c>
      <c r="F319" s="9">
        <f t="shared" si="567"/>
        <v>1.5</v>
      </c>
      <c r="G319" s="9">
        <f t="shared" ref="G319:H319" si="579">G318</f>
        <v>0.25</v>
      </c>
      <c r="H319" s="9">
        <f t="shared" si="579"/>
        <v>0.22</v>
      </c>
      <c r="I319" s="9">
        <v>1.4999999999999999E-2</v>
      </c>
      <c r="J319" s="9">
        <f t="shared" si="572"/>
        <v>0.01</v>
      </c>
      <c r="K319" s="9" t="str">
        <f t="shared" si="568"/>
        <v>1/100</v>
      </c>
      <c r="L319" s="9" t="str">
        <f t="shared" ref="L319:N319" si="580">L318</f>
        <v>U60</v>
      </c>
      <c r="M319" s="9">
        <f t="shared" si="580"/>
        <v>0.1</v>
      </c>
      <c r="N319" s="9">
        <f t="shared" si="580"/>
        <v>0.11</v>
      </c>
      <c r="O319" s="9">
        <f t="shared" si="555"/>
        <v>0.35</v>
      </c>
      <c r="P319" s="9">
        <f t="shared" si="574"/>
        <v>0.6</v>
      </c>
      <c r="Q319" s="9">
        <f t="shared" si="569"/>
        <v>1696.75</v>
      </c>
      <c r="R319" s="9">
        <f t="shared" si="556"/>
        <v>1696.45</v>
      </c>
      <c r="S319" s="9">
        <f t="shared" si="570"/>
        <v>1696.3500000000001</v>
      </c>
      <c r="T319" s="14">
        <f t="shared" si="557"/>
        <v>1696.5700000000002</v>
      </c>
      <c r="U319" s="9"/>
      <c r="W319" s="23">
        <f t="shared" si="561"/>
        <v>1200</v>
      </c>
      <c r="X319">
        <f t="shared" si="558"/>
        <v>1696.95</v>
      </c>
      <c r="Y319" s="3">
        <f t="shared" si="562"/>
        <v>1696.5700000000002</v>
      </c>
      <c r="Z319">
        <f t="shared" si="563"/>
        <v>1696.3500000000001</v>
      </c>
      <c r="AA319">
        <f t="shared" si="564"/>
        <v>1696.75</v>
      </c>
    </row>
    <row r="320" spans="1:27">
      <c r="A320" s="9"/>
      <c r="B320" s="10">
        <f t="shared" si="554"/>
        <v>1400</v>
      </c>
      <c r="C320" s="9">
        <f t="shared" si="559"/>
        <v>0.2</v>
      </c>
      <c r="D320" s="9">
        <f t="shared" si="565"/>
        <v>0.15</v>
      </c>
      <c r="E320" s="9">
        <f t="shared" si="566"/>
        <v>1.82</v>
      </c>
      <c r="F320" s="9">
        <f t="shared" si="567"/>
        <v>1.5</v>
      </c>
      <c r="G320" s="9">
        <f t="shared" ref="G320:H320" si="581">G319</f>
        <v>0.25</v>
      </c>
      <c r="H320" s="9">
        <f t="shared" si="581"/>
        <v>0.22</v>
      </c>
      <c r="I320" s="9">
        <v>1.4999999999999999E-2</v>
      </c>
      <c r="J320" s="9">
        <f t="shared" si="572"/>
        <v>0.01</v>
      </c>
      <c r="K320" s="9" t="str">
        <f t="shared" si="568"/>
        <v>1/100</v>
      </c>
      <c r="L320" s="9" t="str">
        <f t="shared" ref="L320:N320" si="582">L319</f>
        <v>U60</v>
      </c>
      <c r="M320" s="9">
        <f t="shared" si="582"/>
        <v>0.1</v>
      </c>
      <c r="N320" s="9">
        <f t="shared" si="582"/>
        <v>0.11</v>
      </c>
      <c r="O320" s="9">
        <f t="shared" si="555"/>
        <v>0.35</v>
      </c>
      <c r="P320" s="9">
        <f t="shared" si="574"/>
        <v>0.6</v>
      </c>
      <c r="Q320" s="9">
        <f t="shared" si="569"/>
        <v>1694.2</v>
      </c>
      <c r="R320" s="9">
        <f t="shared" si="556"/>
        <v>1693.9</v>
      </c>
      <c r="S320" s="9">
        <f t="shared" si="570"/>
        <v>1693.8000000000002</v>
      </c>
      <c r="T320" s="14">
        <f t="shared" si="557"/>
        <v>1694.0200000000002</v>
      </c>
      <c r="U320" s="9"/>
      <c r="W320" s="23">
        <f t="shared" si="561"/>
        <v>1400</v>
      </c>
      <c r="X320">
        <f t="shared" si="558"/>
        <v>1694.4</v>
      </c>
      <c r="Y320" s="3">
        <f t="shared" si="562"/>
        <v>1694.0200000000002</v>
      </c>
      <c r="Z320">
        <f t="shared" si="563"/>
        <v>1693.8000000000002</v>
      </c>
      <c r="AA320">
        <f t="shared" si="564"/>
        <v>1694.2</v>
      </c>
    </row>
    <row r="321" spans="1:27">
      <c r="A321" s="9"/>
      <c r="B321" s="10">
        <f t="shared" si="554"/>
        <v>1600</v>
      </c>
      <c r="C321" s="9">
        <f t="shared" si="559"/>
        <v>0.2</v>
      </c>
      <c r="D321" s="9">
        <f t="shared" si="565"/>
        <v>0.15</v>
      </c>
      <c r="E321" s="9">
        <f t="shared" si="566"/>
        <v>1.82</v>
      </c>
      <c r="F321" s="9">
        <f t="shared" si="567"/>
        <v>1.5</v>
      </c>
      <c r="G321" s="9">
        <f t="shared" ref="G321:H321" si="583">G320</f>
        <v>0.25</v>
      </c>
      <c r="H321" s="9">
        <f t="shared" si="583"/>
        <v>0.22</v>
      </c>
      <c r="I321" s="9">
        <v>1.4999999999999999E-2</v>
      </c>
      <c r="J321" s="9">
        <f t="shared" si="572"/>
        <v>0.01</v>
      </c>
      <c r="K321" s="9" t="str">
        <f t="shared" si="568"/>
        <v>1/100</v>
      </c>
      <c r="L321" s="9" t="str">
        <f t="shared" ref="L321:N321" si="584">L320</f>
        <v>U60</v>
      </c>
      <c r="M321" s="9">
        <f t="shared" si="584"/>
        <v>0.1</v>
      </c>
      <c r="N321" s="9">
        <f t="shared" si="584"/>
        <v>0.11</v>
      </c>
      <c r="O321" s="9">
        <f t="shared" si="555"/>
        <v>0.35</v>
      </c>
      <c r="P321" s="9">
        <f t="shared" si="574"/>
        <v>0.6</v>
      </c>
      <c r="Q321" s="9">
        <f t="shared" si="569"/>
        <v>1692.07</v>
      </c>
      <c r="R321" s="9">
        <f t="shared" si="556"/>
        <v>1691.77</v>
      </c>
      <c r="S321" s="9">
        <f t="shared" si="570"/>
        <v>1691.67</v>
      </c>
      <c r="T321" s="14">
        <f t="shared" si="557"/>
        <v>1691.89</v>
      </c>
      <c r="U321" s="9"/>
      <c r="W321" s="23">
        <f t="shared" si="561"/>
        <v>1600</v>
      </c>
      <c r="X321">
        <f t="shared" si="558"/>
        <v>1692.27</v>
      </c>
      <c r="Y321" s="3">
        <f t="shared" si="562"/>
        <v>1691.89</v>
      </c>
      <c r="Z321">
        <f t="shared" si="563"/>
        <v>1691.67</v>
      </c>
      <c r="AA321">
        <f t="shared" si="564"/>
        <v>1692.07</v>
      </c>
    </row>
    <row r="322" spans="1:27">
      <c r="A322" s="9"/>
      <c r="B322" s="10">
        <f t="shared" si="554"/>
        <v>1800</v>
      </c>
      <c r="C322" s="9">
        <f t="shared" si="559"/>
        <v>0.2</v>
      </c>
      <c r="D322" s="9">
        <f t="shared" si="565"/>
        <v>0.15</v>
      </c>
      <c r="E322" s="9">
        <f t="shared" si="566"/>
        <v>1.82</v>
      </c>
      <c r="F322" s="9">
        <f t="shared" si="567"/>
        <v>1.5</v>
      </c>
      <c r="G322" s="9">
        <f t="shared" ref="G322:H322" si="585">G321</f>
        <v>0.25</v>
      </c>
      <c r="H322" s="9">
        <f t="shared" si="585"/>
        <v>0.22</v>
      </c>
      <c r="I322" s="9">
        <v>1.4999999999999999E-2</v>
      </c>
      <c r="J322" s="9">
        <f t="shared" si="572"/>
        <v>0.01</v>
      </c>
      <c r="K322" s="9" t="str">
        <f t="shared" si="568"/>
        <v>1/100</v>
      </c>
      <c r="L322" s="9" t="str">
        <f t="shared" ref="L322:N322" si="586">L321</f>
        <v>U60</v>
      </c>
      <c r="M322" s="9">
        <f t="shared" si="586"/>
        <v>0.1</v>
      </c>
      <c r="N322" s="9">
        <f t="shared" si="586"/>
        <v>0.11</v>
      </c>
      <c r="O322" s="9">
        <f t="shared" si="555"/>
        <v>0.35</v>
      </c>
      <c r="P322" s="9">
        <f t="shared" si="574"/>
        <v>0.6</v>
      </c>
      <c r="Q322" s="9">
        <f t="shared" si="569"/>
        <v>1688.5</v>
      </c>
      <c r="R322" s="9">
        <f t="shared" si="556"/>
        <v>1688.2</v>
      </c>
      <c r="S322" s="9">
        <f t="shared" si="570"/>
        <v>1688.1000000000001</v>
      </c>
      <c r="T322" s="14">
        <f t="shared" si="557"/>
        <v>1688.3200000000002</v>
      </c>
      <c r="U322" s="9"/>
      <c r="W322" s="23">
        <f t="shared" si="561"/>
        <v>1800</v>
      </c>
      <c r="X322">
        <f t="shared" si="558"/>
        <v>1688.7</v>
      </c>
      <c r="Y322" s="3">
        <f t="shared" si="562"/>
        <v>1688.3200000000002</v>
      </c>
      <c r="Z322">
        <f t="shared" si="563"/>
        <v>1688.1000000000001</v>
      </c>
      <c r="AA322">
        <f t="shared" si="564"/>
        <v>1688.5</v>
      </c>
    </row>
    <row r="323" spans="1:27">
      <c r="A323" s="12"/>
      <c r="B323" s="10">
        <f t="shared" si="554"/>
        <v>2000</v>
      </c>
      <c r="C323" s="9">
        <f t="shared" si="559"/>
        <v>0.2</v>
      </c>
      <c r="D323" s="9">
        <f t="shared" si="565"/>
        <v>0.15</v>
      </c>
      <c r="E323" s="9">
        <f t="shared" si="566"/>
        <v>1.82</v>
      </c>
      <c r="F323" s="9">
        <f t="shared" si="567"/>
        <v>1.5</v>
      </c>
      <c r="G323" s="9">
        <f t="shared" ref="G323:H323" si="587">G322</f>
        <v>0.25</v>
      </c>
      <c r="H323" s="9">
        <f t="shared" si="587"/>
        <v>0.22</v>
      </c>
      <c r="I323" s="9">
        <v>1.4999999999999999E-2</v>
      </c>
      <c r="J323" s="9">
        <f t="shared" si="572"/>
        <v>0.01</v>
      </c>
      <c r="K323" s="9" t="str">
        <f t="shared" si="568"/>
        <v>1/100</v>
      </c>
      <c r="L323" s="9" t="str">
        <f t="shared" ref="L323:N323" si="588">L322</f>
        <v>U60</v>
      </c>
      <c r="M323" s="9">
        <f t="shared" si="588"/>
        <v>0.1</v>
      </c>
      <c r="N323" s="9">
        <f t="shared" si="588"/>
        <v>0.11</v>
      </c>
      <c r="O323" s="9">
        <f t="shared" si="555"/>
        <v>0.35</v>
      </c>
      <c r="P323" s="9">
        <f t="shared" si="574"/>
        <v>0.6</v>
      </c>
      <c r="Q323" s="9">
        <f t="shared" si="569"/>
        <v>1685.8</v>
      </c>
      <c r="R323" s="9">
        <f t="shared" si="556"/>
        <v>1685.5</v>
      </c>
      <c r="S323" s="9">
        <f t="shared" si="570"/>
        <v>1685.4</v>
      </c>
      <c r="T323" s="14">
        <f t="shared" si="557"/>
        <v>1685.6200000000001</v>
      </c>
      <c r="U323" s="9"/>
      <c r="W323" s="23">
        <f t="shared" si="561"/>
        <v>2000</v>
      </c>
      <c r="X323">
        <f t="shared" si="558"/>
        <v>1686</v>
      </c>
      <c r="Y323" s="3">
        <f t="shared" si="562"/>
        <v>1685.6200000000001</v>
      </c>
      <c r="Z323">
        <f t="shared" si="563"/>
        <v>1685.4</v>
      </c>
      <c r="AA323">
        <f t="shared" si="564"/>
        <v>1685.8</v>
      </c>
    </row>
    <row r="324" spans="1:27">
      <c r="A324" s="9"/>
      <c r="B324" s="10">
        <f t="shared" si="554"/>
        <v>2200</v>
      </c>
      <c r="C324" s="9">
        <f t="shared" si="559"/>
        <v>0.2</v>
      </c>
      <c r="D324" s="9">
        <f t="shared" si="565"/>
        <v>0.15</v>
      </c>
      <c r="E324" s="9">
        <f t="shared" si="566"/>
        <v>1.82</v>
      </c>
      <c r="F324" s="9">
        <f t="shared" si="567"/>
        <v>1.5</v>
      </c>
      <c r="G324" s="9">
        <f t="shared" ref="G324:H324" si="589">G323</f>
        <v>0.25</v>
      </c>
      <c r="H324" s="9">
        <f t="shared" si="589"/>
        <v>0.22</v>
      </c>
      <c r="I324" s="9">
        <v>1.4999999999999999E-2</v>
      </c>
      <c r="J324" s="9">
        <f t="shared" si="572"/>
        <v>0.01</v>
      </c>
      <c r="K324" s="9" t="str">
        <f t="shared" si="568"/>
        <v>1/100</v>
      </c>
      <c r="L324" s="9" t="str">
        <f t="shared" ref="L324:N324" si="590">L323</f>
        <v>U60</v>
      </c>
      <c r="M324" s="9">
        <f t="shared" si="590"/>
        <v>0.1</v>
      </c>
      <c r="N324" s="9">
        <f t="shared" si="590"/>
        <v>0.11</v>
      </c>
      <c r="O324" s="9">
        <f t="shared" si="555"/>
        <v>0.35</v>
      </c>
      <c r="P324" s="9">
        <f t="shared" si="574"/>
        <v>0.6</v>
      </c>
      <c r="Q324" s="9">
        <f t="shared" si="569"/>
        <v>1682.8999999999999</v>
      </c>
      <c r="R324" s="9">
        <f t="shared" si="556"/>
        <v>1682.6</v>
      </c>
      <c r="S324" s="9">
        <f t="shared" si="570"/>
        <v>1682.5</v>
      </c>
      <c r="T324" s="14">
        <f t="shared" si="557"/>
        <v>1682.72</v>
      </c>
      <c r="U324" s="9"/>
      <c r="W324" s="23">
        <f t="shared" si="561"/>
        <v>2200</v>
      </c>
      <c r="X324">
        <f t="shared" si="558"/>
        <v>1683.1</v>
      </c>
      <c r="Y324" s="3">
        <f t="shared" si="562"/>
        <v>1682.72</v>
      </c>
      <c r="Z324">
        <f t="shared" si="563"/>
        <v>1682.5</v>
      </c>
      <c r="AA324">
        <f t="shared" si="564"/>
        <v>1682.8999999999999</v>
      </c>
    </row>
    <row r="325" spans="1:27">
      <c r="A325" s="9"/>
      <c r="B325" s="10">
        <f t="shared" si="554"/>
        <v>2400</v>
      </c>
      <c r="C325" s="9">
        <f t="shared" si="559"/>
        <v>0.2</v>
      </c>
      <c r="D325" s="9">
        <f t="shared" si="565"/>
        <v>0.15</v>
      </c>
      <c r="E325" s="9">
        <f t="shared" si="566"/>
        <v>1.82</v>
      </c>
      <c r="F325" s="9">
        <f t="shared" si="567"/>
        <v>1.5</v>
      </c>
      <c r="G325" s="9">
        <f t="shared" ref="G325:H325" si="591">G324</f>
        <v>0.25</v>
      </c>
      <c r="H325" s="9">
        <f t="shared" si="591"/>
        <v>0.22</v>
      </c>
      <c r="I325" s="9">
        <v>1.4999999999999999E-2</v>
      </c>
      <c r="J325" s="9">
        <f t="shared" si="572"/>
        <v>0.01</v>
      </c>
      <c r="K325" s="9" t="str">
        <f t="shared" si="568"/>
        <v>1/100</v>
      </c>
      <c r="L325" s="9" t="str">
        <f t="shared" ref="L325:N325" si="592">L324</f>
        <v>U60</v>
      </c>
      <c r="M325" s="9">
        <f t="shared" si="592"/>
        <v>0.1</v>
      </c>
      <c r="N325" s="9">
        <f t="shared" si="592"/>
        <v>0.11</v>
      </c>
      <c r="O325" s="9">
        <f t="shared" si="555"/>
        <v>0.35</v>
      </c>
      <c r="P325" s="9">
        <f t="shared" si="574"/>
        <v>0.6</v>
      </c>
      <c r="Q325" s="9">
        <f t="shared" si="569"/>
        <v>1679.8999999999999</v>
      </c>
      <c r="R325" s="9">
        <f t="shared" si="556"/>
        <v>1679.6</v>
      </c>
      <c r="S325" s="9">
        <f t="shared" si="570"/>
        <v>1679.5</v>
      </c>
      <c r="T325" s="14">
        <f t="shared" si="557"/>
        <v>1679.72</v>
      </c>
      <c r="U325" s="9"/>
      <c r="W325" s="23">
        <f t="shared" si="561"/>
        <v>2400</v>
      </c>
      <c r="X325">
        <f t="shared" si="558"/>
        <v>1680.1</v>
      </c>
      <c r="Y325" s="3">
        <f t="shared" si="562"/>
        <v>1679.72</v>
      </c>
      <c r="Z325">
        <f t="shared" si="563"/>
        <v>1679.5</v>
      </c>
      <c r="AA325">
        <f t="shared" si="564"/>
        <v>1679.8999999999999</v>
      </c>
    </row>
    <row r="326" spans="1:27">
      <c r="A326" s="9"/>
      <c r="B326" s="10">
        <f t="shared" si="554"/>
        <v>2600</v>
      </c>
      <c r="C326" s="9">
        <f t="shared" si="559"/>
        <v>0.2</v>
      </c>
      <c r="D326" s="9">
        <f t="shared" si="565"/>
        <v>0.15</v>
      </c>
      <c r="E326" s="9">
        <f t="shared" si="566"/>
        <v>1.82</v>
      </c>
      <c r="F326" s="9">
        <f t="shared" si="567"/>
        <v>1.5</v>
      </c>
      <c r="G326" s="9">
        <f t="shared" ref="G326:H326" si="593">G325</f>
        <v>0.25</v>
      </c>
      <c r="H326" s="9">
        <f t="shared" si="593"/>
        <v>0.22</v>
      </c>
      <c r="I326" s="9">
        <v>1.4999999999999999E-2</v>
      </c>
      <c r="J326" s="9">
        <f t="shared" si="572"/>
        <v>0.01</v>
      </c>
      <c r="K326" s="9" t="str">
        <f t="shared" si="568"/>
        <v>1/100</v>
      </c>
      <c r="L326" s="9" t="str">
        <f t="shared" ref="L326:N326" si="594">L325</f>
        <v>U60</v>
      </c>
      <c r="M326" s="9">
        <f t="shared" si="594"/>
        <v>0.1</v>
      </c>
      <c r="N326" s="9">
        <f t="shared" si="594"/>
        <v>0.11</v>
      </c>
      <c r="O326" s="9">
        <f t="shared" si="555"/>
        <v>0.35</v>
      </c>
      <c r="P326" s="9">
        <f t="shared" si="574"/>
        <v>0.6</v>
      </c>
      <c r="Q326" s="9">
        <f t="shared" si="569"/>
        <v>1677.2</v>
      </c>
      <c r="R326" s="9">
        <f t="shared" si="556"/>
        <v>1676.9</v>
      </c>
      <c r="S326" s="9">
        <f t="shared" si="570"/>
        <v>1676.8000000000002</v>
      </c>
      <c r="T326" s="14">
        <f t="shared" si="557"/>
        <v>1677.0200000000002</v>
      </c>
      <c r="U326" s="9"/>
      <c r="W326" s="23">
        <f t="shared" si="561"/>
        <v>2600</v>
      </c>
      <c r="X326">
        <f t="shared" si="558"/>
        <v>1677.4</v>
      </c>
      <c r="Y326" s="3">
        <f t="shared" si="562"/>
        <v>1677.0200000000002</v>
      </c>
      <c r="Z326">
        <f t="shared" si="563"/>
        <v>1676.8000000000002</v>
      </c>
      <c r="AA326">
        <f t="shared" si="564"/>
        <v>1677.2</v>
      </c>
    </row>
    <row r="327" spans="1:27">
      <c r="A327" s="9"/>
      <c r="B327" s="10">
        <f t="shared" si="554"/>
        <v>2800</v>
      </c>
      <c r="C327" s="9">
        <f t="shared" si="559"/>
        <v>0.2</v>
      </c>
      <c r="D327" s="9">
        <f t="shared" si="565"/>
        <v>0.15</v>
      </c>
      <c r="E327" s="9">
        <f t="shared" si="566"/>
        <v>1.82</v>
      </c>
      <c r="F327" s="9">
        <f t="shared" si="567"/>
        <v>1.5</v>
      </c>
      <c r="G327" s="9">
        <f t="shared" ref="G327:H327" si="595">G326</f>
        <v>0.25</v>
      </c>
      <c r="H327" s="9">
        <f t="shared" si="595"/>
        <v>0.22</v>
      </c>
      <c r="I327" s="9">
        <v>1.4999999999999999E-2</v>
      </c>
      <c r="J327" s="9">
        <f t="shared" si="572"/>
        <v>0.01</v>
      </c>
      <c r="K327" s="9" t="str">
        <f t="shared" si="568"/>
        <v>1/100</v>
      </c>
      <c r="L327" s="9" t="str">
        <f t="shared" ref="L327:N327" si="596">L326</f>
        <v>U60</v>
      </c>
      <c r="M327" s="9">
        <f t="shared" si="596"/>
        <v>0.1</v>
      </c>
      <c r="N327" s="9">
        <f t="shared" si="596"/>
        <v>0.11</v>
      </c>
      <c r="O327" s="9">
        <f t="shared" si="555"/>
        <v>0.35</v>
      </c>
      <c r="P327" s="9">
        <f t="shared" si="574"/>
        <v>0.6</v>
      </c>
      <c r="Q327" s="9">
        <f t="shared" si="569"/>
        <v>1674.2</v>
      </c>
      <c r="R327" s="9">
        <f t="shared" si="556"/>
        <v>1673.9</v>
      </c>
      <c r="S327" s="9">
        <f t="shared" si="570"/>
        <v>1673.8000000000002</v>
      </c>
      <c r="T327" s="14">
        <f t="shared" si="557"/>
        <v>1674.0200000000002</v>
      </c>
      <c r="U327" s="9"/>
      <c r="W327" s="23">
        <f t="shared" si="561"/>
        <v>2800</v>
      </c>
      <c r="X327">
        <f t="shared" si="558"/>
        <v>1674.4</v>
      </c>
      <c r="Y327" s="3">
        <f t="shared" si="562"/>
        <v>1674.0200000000002</v>
      </c>
      <c r="Z327">
        <f t="shared" si="563"/>
        <v>1673.8000000000002</v>
      </c>
      <c r="AA327">
        <f t="shared" si="564"/>
        <v>1674.2</v>
      </c>
    </row>
    <row r="328" spans="1:27">
      <c r="A328" s="9"/>
      <c r="B328" s="10">
        <f t="shared" si="554"/>
        <v>3000</v>
      </c>
      <c r="C328" s="9">
        <f t="shared" si="559"/>
        <v>0.2</v>
      </c>
      <c r="D328" s="9">
        <f t="shared" si="565"/>
        <v>0.15</v>
      </c>
      <c r="E328" s="9">
        <f t="shared" si="566"/>
        <v>1.82</v>
      </c>
      <c r="F328" s="9">
        <f t="shared" si="567"/>
        <v>1.5</v>
      </c>
      <c r="G328" s="9">
        <f t="shared" ref="G328:H328" si="597">G327</f>
        <v>0.25</v>
      </c>
      <c r="H328" s="9">
        <f t="shared" si="597"/>
        <v>0.22</v>
      </c>
      <c r="I328" s="9">
        <v>1.4999999999999999E-2</v>
      </c>
      <c r="J328" s="9">
        <f t="shared" si="572"/>
        <v>0.01</v>
      </c>
      <c r="K328" s="9" t="str">
        <f t="shared" si="568"/>
        <v>1/100</v>
      </c>
      <c r="L328" s="9" t="str">
        <f t="shared" ref="L328:N328" si="598">L327</f>
        <v>U60</v>
      </c>
      <c r="M328" s="9">
        <f t="shared" si="598"/>
        <v>0.1</v>
      </c>
      <c r="N328" s="9">
        <f t="shared" si="598"/>
        <v>0.11</v>
      </c>
      <c r="O328" s="9">
        <f t="shared" si="555"/>
        <v>0.35</v>
      </c>
      <c r="P328" s="9">
        <f t="shared" si="574"/>
        <v>0.6</v>
      </c>
      <c r="Q328" s="9">
        <f t="shared" si="569"/>
        <v>1671.8</v>
      </c>
      <c r="R328" s="9">
        <f t="shared" si="556"/>
        <v>1671.5</v>
      </c>
      <c r="S328" s="9">
        <f t="shared" si="570"/>
        <v>1671.4</v>
      </c>
      <c r="T328" s="14">
        <f t="shared" si="557"/>
        <v>1671.6200000000001</v>
      </c>
      <c r="U328" s="9"/>
      <c r="W328" s="23">
        <f t="shared" si="561"/>
        <v>3000</v>
      </c>
      <c r="X328">
        <f t="shared" si="558"/>
        <v>1672</v>
      </c>
      <c r="Y328" s="3">
        <f t="shared" si="562"/>
        <v>1671.6200000000001</v>
      </c>
      <c r="Z328">
        <f t="shared" si="563"/>
        <v>1671.4</v>
      </c>
      <c r="AA328">
        <f t="shared" si="564"/>
        <v>1671.8</v>
      </c>
    </row>
    <row r="329" spans="1:27">
      <c r="A329" s="9"/>
      <c r="B329" s="10">
        <f t="shared" si="554"/>
        <v>3200</v>
      </c>
      <c r="C329" s="9">
        <f t="shared" si="559"/>
        <v>0.2</v>
      </c>
      <c r="D329" s="9">
        <f t="shared" si="565"/>
        <v>0.15</v>
      </c>
      <c r="E329" s="9">
        <f t="shared" si="566"/>
        <v>1.82</v>
      </c>
      <c r="F329" s="9">
        <f t="shared" si="567"/>
        <v>1.5</v>
      </c>
      <c r="G329" s="9">
        <f t="shared" ref="G329:H329" si="599">G328</f>
        <v>0.25</v>
      </c>
      <c r="H329" s="9">
        <f t="shared" si="599"/>
        <v>0.22</v>
      </c>
      <c r="I329" s="9">
        <v>1.4999999999999999E-2</v>
      </c>
      <c r="J329" s="9">
        <f t="shared" si="572"/>
        <v>0.01</v>
      </c>
      <c r="K329" s="9" t="str">
        <f t="shared" si="568"/>
        <v>1/100</v>
      </c>
      <c r="L329" s="9" t="str">
        <f t="shared" ref="L329:N329" si="600">L328</f>
        <v>U60</v>
      </c>
      <c r="M329" s="9">
        <f t="shared" si="600"/>
        <v>0.1</v>
      </c>
      <c r="N329" s="9">
        <f t="shared" si="600"/>
        <v>0.11</v>
      </c>
      <c r="O329" s="9">
        <f t="shared" si="555"/>
        <v>0.35</v>
      </c>
      <c r="P329" s="9">
        <f t="shared" si="574"/>
        <v>0.6</v>
      </c>
      <c r="Q329" s="9">
        <f t="shared" si="569"/>
        <v>1669.6</v>
      </c>
      <c r="R329" s="9">
        <f t="shared" si="556"/>
        <v>1669.3</v>
      </c>
      <c r="S329" s="9">
        <f t="shared" si="570"/>
        <v>1669.2</v>
      </c>
      <c r="T329" s="14">
        <f t="shared" si="557"/>
        <v>1669.42</v>
      </c>
      <c r="U329" s="9"/>
      <c r="W329" s="23">
        <f t="shared" si="561"/>
        <v>3200</v>
      </c>
      <c r="X329">
        <f t="shared" si="558"/>
        <v>1669.8</v>
      </c>
      <c r="Y329" s="3">
        <f t="shared" si="562"/>
        <v>1669.42</v>
      </c>
      <c r="Z329">
        <f t="shared" si="563"/>
        <v>1669.2</v>
      </c>
      <c r="AA329">
        <f t="shared" si="564"/>
        <v>1669.6</v>
      </c>
    </row>
    <row r="330" spans="1:27">
      <c r="A330" s="9"/>
      <c r="B330" s="10">
        <f t="shared" si="554"/>
        <v>3400</v>
      </c>
      <c r="C330" s="9">
        <f t="shared" si="559"/>
        <v>0.2</v>
      </c>
      <c r="D330" s="9">
        <f t="shared" si="565"/>
        <v>0.15</v>
      </c>
      <c r="E330" s="9">
        <f t="shared" si="566"/>
        <v>1.82</v>
      </c>
      <c r="F330" s="9">
        <f t="shared" si="567"/>
        <v>1.5</v>
      </c>
      <c r="G330" s="9">
        <f t="shared" ref="G330:H330" si="601">G329</f>
        <v>0.25</v>
      </c>
      <c r="H330" s="9">
        <f t="shared" si="601"/>
        <v>0.22</v>
      </c>
      <c r="I330" s="9">
        <v>1.4999999999999999E-2</v>
      </c>
      <c r="J330" s="9">
        <f t="shared" si="572"/>
        <v>0.01</v>
      </c>
      <c r="K330" s="9" t="str">
        <f t="shared" si="568"/>
        <v>1/100</v>
      </c>
      <c r="L330" s="9" t="str">
        <f t="shared" ref="L330:N330" si="602">L329</f>
        <v>U60</v>
      </c>
      <c r="M330" s="9">
        <f t="shared" si="602"/>
        <v>0.1</v>
      </c>
      <c r="N330" s="9">
        <f t="shared" si="602"/>
        <v>0.11</v>
      </c>
      <c r="O330" s="9">
        <f t="shared" si="555"/>
        <v>0.35</v>
      </c>
      <c r="P330" s="9">
        <f t="shared" si="574"/>
        <v>0.6</v>
      </c>
      <c r="Q330" s="9">
        <f t="shared" si="569"/>
        <v>1668.6</v>
      </c>
      <c r="R330" s="9">
        <f t="shared" si="556"/>
        <v>1668.3</v>
      </c>
      <c r="S330" s="9">
        <f t="shared" si="570"/>
        <v>1668.2</v>
      </c>
      <c r="T330" s="14">
        <f t="shared" si="557"/>
        <v>1668.42</v>
      </c>
      <c r="U330" s="9"/>
      <c r="W330" s="23">
        <f t="shared" si="561"/>
        <v>3400</v>
      </c>
      <c r="X330">
        <f t="shared" si="558"/>
        <v>1668.8</v>
      </c>
      <c r="Y330" s="3">
        <f t="shared" si="562"/>
        <v>1668.42</v>
      </c>
      <c r="Z330">
        <f t="shared" si="563"/>
        <v>1668.2</v>
      </c>
      <c r="AA330">
        <f t="shared" si="564"/>
        <v>1668.6</v>
      </c>
    </row>
    <row r="333" spans="1:27">
      <c r="B333" s="43" t="s">
        <v>336</v>
      </c>
      <c r="C333" s="43" t="s">
        <v>337</v>
      </c>
      <c r="D333" s="43"/>
      <c r="E333" s="43" t="s">
        <v>338</v>
      </c>
      <c r="F333" s="43"/>
      <c r="G333" s="43" t="s">
        <v>339</v>
      </c>
      <c r="H333" s="43"/>
      <c r="I333" s="9" t="s">
        <v>340</v>
      </c>
      <c r="J333" s="9" t="s">
        <v>289</v>
      </c>
      <c r="K333" s="9" t="s">
        <v>863</v>
      </c>
      <c r="L333" s="43" t="s">
        <v>786</v>
      </c>
      <c r="M333" s="43"/>
      <c r="N333" s="43" t="s">
        <v>793</v>
      </c>
      <c r="O333" s="43"/>
      <c r="P333" s="43" t="s">
        <v>794</v>
      </c>
      <c r="Q333" s="43"/>
      <c r="R333" s="9" t="s">
        <v>789</v>
      </c>
      <c r="S333" s="9" t="s">
        <v>790</v>
      </c>
    </row>
    <row r="334" spans="1:27" ht="15.6">
      <c r="B334" s="43"/>
      <c r="C334" s="9" t="s">
        <v>349</v>
      </c>
      <c r="D334" s="9" t="s">
        <v>348</v>
      </c>
      <c r="E334" s="9" t="s">
        <v>351</v>
      </c>
      <c r="F334" s="9" t="s">
        <v>352</v>
      </c>
      <c r="G334" s="9" t="s">
        <v>353</v>
      </c>
      <c r="H334" s="9" t="s">
        <v>354</v>
      </c>
      <c r="I334" s="9" t="s">
        <v>309</v>
      </c>
      <c r="J334" s="9" t="s">
        <v>308</v>
      </c>
      <c r="K334" s="9" t="s">
        <v>864</v>
      </c>
      <c r="L334" s="9" t="s">
        <v>787</v>
      </c>
      <c r="M334" s="9" t="s">
        <v>788</v>
      </c>
      <c r="N334" s="9" t="s">
        <v>798</v>
      </c>
      <c r="O334" s="9" t="s">
        <v>799</v>
      </c>
      <c r="P334" s="9" t="s">
        <v>800</v>
      </c>
      <c r="Q334" s="9" t="s">
        <v>801</v>
      </c>
      <c r="R334" s="9" t="s">
        <v>792</v>
      </c>
      <c r="S334" s="9" t="s">
        <v>791</v>
      </c>
    </row>
    <row r="335" spans="1:27" ht="16.2">
      <c r="B335" s="9" t="s">
        <v>356</v>
      </c>
      <c r="C335" s="9" t="s">
        <v>358</v>
      </c>
      <c r="D335" s="9" t="s">
        <v>358</v>
      </c>
      <c r="E335" s="9" t="s">
        <v>357</v>
      </c>
      <c r="F335" s="9" t="s">
        <v>357</v>
      </c>
      <c r="G335" s="9" t="s">
        <v>307</v>
      </c>
      <c r="H335" s="9" t="s">
        <v>307</v>
      </c>
      <c r="I335" s="9"/>
      <c r="J335" s="9"/>
      <c r="K335" s="9" t="s">
        <v>795</v>
      </c>
      <c r="L335" s="9" t="s">
        <v>796</v>
      </c>
      <c r="M335" s="9" t="s">
        <v>796</v>
      </c>
      <c r="N335" s="9" t="s">
        <v>797</v>
      </c>
      <c r="O335" s="9"/>
      <c r="P335" s="9" t="s">
        <v>797</v>
      </c>
      <c r="Q335" s="9"/>
      <c r="R335" s="9" t="s">
        <v>797</v>
      </c>
      <c r="S335" s="9" t="s">
        <v>797</v>
      </c>
    </row>
    <row r="336" spans="1:27">
      <c r="B336" s="10">
        <f t="shared" ref="B336:C353" si="603">B313</f>
        <v>0</v>
      </c>
      <c r="C336" s="9">
        <f t="shared" si="603"/>
        <v>0.2</v>
      </c>
      <c r="D336" s="9">
        <f t="shared" ref="D336:I336" si="604">D313</f>
        <v>0.15</v>
      </c>
      <c r="E336" s="9">
        <f t="shared" si="604"/>
        <v>1.82</v>
      </c>
      <c r="F336" s="9">
        <f t="shared" si="604"/>
        <v>1.5</v>
      </c>
      <c r="G336" s="9">
        <f t="shared" si="604"/>
        <v>0.25</v>
      </c>
      <c r="H336" s="9">
        <f t="shared" si="604"/>
        <v>0.22</v>
      </c>
      <c r="I336" s="9">
        <f t="shared" si="604"/>
        <v>1.4999999999999999E-2</v>
      </c>
      <c r="J336" s="9" t="str">
        <f>K313</f>
        <v>1/100</v>
      </c>
      <c r="K336" s="9" t="str">
        <f>L313</f>
        <v>U60</v>
      </c>
      <c r="L336" s="9">
        <f t="shared" ref="L336:L353" si="605">N313</f>
        <v>0.11</v>
      </c>
      <c r="M336" s="9">
        <f t="shared" ref="M336:M353" si="606">M313</f>
        <v>0.1</v>
      </c>
      <c r="N336" s="9">
        <v>0.80100000000000005</v>
      </c>
      <c r="O336" s="9">
        <v>0.73899999999999999</v>
      </c>
      <c r="P336" s="13">
        <f t="shared" ref="P336" si="607">L336/N336</f>
        <v>0.13732833957553059</v>
      </c>
      <c r="Q336" s="13">
        <f t="shared" ref="Q336" si="608">M336/O336</f>
        <v>0.13531799729364005</v>
      </c>
      <c r="R336" s="9">
        <f>O313</f>
        <v>0.35</v>
      </c>
      <c r="S336" s="9">
        <f>P313</f>
        <v>0.6</v>
      </c>
    </row>
    <row r="337" spans="2:19">
      <c r="B337" s="10">
        <f t="shared" si="603"/>
        <v>200</v>
      </c>
      <c r="C337" s="9">
        <f t="shared" si="603"/>
        <v>0.2</v>
      </c>
      <c r="D337" s="9">
        <f t="shared" ref="D337:I346" si="609">D314</f>
        <v>0.15</v>
      </c>
      <c r="E337" s="9">
        <f t="shared" si="609"/>
        <v>1.82</v>
      </c>
      <c r="F337" s="9">
        <f t="shared" si="609"/>
        <v>1.5</v>
      </c>
      <c r="G337" s="9">
        <f t="shared" si="609"/>
        <v>0.25</v>
      </c>
      <c r="H337" s="9">
        <f t="shared" si="609"/>
        <v>0.22</v>
      </c>
      <c r="I337" s="9">
        <f t="shared" si="609"/>
        <v>1.4999999999999999E-2</v>
      </c>
      <c r="J337" s="9" t="str">
        <f t="shared" ref="J337:K337" si="610">K314</f>
        <v>1/100</v>
      </c>
      <c r="K337" s="9" t="str">
        <f t="shared" si="610"/>
        <v>U60</v>
      </c>
      <c r="L337" s="9">
        <f t="shared" si="605"/>
        <v>0.11</v>
      </c>
      <c r="M337" s="9">
        <f t="shared" si="606"/>
        <v>0.1</v>
      </c>
      <c r="N337" s="9">
        <v>0.80100000000000005</v>
      </c>
      <c r="O337" s="9">
        <v>0.73899999999999999</v>
      </c>
      <c r="P337" s="13">
        <f t="shared" ref="P337:P353" si="611">L337/N337</f>
        <v>0.13732833957553059</v>
      </c>
      <c r="Q337" s="13">
        <f t="shared" ref="Q337:Q353" si="612">M337/O337</f>
        <v>0.13531799729364005</v>
      </c>
      <c r="R337" s="9">
        <f t="shared" ref="R337:S337" si="613">O314</f>
        <v>0.35</v>
      </c>
      <c r="S337" s="9">
        <f t="shared" si="613"/>
        <v>0.6</v>
      </c>
    </row>
    <row r="338" spans="2:19">
      <c r="B338" s="10">
        <f t="shared" si="603"/>
        <v>400</v>
      </c>
      <c r="C338" s="9">
        <f t="shared" si="603"/>
        <v>0.2</v>
      </c>
      <c r="D338" s="9">
        <f t="shared" si="609"/>
        <v>0.15</v>
      </c>
      <c r="E338" s="9">
        <f t="shared" si="609"/>
        <v>1.82</v>
      </c>
      <c r="F338" s="9">
        <f t="shared" si="609"/>
        <v>1.5</v>
      </c>
      <c r="G338" s="9">
        <f t="shared" si="609"/>
        <v>0.25</v>
      </c>
      <c r="H338" s="9">
        <f t="shared" si="609"/>
        <v>0.22</v>
      </c>
      <c r="I338" s="9">
        <f t="shared" si="609"/>
        <v>1.4999999999999999E-2</v>
      </c>
      <c r="J338" s="9" t="str">
        <f t="shared" ref="J338:K338" si="614">K315</f>
        <v>1/100</v>
      </c>
      <c r="K338" s="9" t="str">
        <f t="shared" si="614"/>
        <v>U60</v>
      </c>
      <c r="L338" s="9">
        <f t="shared" si="605"/>
        <v>0.11</v>
      </c>
      <c r="M338" s="9">
        <f t="shared" si="606"/>
        <v>0.1</v>
      </c>
      <c r="N338" s="9">
        <v>0.80100000000000005</v>
      </c>
      <c r="O338" s="9">
        <v>0.73899999999999999</v>
      </c>
      <c r="P338" s="13">
        <f t="shared" si="611"/>
        <v>0.13732833957553059</v>
      </c>
      <c r="Q338" s="13">
        <f t="shared" si="612"/>
        <v>0.13531799729364005</v>
      </c>
      <c r="R338" s="9">
        <f t="shared" ref="R338:S338" si="615">O315</f>
        <v>0.35</v>
      </c>
      <c r="S338" s="9">
        <f t="shared" si="615"/>
        <v>0.6</v>
      </c>
    </row>
    <row r="339" spans="2:19">
      <c r="B339" s="10">
        <f t="shared" si="603"/>
        <v>600</v>
      </c>
      <c r="C339" s="9">
        <f t="shared" si="603"/>
        <v>0.2</v>
      </c>
      <c r="D339" s="9">
        <f t="shared" si="609"/>
        <v>0.15</v>
      </c>
      <c r="E339" s="9">
        <f t="shared" si="609"/>
        <v>1.82</v>
      </c>
      <c r="F339" s="9">
        <f t="shared" si="609"/>
        <v>1.5</v>
      </c>
      <c r="G339" s="9">
        <f t="shared" si="609"/>
        <v>0.25</v>
      </c>
      <c r="H339" s="9">
        <f t="shared" si="609"/>
        <v>0.22</v>
      </c>
      <c r="I339" s="9">
        <f t="shared" si="609"/>
        <v>1.4999999999999999E-2</v>
      </c>
      <c r="J339" s="9" t="str">
        <f t="shared" ref="J339:K339" si="616">K316</f>
        <v>1/100</v>
      </c>
      <c r="K339" s="9" t="str">
        <f t="shared" si="616"/>
        <v>U60</v>
      </c>
      <c r="L339" s="9">
        <f t="shared" si="605"/>
        <v>0.11</v>
      </c>
      <c r="M339" s="9">
        <f t="shared" si="606"/>
        <v>0.1</v>
      </c>
      <c r="N339" s="9">
        <v>0.80100000000000005</v>
      </c>
      <c r="O339" s="9">
        <v>0.73899999999999999</v>
      </c>
      <c r="P339" s="13">
        <f t="shared" si="611"/>
        <v>0.13732833957553059</v>
      </c>
      <c r="Q339" s="13">
        <f t="shared" si="612"/>
        <v>0.13531799729364005</v>
      </c>
      <c r="R339" s="9">
        <f t="shared" ref="R339:S339" si="617">O316</f>
        <v>0.35</v>
      </c>
      <c r="S339" s="9">
        <f t="shared" si="617"/>
        <v>0.6</v>
      </c>
    </row>
    <row r="340" spans="2:19">
      <c r="B340" s="10">
        <f t="shared" si="603"/>
        <v>800</v>
      </c>
      <c r="C340" s="9">
        <f t="shared" si="603"/>
        <v>0.2</v>
      </c>
      <c r="D340" s="9">
        <f t="shared" si="609"/>
        <v>0.15</v>
      </c>
      <c r="E340" s="9">
        <f t="shared" si="609"/>
        <v>1.82</v>
      </c>
      <c r="F340" s="9">
        <f t="shared" si="609"/>
        <v>1.5</v>
      </c>
      <c r="G340" s="9">
        <f t="shared" si="609"/>
        <v>0.25</v>
      </c>
      <c r="H340" s="9">
        <f t="shared" si="609"/>
        <v>0.22</v>
      </c>
      <c r="I340" s="9">
        <f t="shared" si="609"/>
        <v>1.4999999999999999E-2</v>
      </c>
      <c r="J340" s="9" t="str">
        <f t="shared" ref="J340:K340" si="618">K317</f>
        <v>1/100</v>
      </c>
      <c r="K340" s="9" t="str">
        <f t="shared" si="618"/>
        <v>U60</v>
      </c>
      <c r="L340" s="9">
        <f t="shared" si="605"/>
        <v>0.11</v>
      </c>
      <c r="M340" s="9">
        <f t="shared" si="606"/>
        <v>0.1</v>
      </c>
      <c r="N340" s="9">
        <v>0.80100000000000005</v>
      </c>
      <c r="O340" s="9">
        <v>0.73899999999999999</v>
      </c>
      <c r="P340" s="13">
        <f t="shared" si="611"/>
        <v>0.13732833957553059</v>
      </c>
      <c r="Q340" s="13">
        <f t="shared" si="612"/>
        <v>0.13531799729364005</v>
      </c>
      <c r="R340" s="9">
        <f t="shared" ref="R340:S340" si="619">O317</f>
        <v>0.35</v>
      </c>
      <c r="S340" s="9">
        <f t="shared" si="619"/>
        <v>0.6</v>
      </c>
    </row>
    <row r="341" spans="2:19">
      <c r="B341" s="10">
        <f t="shared" si="603"/>
        <v>1000</v>
      </c>
      <c r="C341" s="9">
        <f t="shared" si="603"/>
        <v>0.2</v>
      </c>
      <c r="D341" s="9">
        <f t="shared" si="609"/>
        <v>0.15</v>
      </c>
      <c r="E341" s="9">
        <f t="shared" si="609"/>
        <v>1.82</v>
      </c>
      <c r="F341" s="9">
        <f t="shared" si="609"/>
        <v>1.5</v>
      </c>
      <c r="G341" s="9">
        <f t="shared" si="609"/>
        <v>0.25</v>
      </c>
      <c r="H341" s="9">
        <f t="shared" si="609"/>
        <v>0.22</v>
      </c>
      <c r="I341" s="9">
        <f t="shared" si="609"/>
        <v>1.4999999999999999E-2</v>
      </c>
      <c r="J341" s="9" t="str">
        <f t="shared" ref="J341:K341" si="620">K318</f>
        <v>1/100</v>
      </c>
      <c r="K341" s="9" t="str">
        <f t="shared" si="620"/>
        <v>U60</v>
      </c>
      <c r="L341" s="9">
        <f t="shared" si="605"/>
        <v>0.11</v>
      </c>
      <c r="M341" s="9">
        <f t="shared" si="606"/>
        <v>0.1</v>
      </c>
      <c r="N341" s="9">
        <v>0.80100000000000005</v>
      </c>
      <c r="O341" s="9">
        <v>0.73899999999999999</v>
      </c>
      <c r="P341" s="13">
        <f t="shared" si="611"/>
        <v>0.13732833957553059</v>
      </c>
      <c r="Q341" s="13">
        <f t="shared" si="612"/>
        <v>0.13531799729364005</v>
      </c>
      <c r="R341" s="9">
        <f t="shared" ref="R341:S341" si="621">O318</f>
        <v>0.35</v>
      </c>
      <c r="S341" s="9">
        <f t="shared" si="621"/>
        <v>0.6</v>
      </c>
    </row>
    <row r="342" spans="2:19">
      <c r="B342" s="10">
        <f t="shared" si="603"/>
        <v>1200</v>
      </c>
      <c r="C342" s="9">
        <f t="shared" si="603"/>
        <v>0.2</v>
      </c>
      <c r="D342" s="9">
        <f t="shared" si="609"/>
        <v>0.15</v>
      </c>
      <c r="E342" s="9">
        <f t="shared" si="609"/>
        <v>1.82</v>
      </c>
      <c r="F342" s="9">
        <f t="shared" si="609"/>
        <v>1.5</v>
      </c>
      <c r="G342" s="9">
        <f t="shared" si="609"/>
        <v>0.25</v>
      </c>
      <c r="H342" s="9">
        <f t="shared" si="609"/>
        <v>0.22</v>
      </c>
      <c r="I342" s="9">
        <f t="shared" si="609"/>
        <v>1.4999999999999999E-2</v>
      </c>
      <c r="J342" s="9" t="str">
        <f t="shared" ref="J342:K342" si="622">K319</f>
        <v>1/100</v>
      </c>
      <c r="K342" s="9" t="str">
        <f t="shared" si="622"/>
        <v>U60</v>
      </c>
      <c r="L342" s="9">
        <f t="shared" si="605"/>
        <v>0.11</v>
      </c>
      <c r="M342" s="9">
        <f t="shared" si="606"/>
        <v>0.1</v>
      </c>
      <c r="N342" s="9">
        <v>0.80100000000000005</v>
      </c>
      <c r="O342" s="9">
        <v>0.73899999999999999</v>
      </c>
      <c r="P342" s="13">
        <f t="shared" si="611"/>
        <v>0.13732833957553059</v>
      </c>
      <c r="Q342" s="13">
        <f t="shared" si="612"/>
        <v>0.13531799729364005</v>
      </c>
      <c r="R342" s="9">
        <f t="shared" ref="R342:S342" si="623">O319</f>
        <v>0.35</v>
      </c>
      <c r="S342" s="9">
        <f t="shared" si="623"/>
        <v>0.6</v>
      </c>
    </row>
    <row r="343" spans="2:19">
      <c r="B343" s="10">
        <f t="shared" si="603"/>
        <v>1400</v>
      </c>
      <c r="C343" s="9">
        <f t="shared" si="603"/>
        <v>0.2</v>
      </c>
      <c r="D343" s="9">
        <f t="shared" si="609"/>
        <v>0.15</v>
      </c>
      <c r="E343" s="9">
        <f t="shared" si="609"/>
        <v>1.82</v>
      </c>
      <c r="F343" s="9">
        <f t="shared" si="609"/>
        <v>1.5</v>
      </c>
      <c r="G343" s="9">
        <f t="shared" si="609"/>
        <v>0.25</v>
      </c>
      <c r="H343" s="9">
        <f t="shared" si="609"/>
        <v>0.22</v>
      </c>
      <c r="I343" s="9">
        <f t="shared" si="609"/>
        <v>1.4999999999999999E-2</v>
      </c>
      <c r="J343" s="9" t="str">
        <f t="shared" ref="J343:K343" si="624">K320</f>
        <v>1/100</v>
      </c>
      <c r="K343" s="9" t="str">
        <f t="shared" si="624"/>
        <v>U60</v>
      </c>
      <c r="L343" s="9">
        <f t="shared" si="605"/>
        <v>0.11</v>
      </c>
      <c r="M343" s="9">
        <f t="shared" si="606"/>
        <v>0.1</v>
      </c>
      <c r="N343" s="9">
        <v>0.80100000000000005</v>
      </c>
      <c r="O343" s="9">
        <v>0.73899999999999999</v>
      </c>
      <c r="P343" s="13">
        <f t="shared" si="611"/>
        <v>0.13732833957553059</v>
      </c>
      <c r="Q343" s="13">
        <f t="shared" si="612"/>
        <v>0.13531799729364005</v>
      </c>
      <c r="R343" s="9">
        <f t="shared" ref="R343:S343" si="625">O320</f>
        <v>0.35</v>
      </c>
      <c r="S343" s="9">
        <f t="shared" si="625"/>
        <v>0.6</v>
      </c>
    </row>
    <row r="344" spans="2:19">
      <c r="B344" s="10">
        <f t="shared" si="603"/>
        <v>1600</v>
      </c>
      <c r="C344" s="9">
        <f t="shared" si="603"/>
        <v>0.2</v>
      </c>
      <c r="D344" s="9">
        <f t="shared" si="609"/>
        <v>0.15</v>
      </c>
      <c r="E344" s="9">
        <f t="shared" si="609"/>
        <v>1.82</v>
      </c>
      <c r="F344" s="9">
        <f t="shared" si="609"/>
        <v>1.5</v>
      </c>
      <c r="G344" s="9">
        <f t="shared" si="609"/>
        <v>0.25</v>
      </c>
      <c r="H344" s="9">
        <f t="shared" si="609"/>
        <v>0.22</v>
      </c>
      <c r="I344" s="9">
        <f t="shared" si="609"/>
        <v>1.4999999999999999E-2</v>
      </c>
      <c r="J344" s="9" t="str">
        <f t="shared" ref="J344:K344" si="626">K321</f>
        <v>1/100</v>
      </c>
      <c r="K344" s="9" t="str">
        <f t="shared" si="626"/>
        <v>U60</v>
      </c>
      <c r="L344" s="9">
        <f t="shared" si="605"/>
        <v>0.11</v>
      </c>
      <c r="M344" s="9">
        <f t="shared" si="606"/>
        <v>0.1</v>
      </c>
      <c r="N344" s="9">
        <v>0.80100000000000005</v>
      </c>
      <c r="O344" s="9">
        <v>0.73899999999999999</v>
      </c>
      <c r="P344" s="13">
        <f t="shared" si="611"/>
        <v>0.13732833957553059</v>
      </c>
      <c r="Q344" s="13">
        <f t="shared" si="612"/>
        <v>0.13531799729364005</v>
      </c>
      <c r="R344" s="9">
        <f t="shared" ref="R344:S344" si="627">O321</f>
        <v>0.35</v>
      </c>
      <c r="S344" s="9">
        <f t="shared" si="627"/>
        <v>0.6</v>
      </c>
    </row>
    <row r="345" spans="2:19">
      <c r="B345" s="10">
        <f t="shared" si="603"/>
        <v>1800</v>
      </c>
      <c r="C345" s="9">
        <f t="shared" si="603"/>
        <v>0.2</v>
      </c>
      <c r="D345" s="9">
        <f t="shared" si="609"/>
        <v>0.15</v>
      </c>
      <c r="E345" s="9">
        <f t="shared" si="609"/>
        <v>1.82</v>
      </c>
      <c r="F345" s="9">
        <f t="shared" si="609"/>
        <v>1.5</v>
      </c>
      <c r="G345" s="9">
        <f t="shared" si="609"/>
        <v>0.25</v>
      </c>
      <c r="H345" s="9">
        <f t="shared" si="609"/>
        <v>0.22</v>
      </c>
      <c r="I345" s="9">
        <f t="shared" si="609"/>
        <v>1.4999999999999999E-2</v>
      </c>
      <c r="J345" s="9" t="str">
        <f t="shared" ref="J345:K345" si="628">K322</f>
        <v>1/100</v>
      </c>
      <c r="K345" s="9" t="str">
        <f t="shared" si="628"/>
        <v>U60</v>
      </c>
      <c r="L345" s="9">
        <f t="shared" si="605"/>
        <v>0.11</v>
      </c>
      <c r="M345" s="9">
        <f t="shared" si="606"/>
        <v>0.1</v>
      </c>
      <c r="N345" s="9">
        <v>0.80100000000000005</v>
      </c>
      <c r="O345" s="9">
        <v>0.73899999999999999</v>
      </c>
      <c r="P345" s="13">
        <f t="shared" si="611"/>
        <v>0.13732833957553059</v>
      </c>
      <c r="Q345" s="13">
        <f t="shared" si="612"/>
        <v>0.13531799729364005</v>
      </c>
      <c r="R345" s="9">
        <f t="shared" ref="R345:S345" si="629">O322</f>
        <v>0.35</v>
      </c>
      <c r="S345" s="9">
        <f t="shared" si="629"/>
        <v>0.6</v>
      </c>
    </row>
    <row r="346" spans="2:19">
      <c r="B346" s="10">
        <f t="shared" si="603"/>
        <v>2000</v>
      </c>
      <c r="C346" s="9">
        <f t="shared" si="603"/>
        <v>0.2</v>
      </c>
      <c r="D346" s="9">
        <f t="shared" si="609"/>
        <v>0.15</v>
      </c>
      <c r="E346" s="9">
        <f t="shared" si="609"/>
        <v>1.82</v>
      </c>
      <c r="F346" s="9">
        <f t="shared" si="609"/>
        <v>1.5</v>
      </c>
      <c r="G346" s="9">
        <f t="shared" si="609"/>
        <v>0.25</v>
      </c>
      <c r="H346" s="9">
        <f t="shared" si="609"/>
        <v>0.22</v>
      </c>
      <c r="I346" s="9">
        <f t="shared" si="609"/>
        <v>1.4999999999999999E-2</v>
      </c>
      <c r="J346" s="9" t="str">
        <f t="shared" ref="J346:K346" si="630">K323</f>
        <v>1/100</v>
      </c>
      <c r="K346" s="9" t="str">
        <f t="shared" si="630"/>
        <v>U60</v>
      </c>
      <c r="L346" s="9">
        <f t="shared" si="605"/>
        <v>0.11</v>
      </c>
      <c r="M346" s="9">
        <f t="shared" si="606"/>
        <v>0.1</v>
      </c>
      <c r="N346" s="9">
        <v>0.80100000000000005</v>
      </c>
      <c r="O346" s="9">
        <v>0.73899999999999999</v>
      </c>
      <c r="P346" s="13">
        <f t="shared" si="611"/>
        <v>0.13732833957553059</v>
      </c>
      <c r="Q346" s="13">
        <f t="shared" si="612"/>
        <v>0.13531799729364005</v>
      </c>
      <c r="R346" s="9">
        <f t="shared" ref="R346:S346" si="631">O323</f>
        <v>0.35</v>
      </c>
      <c r="S346" s="9">
        <f t="shared" si="631"/>
        <v>0.6</v>
      </c>
    </row>
    <row r="347" spans="2:19">
      <c r="B347" s="10">
        <f t="shared" si="603"/>
        <v>2200</v>
      </c>
      <c r="C347" s="9">
        <f t="shared" si="603"/>
        <v>0.2</v>
      </c>
      <c r="D347" s="9">
        <f t="shared" ref="D347:I353" si="632">D324</f>
        <v>0.15</v>
      </c>
      <c r="E347" s="9">
        <f t="shared" si="632"/>
        <v>1.82</v>
      </c>
      <c r="F347" s="9">
        <f t="shared" si="632"/>
        <v>1.5</v>
      </c>
      <c r="G347" s="9">
        <f t="shared" si="632"/>
        <v>0.25</v>
      </c>
      <c r="H347" s="9">
        <f t="shared" si="632"/>
        <v>0.22</v>
      </c>
      <c r="I347" s="9">
        <f t="shared" si="632"/>
        <v>1.4999999999999999E-2</v>
      </c>
      <c r="J347" s="9" t="str">
        <f t="shared" ref="J347:K347" si="633">K324</f>
        <v>1/100</v>
      </c>
      <c r="K347" s="9" t="str">
        <f t="shared" si="633"/>
        <v>U60</v>
      </c>
      <c r="L347" s="9">
        <f t="shared" si="605"/>
        <v>0.11</v>
      </c>
      <c r="M347" s="9">
        <f t="shared" si="606"/>
        <v>0.1</v>
      </c>
      <c r="N347" s="9">
        <v>0.80100000000000005</v>
      </c>
      <c r="O347" s="9">
        <v>0.73899999999999999</v>
      </c>
      <c r="P347" s="13">
        <f t="shared" si="611"/>
        <v>0.13732833957553059</v>
      </c>
      <c r="Q347" s="13">
        <f t="shared" si="612"/>
        <v>0.13531799729364005</v>
      </c>
      <c r="R347" s="9">
        <f t="shared" ref="R347:S347" si="634">O324</f>
        <v>0.35</v>
      </c>
      <c r="S347" s="9">
        <f t="shared" si="634"/>
        <v>0.6</v>
      </c>
    </row>
    <row r="348" spans="2:19">
      <c r="B348" s="10">
        <f t="shared" si="603"/>
        <v>2400</v>
      </c>
      <c r="C348" s="9">
        <f t="shared" si="603"/>
        <v>0.2</v>
      </c>
      <c r="D348" s="9">
        <f t="shared" si="632"/>
        <v>0.15</v>
      </c>
      <c r="E348" s="9">
        <f t="shared" si="632"/>
        <v>1.82</v>
      </c>
      <c r="F348" s="9">
        <f t="shared" si="632"/>
        <v>1.5</v>
      </c>
      <c r="G348" s="9">
        <f t="shared" si="632"/>
        <v>0.25</v>
      </c>
      <c r="H348" s="9">
        <f t="shared" si="632"/>
        <v>0.22</v>
      </c>
      <c r="I348" s="9">
        <f t="shared" si="632"/>
        <v>1.4999999999999999E-2</v>
      </c>
      <c r="J348" s="9" t="str">
        <f t="shared" ref="J348:K348" si="635">K325</f>
        <v>1/100</v>
      </c>
      <c r="K348" s="9" t="str">
        <f t="shared" si="635"/>
        <v>U60</v>
      </c>
      <c r="L348" s="9">
        <f t="shared" si="605"/>
        <v>0.11</v>
      </c>
      <c r="M348" s="9">
        <f t="shared" si="606"/>
        <v>0.1</v>
      </c>
      <c r="N348" s="9">
        <v>0.80100000000000005</v>
      </c>
      <c r="O348" s="9">
        <v>0.73899999999999999</v>
      </c>
      <c r="P348" s="13">
        <f t="shared" si="611"/>
        <v>0.13732833957553059</v>
      </c>
      <c r="Q348" s="13">
        <f t="shared" si="612"/>
        <v>0.13531799729364005</v>
      </c>
      <c r="R348" s="9">
        <f t="shared" ref="R348:S348" si="636">O325</f>
        <v>0.35</v>
      </c>
      <c r="S348" s="9">
        <f t="shared" si="636"/>
        <v>0.6</v>
      </c>
    </row>
    <row r="349" spans="2:19">
      <c r="B349" s="10">
        <f t="shared" si="603"/>
        <v>2600</v>
      </c>
      <c r="C349" s="9">
        <f t="shared" si="603"/>
        <v>0.2</v>
      </c>
      <c r="D349" s="9">
        <f t="shared" si="632"/>
        <v>0.15</v>
      </c>
      <c r="E349" s="9">
        <f t="shared" si="632"/>
        <v>1.82</v>
      </c>
      <c r="F349" s="9">
        <f t="shared" si="632"/>
        <v>1.5</v>
      </c>
      <c r="G349" s="9">
        <f t="shared" si="632"/>
        <v>0.25</v>
      </c>
      <c r="H349" s="9">
        <f t="shared" si="632"/>
        <v>0.22</v>
      </c>
      <c r="I349" s="9">
        <f t="shared" si="632"/>
        <v>1.4999999999999999E-2</v>
      </c>
      <c r="J349" s="9" t="str">
        <f t="shared" ref="J349:K349" si="637">K326</f>
        <v>1/100</v>
      </c>
      <c r="K349" s="9" t="str">
        <f t="shared" si="637"/>
        <v>U60</v>
      </c>
      <c r="L349" s="9">
        <f t="shared" si="605"/>
        <v>0.11</v>
      </c>
      <c r="M349" s="9">
        <f t="shared" si="606"/>
        <v>0.1</v>
      </c>
      <c r="N349" s="9">
        <v>0.80100000000000005</v>
      </c>
      <c r="O349" s="9">
        <v>0.73899999999999999</v>
      </c>
      <c r="P349" s="13">
        <f t="shared" si="611"/>
        <v>0.13732833957553059</v>
      </c>
      <c r="Q349" s="13">
        <f t="shared" si="612"/>
        <v>0.13531799729364005</v>
      </c>
      <c r="R349" s="9">
        <f t="shared" ref="R349:S349" si="638">O326</f>
        <v>0.35</v>
      </c>
      <c r="S349" s="9">
        <f t="shared" si="638"/>
        <v>0.6</v>
      </c>
    </row>
    <row r="350" spans="2:19">
      <c r="B350" s="10">
        <f t="shared" si="603"/>
        <v>2800</v>
      </c>
      <c r="C350" s="9">
        <f t="shared" si="603"/>
        <v>0.2</v>
      </c>
      <c r="D350" s="9">
        <f t="shared" si="632"/>
        <v>0.15</v>
      </c>
      <c r="E350" s="9">
        <f t="shared" si="632"/>
        <v>1.82</v>
      </c>
      <c r="F350" s="9">
        <f t="shared" si="632"/>
        <v>1.5</v>
      </c>
      <c r="G350" s="9">
        <f t="shared" si="632"/>
        <v>0.25</v>
      </c>
      <c r="H350" s="9">
        <f t="shared" si="632"/>
        <v>0.22</v>
      </c>
      <c r="I350" s="9">
        <f t="shared" si="632"/>
        <v>1.4999999999999999E-2</v>
      </c>
      <c r="J350" s="9" t="str">
        <f t="shared" ref="J350:K350" si="639">K327</f>
        <v>1/100</v>
      </c>
      <c r="K350" s="9" t="str">
        <f t="shared" si="639"/>
        <v>U60</v>
      </c>
      <c r="L350" s="9">
        <f t="shared" si="605"/>
        <v>0.11</v>
      </c>
      <c r="M350" s="9">
        <f t="shared" si="606"/>
        <v>0.1</v>
      </c>
      <c r="N350" s="9">
        <v>0.80100000000000005</v>
      </c>
      <c r="O350" s="9">
        <v>0.73899999999999999</v>
      </c>
      <c r="P350" s="13">
        <f t="shared" si="611"/>
        <v>0.13732833957553059</v>
      </c>
      <c r="Q350" s="13">
        <f t="shared" si="612"/>
        <v>0.13531799729364005</v>
      </c>
      <c r="R350" s="9">
        <f t="shared" ref="R350:S350" si="640">O327</f>
        <v>0.35</v>
      </c>
      <c r="S350" s="9">
        <f t="shared" si="640"/>
        <v>0.6</v>
      </c>
    </row>
    <row r="351" spans="2:19">
      <c r="B351" s="10">
        <f t="shared" si="603"/>
        <v>3000</v>
      </c>
      <c r="C351" s="9">
        <f t="shared" si="603"/>
        <v>0.2</v>
      </c>
      <c r="D351" s="9">
        <f t="shared" si="632"/>
        <v>0.15</v>
      </c>
      <c r="E351" s="9">
        <f t="shared" si="632"/>
        <v>1.82</v>
      </c>
      <c r="F351" s="9">
        <f t="shared" si="632"/>
        <v>1.5</v>
      </c>
      <c r="G351" s="9">
        <f t="shared" si="632"/>
        <v>0.25</v>
      </c>
      <c r="H351" s="9">
        <f t="shared" si="632"/>
        <v>0.22</v>
      </c>
      <c r="I351" s="9">
        <f t="shared" si="632"/>
        <v>1.4999999999999999E-2</v>
      </c>
      <c r="J351" s="9" t="str">
        <f t="shared" ref="J351:K351" si="641">K328</f>
        <v>1/100</v>
      </c>
      <c r="K351" s="9" t="str">
        <f t="shared" si="641"/>
        <v>U60</v>
      </c>
      <c r="L351" s="9">
        <f t="shared" si="605"/>
        <v>0.11</v>
      </c>
      <c r="M351" s="9">
        <f t="shared" si="606"/>
        <v>0.1</v>
      </c>
      <c r="N351" s="9">
        <v>0.80100000000000005</v>
      </c>
      <c r="O351" s="9">
        <v>0.73899999999999999</v>
      </c>
      <c r="P351" s="13">
        <f t="shared" si="611"/>
        <v>0.13732833957553059</v>
      </c>
      <c r="Q351" s="13">
        <f t="shared" si="612"/>
        <v>0.13531799729364005</v>
      </c>
      <c r="R351" s="9">
        <f t="shared" ref="R351:S351" si="642">O328</f>
        <v>0.35</v>
      </c>
      <c r="S351" s="9">
        <f t="shared" si="642"/>
        <v>0.6</v>
      </c>
    </row>
    <row r="352" spans="2:19">
      <c r="B352" s="10">
        <f t="shared" si="603"/>
        <v>3200</v>
      </c>
      <c r="C352" s="9">
        <f t="shared" si="603"/>
        <v>0.2</v>
      </c>
      <c r="D352" s="9">
        <f t="shared" si="632"/>
        <v>0.15</v>
      </c>
      <c r="E352" s="9">
        <f t="shared" si="632"/>
        <v>1.82</v>
      </c>
      <c r="F352" s="9">
        <f t="shared" si="632"/>
        <v>1.5</v>
      </c>
      <c r="G352" s="9">
        <f t="shared" si="632"/>
        <v>0.25</v>
      </c>
      <c r="H352" s="9">
        <f t="shared" si="632"/>
        <v>0.22</v>
      </c>
      <c r="I352" s="9">
        <f t="shared" si="632"/>
        <v>1.4999999999999999E-2</v>
      </c>
      <c r="J352" s="9" t="str">
        <f t="shared" ref="J352:K352" si="643">K329</f>
        <v>1/100</v>
      </c>
      <c r="K352" s="9" t="str">
        <f t="shared" si="643"/>
        <v>U60</v>
      </c>
      <c r="L352" s="9">
        <f t="shared" si="605"/>
        <v>0.11</v>
      </c>
      <c r="M352" s="9">
        <f t="shared" si="606"/>
        <v>0.1</v>
      </c>
      <c r="N352" s="9">
        <v>0.80100000000000005</v>
      </c>
      <c r="O352" s="9">
        <v>0.73899999999999999</v>
      </c>
      <c r="P352" s="13">
        <f t="shared" si="611"/>
        <v>0.13732833957553059</v>
      </c>
      <c r="Q352" s="13">
        <f t="shared" si="612"/>
        <v>0.13531799729364005</v>
      </c>
      <c r="R352" s="9">
        <f t="shared" ref="R352:S352" si="644">O329</f>
        <v>0.35</v>
      </c>
      <c r="S352" s="9">
        <f t="shared" si="644"/>
        <v>0.6</v>
      </c>
    </row>
    <row r="353" spans="1:27">
      <c r="B353" s="10">
        <f t="shared" si="603"/>
        <v>3400</v>
      </c>
      <c r="C353" s="9">
        <f t="shared" si="603"/>
        <v>0.2</v>
      </c>
      <c r="D353" s="9">
        <f t="shared" si="632"/>
        <v>0.15</v>
      </c>
      <c r="E353" s="9">
        <f t="shared" si="632"/>
        <v>1.82</v>
      </c>
      <c r="F353" s="9">
        <f t="shared" si="632"/>
        <v>1.5</v>
      </c>
      <c r="G353" s="9">
        <f t="shared" si="632"/>
        <v>0.25</v>
      </c>
      <c r="H353" s="9">
        <f t="shared" si="632"/>
        <v>0.22</v>
      </c>
      <c r="I353" s="9">
        <f t="shared" si="632"/>
        <v>1.4999999999999999E-2</v>
      </c>
      <c r="J353" s="9" t="str">
        <f t="shared" ref="J353:K353" si="645">K330</f>
        <v>1/100</v>
      </c>
      <c r="K353" s="9" t="str">
        <f t="shared" si="645"/>
        <v>U60</v>
      </c>
      <c r="L353" s="9">
        <f t="shared" si="605"/>
        <v>0.11</v>
      </c>
      <c r="M353" s="9">
        <f t="shared" si="606"/>
        <v>0.1</v>
      </c>
      <c r="N353" s="9">
        <v>0.80100000000000005</v>
      </c>
      <c r="O353" s="9">
        <v>0.73899999999999999</v>
      </c>
      <c r="P353" s="13">
        <f t="shared" si="611"/>
        <v>0.13732833957553059</v>
      </c>
      <c r="Q353" s="13">
        <f t="shared" si="612"/>
        <v>0.13531799729364005</v>
      </c>
      <c r="R353" s="9">
        <f t="shared" ref="R353:S353" si="646">O330</f>
        <v>0.35</v>
      </c>
      <c r="S353" s="9">
        <f t="shared" si="646"/>
        <v>0.6</v>
      </c>
    </row>
    <row r="354" spans="1:27">
      <c r="B354" s="23"/>
    </row>
    <row r="356" spans="1:27">
      <c r="A356" s="15" t="s">
        <v>538</v>
      </c>
    </row>
    <row r="357" spans="1:27">
      <c r="A357" s="43" t="s">
        <v>359</v>
      </c>
      <c r="B357" s="43" t="s">
        <v>336</v>
      </c>
      <c r="C357" s="43" t="s">
        <v>337</v>
      </c>
      <c r="D357" s="43"/>
      <c r="E357" s="43" t="s">
        <v>338</v>
      </c>
      <c r="F357" s="43"/>
      <c r="G357" s="43" t="s">
        <v>339</v>
      </c>
      <c r="H357" s="43"/>
      <c r="I357" s="9" t="s">
        <v>340</v>
      </c>
      <c r="J357" s="9" t="s">
        <v>289</v>
      </c>
      <c r="K357" s="9"/>
      <c r="L357" s="9" t="s">
        <v>438</v>
      </c>
      <c r="M357" s="11"/>
      <c r="N357" s="11"/>
      <c r="O357" s="9" t="s">
        <v>343</v>
      </c>
      <c r="P357" s="9" t="s">
        <v>344</v>
      </c>
      <c r="Q357" s="43" t="s">
        <v>521</v>
      </c>
      <c r="R357" s="43" t="s">
        <v>522</v>
      </c>
      <c r="S357" s="43" t="s">
        <v>346</v>
      </c>
      <c r="T357" s="43" t="s">
        <v>347</v>
      </c>
      <c r="U357" s="43" t="s">
        <v>359</v>
      </c>
    </row>
    <row r="358" spans="1:27" ht="15.6">
      <c r="A358" s="43"/>
      <c r="B358" s="43"/>
      <c r="C358" s="9" t="s">
        <v>349</v>
      </c>
      <c r="D358" s="9" t="s">
        <v>348</v>
      </c>
      <c r="E358" s="9" t="s">
        <v>351</v>
      </c>
      <c r="F358" s="9" t="s">
        <v>352</v>
      </c>
      <c r="G358" s="9" t="s">
        <v>353</v>
      </c>
      <c r="H358" s="9" t="s">
        <v>354</v>
      </c>
      <c r="I358" s="9" t="s">
        <v>309</v>
      </c>
      <c r="J358" s="9" t="s">
        <v>308</v>
      </c>
      <c r="K358" s="9"/>
      <c r="L358" s="9" t="s">
        <v>306</v>
      </c>
      <c r="M358" s="11" t="s">
        <v>368</v>
      </c>
      <c r="N358" s="11" t="s">
        <v>366</v>
      </c>
      <c r="O358" s="9" t="s">
        <v>355</v>
      </c>
      <c r="P358" s="9" t="s">
        <v>310</v>
      </c>
      <c r="Q358" s="43"/>
      <c r="R358" s="43"/>
      <c r="S358" s="43"/>
      <c r="T358" s="43"/>
      <c r="U358" s="43"/>
    </row>
    <row r="359" spans="1:27" ht="16.2">
      <c r="A359" s="9"/>
      <c r="B359" s="9" t="s">
        <v>356</v>
      </c>
      <c r="C359" s="9" t="s">
        <v>358</v>
      </c>
      <c r="D359" s="9" t="s">
        <v>358</v>
      </c>
      <c r="E359" s="9" t="s">
        <v>357</v>
      </c>
      <c r="F359" s="9" t="s">
        <v>357</v>
      </c>
      <c r="G359" s="9" t="s">
        <v>307</v>
      </c>
      <c r="H359" s="9" t="s">
        <v>307</v>
      </c>
      <c r="I359" s="9"/>
      <c r="J359" s="9"/>
      <c r="K359" s="9"/>
      <c r="L359" s="9" t="s">
        <v>307</v>
      </c>
      <c r="M359" s="9"/>
      <c r="N359" s="9"/>
      <c r="O359" s="9" t="s">
        <v>307</v>
      </c>
      <c r="P359" s="9" t="s">
        <v>307</v>
      </c>
      <c r="Q359" s="9" t="s">
        <v>307</v>
      </c>
      <c r="R359" s="9" t="s">
        <v>307</v>
      </c>
      <c r="S359" s="9" t="s">
        <v>307</v>
      </c>
      <c r="T359" s="9" t="s">
        <v>307</v>
      </c>
      <c r="U359" s="9"/>
      <c r="W359" t="s">
        <v>336</v>
      </c>
      <c r="X359" t="s">
        <v>773</v>
      </c>
      <c r="Y359" t="s">
        <v>774</v>
      </c>
      <c r="Z359" t="s">
        <v>776</v>
      </c>
      <c r="AA359" t="s">
        <v>775</v>
      </c>
    </row>
    <row r="360" spans="1:27">
      <c r="A360" s="9"/>
      <c r="B360" s="10">
        <f t="shared" ref="B360:B373" si="647">S2</f>
        <v>0</v>
      </c>
      <c r="C360" s="9">
        <f>ROUND(D360*1.3,2)</f>
        <v>0.33</v>
      </c>
      <c r="D360" s="9">
        <f>支渠!M14</f>
        <v>0.25</v>
      </c>
      <c r="E360" s="9">
        <f>ROUND(C360/N360,2)</f>
        <v>1.94</v>
      </c>
      <c r="F360" s="9">
        <f>ROUND(D360/M360,2)</f>
        <v>1.79</v>
      </c>
      <c r="G360" s="9">
        <v>0.34</v>
      </c>
      <c r="H360" s="9">
        <v>0.28999999999999998</v>
      </c>
      <c r="I360" s="9">
        <v>1.4999999999999999E-2</v>
      </c>
      <c r="J360" s="9">
        <v>0.01</v>
      </c>
      <c r="K360" s="9" t="str">
        <f>"1/"&amp;ROUND(1/J360,0)</f>
        <v>1/100</v>
      </c>
      <c r="L360" s="9" t="s">
        <v>531</v>
      </c>
      <c r="M360" s="9">
        <v>0.14000000000000001</v>
      </c>
      <c r="N360" s="9">
        <v>0.17</v>
      </c>
      <c r="O360" s="9">
        <f t="shared" ref="O360:O386" si="648">P360-G360</f>
        <v>0.25999999999999995</v>
      </c>
      <c r="P360" s="9">
        <v>0.6</v>
      </c>
      <c r="Q360" s="9">
        <f>R360+0.3</f>
        <v>1711.9099999999999</v>
      </c>
      <c r="R360" s="9">
        <f t="shared" ref="R360:R374" si="649">T2</f>
        <v>1711.61</v>
      </c>
      <c r="S360" s="9">
        <f>R360-0.1</f>
        <v>1711.51</v>
      </c>
      <c r="T360" s="14">
        <f t="shared" ref="T360:T375" si="650">S360+H360</f>
        <v>1711.8</v>
      </c>
      <c r="U360" s="9"/>
      <c r="W360" s="23">
        <f>B360</f>
        <v>0</v>
      </c>
      <c r="X360">
        <f t="shared" ref="X360:X386" si="651">Z360+P360</f>
        <v>1712.11</v>
      </c>
      <c r="Y360" s="3">
        <f>T360</f>
        <v>1711.8</v>
      </c>
      <c r="Z360">
        <f>S360</f>
        <v>1711.51</v>
      </c>
      <c r="AA360">
        <f>Q360</f>
        <v>1711.9099999999999</v>
      </c>
    </row>
    <row r="361" spans="1:27">
      <c r="A361" s="12"/>
      <c r="B361" s="10">
        <f t="shared" si="647"/>
        <v>200</v>
      </c>
      <c r="C361" s="9">
        <f t="shared" ref="C361:C387" si="652">ROUND(D361*1.3,2)</f>
        <v>0.33</v>
      </c>
      <c r="D361" s="9">
        <f>D360</f>
        <v>0.25</v>
      </c>
      <c r="E361" s="9">
        <f>ROUND(C361/N361,2)</f>
        <v>1.94</v>
      </c>
      <c r="F361" s="9">
        <f>ROUND(D361/M361,2)</f>
        <v>1.79</v>
      </c>
      <c r="G361" s="9">
        <f>G360</f>
        <v>0.34</v>
      </c>
      <c r="H361" s="9">
        <f>H360</f>
        <v>0.28999999999999998</v>
      </c>
      <c r="I361" s="9">
        <v>1.4999999999999999E-2</v>
      </c>
      <c r="J361" s="9">
        <v>0.01</v>
      </c>
      <c r="K361" s="9" t="str">
        <f>"1/"&amp;ROUND(1/J361,0)</f>
        <v>1/100</v>
      </c>
      <c r="L361" s="9" t="str">
        <f t="shared" ref="L361:N362" si="653">L360</f>
        <v>U60</v>
      </c>
      <c r="M361" s="9">
        <f t="shared" si="653"/>
        <v>0.14000000000000001</v>
      </c>
      <c r="N361" s="9">
        <f t="shared" si="653"/>
        <v>0.17</v>
      </c>
      <c r="O361" s="9">
        <f t="shared" si="648"/>
        <v>0.25999999999999995</v>
      </c>
      <c r="P361" s="9">
        <f>P360</f>
        <v>0.6</v>
      </c>
      <c r="Q361" s="9">
        <f>R361+0.3</f>
        <v>1708.8</v>
      </c>
      <c r="R361" s="9">
        <f t="shared" si="649"/>
        <v>1708.5</v>
      </c>
      <c r="S361" s="9">
        <f>R361-0.1</f>
        <v>1708.4</v>
      </c>
      <c r="T361" s="14">
        <f t="shared" si="650"/>
        <v>1708.69</v>
      </c>
      <c r="U361" s="9"/>
      <c r="W361" s="23">
        <f t="shared" ref="W361:W386" si="654">B361</f>
        <v>200</v>
      </c>
      <c r="X361">
        <f t="shared" si="651"/>
        <v>1709</v>
      </c>
      <c r="Y361" s="3">
        <f t="shared" ref="Y361:Y386" si="655">T361</f>
        <v>1708.69</v>
      </c>
      <c r="Z361">
        <f t="shared" ref="Z361:Z386" si="656">S361</f>
        <v>1708.4</v>
      </c>
      <c r="AA361">
        <f t="shared" ref="AA361:AA386" si="657">Q361</f>
        <v>1708.8</v>
      </c>
    </row>
    <row r="362" spans="1:27">
      <c r="A362" s="9"/>
      <c r="B362" s="10">
        <f t="shared" si="647"/>
        <v>400</v>
      </c>
      <c r="C362" s="9">
        <f t="shared" si="652"/>
        <v>0.33</v>
      </c>
      <c r="D362" s="9">
        <f t="shared" ref="D362:D373" si="658">D361</f>
        <v>0.25</v>
      </c>
      <c r="E362" s="9">
        <f t="shared" ref="E362:E374" si="659">ROUND(C362/N362,2)</f>
        <v>1.94</v>
      </c>
      <c r="F362" s="9">
        <f t="shared" ref="F362:F374" si="660">ROUND(D362/M362,2)</f>
        <v>1.79</v>
      </c>
      <c r="G362" s="9">
        <f>G361</f>
        <v>0.34</v>
      </c>
      <c r="H362" s="9">
        <f>H361</f>
        <v>0.28999999999999998</v>
      </c>
      <c r="I362" s="9">
        <v>1.4999999999999999E-2</v>
      </c>
      <c r="J362" s="9">
        <f>J361</f>
        <v>0.01</v>
      </c>
      <c r="K362" s="9" t="str">
        <f t="shared" ref="K362:K374" si="661">"1/"&amp;ROUND(1/J362,0)</f>
        <v>1/100</v>
      </c>
      <c r="L362" s="9" t="str">
        <f t="shared" si="653"/>
        <v>U60</v>
      </c>
      <c r="M362" s="9">
        <f t="shared" si="653"/>
        <v>0.14000000000000001</v>
      </c>
      <c r="N362" s="9">
        <f t="shared" si="653"/>
        <v>0.17</v>
      </c>
      <c r="O362" s="9">
        <f t="shared" si="648"/>
        <v>0.25999999999999995</v>
      </c>
      <c r="P362" s="9">
        <f>P361</f>
        <v>0.6</v>
      </c>
      <c r="Q362" s="9">
        <f t="shared" ref="Q362:Q374" si="662">R362+0.3</f>
        <v>1706.3999999999999</v>
      </c>
      <c r="R362" s="9">
        <f t="shared" si="649"/>
        <v>1706.1</v>
      </c>
      <c r="S362" s="9">
        <f t="shared" ref="S362:S374" si="663">R362-0.1</f>
        <v>1706</v>
      </c>
      <c r="T362" s="14">
        <f t="shared" si="650"/>
        <v>1706.29</v>
      </c>
      <c r="U362" s="9"/>
      <c r="W362" s="23">
        <f t="shared" si="654"/>
        <v>400</v>
      </c>
      <c r="X362">
        <f t="shared" si="651"/>
        <v>1706.6</v>
      </c>
      <c r="Y362" s="3">
        <f t="shared" si="655"/>
        <v>1706.29</v>
      </c>
      <c r="Z362">
        <f t="shared" si="656"/>
        <v>1706</v>
      </c>
      <c r="AA362">
        <f t="shared" si="657"/>
        <v>1706.3999999999999</v>
      </c>
    </row>
    <row r="363" spans="1:27">
      <c r="A363" s="9"/>
      <c r="B363" s="10">
        <f t="shared" si="647"/>
        <v>600</v>
      </c>
      <c r="C363" s="9">
        <f t="shared" si="652"/>
        <v>0.33</v>
      </c>
      <c r="D363" s="9">
        <f t="shared" si="658"/>
        <v>0.25</v>
      </c>
      <c r="E363" s="9">
        <f t="shared" si="659"/>
        <v>1.94</v>
      </c>
      <c r="F363" s="9">
        <f t="shared" si="660"/>
        <v>1.79</v>
      </c>
      <c r="G363" s="9">
        <f t="shared" ref="G363:H363" si="664">G362</f>
        <v>0.34</v>
      </c>
      <c r="H363" s="9">
        <f t="shared" si="664"/>
        <v>0.28999999999999998</v>
      </c>
      <c r="I363" s="9">
        <v>1.4999999999999999E-2</v>
      </c>
      <c r="J363" s="9">
        <f t="shared" ref="J363:J374" si="665">J362</f>
        <v>0.01</v>
      </c>
      <c r="K363" s="9" t="str">
        <f t="shared" si="661"/>
        <v>1/100</v>
      </c>
      <c r="L363" s="9" t="str">
        <f t="shared" ref="L363:N363" si="666">L362</f>
        <v>U60</v>
      </c>
      <c r="M363" s="9">
        <f t="shared" si="666"/>
        <v>0.14000000000000001</v>
      </c>
      <c r="N363" s="9">
        <f t="shared" si="666"/>
        <v>0.17</v>
      </c>
      <c r="O363" s="9">
        <f t="shared" si="648"/>
        <v>0.25999999999999995</v>
      </c>
      <c r="P363" s="9">
        <f t="shared" ref="P363:P374" si="667">P362</f>
        <v>0.6</v>
      </c>
      <c r="Q363" s="9">
        <f t="shared" si="662"/>
        <v>1702.8999999999999</v>
      </c>
      <c r="R363" s="9">
        <f t="shared" si="649"/>
        <v>1702.6</v>
      </c>
      <c r="S363" s="9">
        <f t="shared" si="663"/>
        <v>1702.5</v>
      </c>
      <c r="T363" s="14">
        <f t="shared" si="650"/>
        <v>1702.79</v>
      </c>
      <c r="U363" s="9"/>
      <c r="W363" s="23">
        <f t="shared" si="654"/>
        <v>600</v>
      </c>
      <c r="X363">
        <f t="shared" si="651"/>
        <v>1703.1</v>
      </c>
      <c r="Y363" s="3">
        <f t="shared" si="655"/>
        <v>1702.79</v>
      </c>
      <c r="Z363">
        <f t="shared" si="656"/>
        <v>1702.5</v>
      </c>
      <c r="AA363">
        <f t="shared" si="657"/>
        <v>1702.8999999999999</v>
      </c>
    </row>
    <row r="364" spans="1:27">
      <c r="A364" s="9"/>
      <c r="B364" s="10">
        <f t="shared" si="647"/>
        <v>800</v>
      </c>
      <c r="C364" s="9">
        <f t="shared" si="652"/>
        <v>0.33</v>
      </c>
      <c r="D364" s="9">
        <f t="shared" si="658"/>
        <v>0.25</v>
      </c>
      <c r="E364" s="9">
        <f t="shared" si="659"/>
        <v>1.94</v>
      </c>
      <c r="F364" s="9">
        <f t="shared" si="660"/>
        <v>1.79</v>
      </c>
      <c r="G364" s="9">
        <f t="shared" ref="G364:H364" si="668">G363</f>
        <v>0.34</v>
      </c>
      <c r="H364" s="9">
        <f t="shared" si="668"/>
        <v>0.28999999999999998</v>
      </c>
      <c r="I364" s="9">
        <v>1.4999999999999999E-2</v>
      </c>
      <c r="J364" s="9">
        <f t="shared" si="665"/>
        <v>0.01</v>
      </c>
      <c r="K364" s="9" t="str">
        <f t="shared" si="661"/>
        <v>1/100</v>
      </c>
      <c r="L364" s="9" t="str">
        <f t="shared" ref="L364:N364" si="669">L363</f>
        <v>U60</v>
      </c>
      <c r="M364" s="9">
        <f t="shared" si="669"/>
        <v>0.14000000000000001</v>
      </c>
      <c r="N364" s="9">
        <f t="shared" si="669"/>
        <v>0.17</v>
      </c>
      <c r="O364" s="9">
        <f t="shared" si="648"/>
        <v>0.25999999999999995</v>
      </c>
      <c r="P364" s="9">
        <f t="shared" si="667"/>
        <v>0.6</v>
      </c>
      <c r="Q364" s="9">
        <f t="shared" si="662"/>
        <v>1700.1</v>
      </c>
      <c r="R364" s="9">
        <f t="shared" si="649"/>
        <v>1699.8</v>
      </c>
      <c r="S364" s="9">
        <f t="shared" si="663"/>
        <v>1699.7</v>
      </c>
      <c r="T364" s="14">
        <f t="shared" si="650"/>
        <v>1699.99</v>
      </c>
      <c r="U364" s="9"/>
      <c r="W364" s="23">
        <f t="shared" si="654"/>
        <v>800</v>
      </c>
      <c r="X364">
        <f t="shared" si="651"/>
        <v>1700.3</v>
      </c>
      <c r="Y364" s="3">
        <f t="shared" si="655"/>
        <v>1699.99</v>
      </c>
      <c r="Z364">
        <f t="shared" si="656"/>
        <v>1699.7</v>
      </c>
      <c r="AA364">
        <f t="shared" si="657"/>
        <v>1700.1</v>
      </c>
    </row>
    <row r="365" spans="1:27">
      <c r="A365" s="9"/>
      <c r="B365" s="10">
        <f t="shared" si="647"/>
        <v>1000</v>
      </c>
      <c r="C365" s="9">
        <f t="shared" si="652"/>
        <v>0.33</v>
      </c>
      <c r="D365" s="9">
        <f t="shared" si="658"/>
        <v>0.25</v>
      </c>
      <c r="E365" s="9">
        <f t="shared" si="659"/>
        <v>1.94</v>
      </c>
      <c r="F365" s="9">
        <f t="shared" si="660"/>
        <v>1.79</v>
      </c>
      <c r="G365" s="9">
        <f t="shared" ref="G365:H365" si="670">G364</f>
        <v>0.34</v>
      </c>
      <c r="H365" s="9">
        <f t="shared" si="670"/>
        <v>0.28999999999999998</v>
      </c>
      <c r="I365" s="9">
        <v>1.4999999999999999E-2</v>
      </c>
      <c r="J365" s="9">
        <f t="shared" si="665"/>
        <v>0.01</v>
      </c>
      <c r="K365" s="9" t="str">
        <f t="shared" si="661"/>
        <v>1/100</v>
      </c>
      <c r="L365" s="9" t="str">
        <f t="shared" ref="L365:N365" si="671">L364</f>
        <v>U60</v>
      </c>
      <c r="M365" s="9">
        <f t="shared" si="671"/>
        <v>0.14000000000000001</v>
      </c>
      <c r="N365" s="9">
        <f t="shared" si="671"/>
        <v>0.17</v>
      </c>
      <c r="O365" s="9">
        <f t="shared" si="648"/>
        <v>0.25999999999999995</v>
      </c>
      <c r="P365" s="9">
        <f t="shared" si="667"/>
        <v>0.6</v>
      </c>
      <c r="Q365" s="9">
        <f t="shared" si="662"/>
        <v>1697.55</v>
      </c>
      <c r="R365" s="9">
        <f t="shared" si="649"/>
        <v>1697.25</v>
      </c>
      <c r="S365" s="9">
        <f t="shared" si="663"/>
        <v>1697.15</v>
      </c>
      <c r="T365" s="14">
        <f t="shared" si="650"/>
        <v>1697.44</v>
      </c>
      <c r="U365" s="9"/>
      <c r="W365" s="23">
        <f t="shared" si="654"/>
        <v>1000</v>
      </c>
      <c r="X365">
        <f t="shared" si="651"/>
        <v>1697.75</v>
      </c>
      <c r="Y365" s="3">
        <f t="shared" si="655"/>
        <v>1697.44</v>
      </c>
      <c r="Z365">
        <f t="shared" si="656"/>
        <v>1697.15</v>
      </c>
      <c r="AA365">
        <f t="shared" si="657"/>
        <v>1697.55</v>
      </c>
    </row>
    <row r="366" spans="1:27">
      <c r="A366" s="9"/>
      <c r="B366" s="10">
        <f t="shared" si="647"/>
        <v>1200</v>
      </c>
      <c r="C366" s="9">
        <f t="shared" si="652"/>
        <v>0.33</v>
      </c>
      <c r="D366" s="9">
        <f t="shared" si="658"/>
        <v>0.25</v>
      </c>
      <c r="E366" s="9">
        <f t="shared" si="659"/>
        <v>1.94</v>
      </c>
      <c r="F366" s="9">
        <f t="shared" si="660"/>
        <v>1.79</v>
      </c>
      <c r="G366" s="9">
        <f t="shared" ref="G366:H366" si="672">G365</f>
        <v>0.34</v>
      </c>
      <c r="H366" s="9">
        <f t="shared" si="672"/>
        <v>0.28999999999999998</v>
      </c>
      <c r="I366" s="9">
        <v>1.4999999999999999E-2</v>
      </c>
      <c r="J366" s="9">
        <f t="shared" si="665"/>
        <v>0.01</v>
      </c>
      <c r="K366" s="9" t="str">
        <f t="shared" si="661"/>
        <v>1/100</v>
      </c>
      <c r="L366" s="9" t="str">
        <f t="shared" ref="L366:N366" si="673">L365</f>
        <v>U60</v>
      </c>
      <c r="M366" s="9">
        <f t="shared" si="673"/>
        <v>0.14000000000000001</v>
      </c>
      <c r="N366" s="9">
        <f t="shared" si="673"/>
        <v>0.17</v>
      </c>
      <c r="O366" s="9">
        <f t="shared" si="648"/>
        <v>0.25999999999999995</v>
      </c>
      <c r="P366" s="9">
        <f t="shared" si="667"/>
        <v>0.6</v>
      </c>
      <c r="Q366" s="9">
        <f t="shared" si="662"/>
        <v>1695.3</v>
      </c>
      <c r="R366" s="9">
        <f t="shared" si="649"/>
        <v>1695</v>
      </c>
      <c r="S366" s="9">
        <f t="shared" si="663"/>
        <v>1694.9</v>
      </c>
      <c r="T366" s="14">
        <f t="shared" si="650"/>
        <v>1695.19</v>
      </c>
      <c r="U366" s="9"/>
      <c r="W366" s="23">
        <f t="shared" si="654"/>
        <v>1200</v>
      </c>
      <c r="X366">
        <f t="shared" si="651"/>
        <v>1695.5</v>
      </c>
      <c r="Y366" s="3">
        <f t="shared" si="655"/>
        <v>1695.19</v>
      </c>
      <c r="Z366">
        <f t="shared" si="656"/>
        <v>1694.9</v>
      </c>
      <c r="AA366">
        <f t="shared" si="657"/>
        <v>1695.3</v>
      </c>
    </row>
    <row r="367" spans="1:27">
      <c r="A367" s="9"/>
      <c r="B367" s="10">
        <f t="shared" si="647"/>
        <v>1400</v>
      </c>
      <c r="C367" s="9">
        <f t="shared" si="652"/>
        <v>0.33</v>
      </c>
      <c r="D367" s="9">
        <f t="shared" si="658"/>
        <v>0.25</v>
      </c>
      <c r="E367" s="9">
        <f t="shared" si="659"/>
        <v>1.94</v>
      </c>
      <c r="F367" s="9">
        <f t="shared" si="660"/>
        <v>1.79</v>
      </c>
      <c r="G367" s="9">
        <f t="shared" ref="G367:H367" si="674">G366</f>
        <v>0.34</v>
      </c>
      <c r="H367" s="9">
        <f t="shared" si="674"/>
        <v>0.28999999999999998</v>
      </c>
      <c r="I367" s="9">
        <v>1.4999999999999999E-2</v>
      </c>
      <c r="J367" s="9">
        <f t="shared" si="665"/>
        <v>0.01</v>
      </c>
      <c r="K367" s="9" t="str">
        <f t="shared" si="661"/>
        <v>1/100</v>
      </c>
      <c r="L367" s="9" t="str">
        <f t="shared" ref="L367:N367" si="675">L366</f>
        <v>U60</v>
      </c>
      <c r="M367" s="9">
        <f t="shared" si="675"/>
        <v>0.14000000000000001</v>
      </c>
      <c r="N367" s="9">
        <f t="shared" si="675"/>
        <v>0.17</v>
      </c>
      <c r="O367" s="9">
        <f t="shared" si="648"/>
        <v>0.25999999999999995</v>
      </c>
      <c r="P367" s="9">
        <f t="shared" si="667"/>
        <v>0.6</v>
      </c>
      <c r="Q367" s="9">
        <f t="shared" si="662"/>
        <v>1692.6</v>
      </c>
      <c r="R367" s="9">
        <f t="shared" si="649"/>
        <v>1692.3</v>
      </c>
      <c r="S367" s="9">
        <f t="shared" si="663"/>
        <v>1692.2</v>
      </c>
      <c r="T367" s="14">
        <f t="shared" si="650"/>
        <v>1692.49</v>
      </c>
      <c r="U367" s="9"/>
      <c r="W367" s="23">
        <f t="shared" si="654"/>
        <v>1400</v>
      </c>
      <c r="X367">
        <f t="shared" si="651"/>
        <v>1692.8</v>
      </c>
      <c r="Y367" s="3">
        <f t="shared" si="655"/>
        <v>1692.49</v>
      </c>
      <c r="Z367">
        <f t="shared" si="656"/>
        <v>1692.2</v>
      </c>
      <c r="AA367">
        <f t="shared" si="657"/>
        <v>1692.6</v>
      </c>
    </row>
    <row r="368" spans="1:27">
      <c r="A368" s="9"/>
      <c r="B368" s="10">
        <f t="shared" si="647"/>
        <v>1600</v>
      </c>
      <c r="C368" s="9">
        <f t="shared" si="652"/>
        <v>0.33</v>
      </c>
      <c r="D368" s="9">
        <f t="shared" si="658"/>
        <v>0.25</v>
      </c>
      <c r="E368" s="9">
        <f t="shared" si="659"/>
        <v>1.94</v>
      </c>
      <c r="F368" s="9">
        <f t="shared" si="660"/>
        <v>1.79</v>
      </c>
      <c r="G368" s="9">
        <f t="shared" ref="G368:H368" si="676">G367</f>
        <v>0.34</v>
      </c>
      <c r="H368" s="9">
        <f t="shared" si="676"/>
        <v>0.28999999999999998</v>
      </c>
      <c r="I368" s="9">
        <v>1.4999999999999999E-2</v>
      </c>
      <c r="J368" s="9">
        <f t="shared" si="665"/>
        <v>0.01</v>
      </c>
      <c r="K368" s="9" t="str">
        <f t="shared" si="661"/>
        <v>1/100</v>
      </c>
      <c r="L368" s="9" t="str">
        <f t="shared" ref="L368:N368" si="677">L367</f>
        <v>U60</v>
      </c>
      <c r="M368" s="9">
        <f t="shared" si="677"/>
        <v>0.14000000000000001</v>
      </c>
      <c r="N368" s="9">
        <f t="shared" si="677"/>
        <v>0.17</v>
      </c>
      <c r="O368" s="9">
        <f t="shared" si="648"/>
        <v>0.25999999999999995</v>
      </c>
      <c r="P368" s="9">
        <f t="shared" si="667"/>
        <v>0.6</v>
      </c>
      <c r="Q368" s="9">
        <f t="shared" si="662"/>
        <v>1690.1</v>
      </c>
      <c r="R368" s="9">
        <f t="shared" si="649"/>
        <v>1689.8</v>
      </c>
      <c r="S368" s="9">
        <f t="shared" si="663"/>
        <v>1689.7</v>
      </c>
      <c r="T368" s="14">
        <f t="shared" si="650"/>
        <v>1689.99</v>
      </c>
      <c r="U368" s="9"/>
      <c r="W368" s="23">
        <f t="shared" si="654"/>
        <v>1600</v>
      </c>
      <c r="X368">
        <f t="shared" si="651"/>
        <v>1690.3</v>
      </c>
      <c r="Y368" s="3">
        <f t="shared" si="655"/>
        <v>1689.99</v>
      </c>
      <c r="Z368">
        <f t="shared" si="656"/>
        <v>1689.7</v>
      </c>
      <c r="AA368">
        <f t="shared" si="657"/>
        <v>1690.1</v>
      </c>
    </row>
    <row r="369" spans="1:27">
      <c r="A369" s="9"/>
      <c r="B369" s="10">
        <f t="shared" si="647"/>
        <v>1800</v>
      </c>
      <c r="C369" s="9">
        <f t="shared" si="652"/>
        <v>0.33</v>
      </c>
      <c r="D369" s="9">
        <f t="shared" si="658"/>
        <v>0.25</v>
      </c>
      <c r="E369" s="9">
        <f t="shared" si="659"/>
        <v>1.94</v>
      </c>
      <c r="F369" s="9">
        <f t="shared" si="660"/>
        <v>1.79</v>
      </c>
      <c r="G369" s="9">
        <f t="shared" ref="G369:H369" si="678">G368</f>
        <v>0.34</v>
      </c>
      <c r="H369" s="9">
        <f t="shared" si="678"/>
        <v>0.28999999999999998</v>
      </c>
      <c r="I369" s="9">
        <v>1.4999999999999999E-2</v>
      </c>
      <c r="J369" s="9">
        <f t="shared" si="665"/>
        <v>0.01</v>
      </c>
      <c r="K369" s="9" t="str">
        <f t="shared" si="661"/>
        <v>1/100</v>
      </c>
      <c r="L369" s="9" t="str">
        <f t="shared" ref="L369:N369" si="679">L368</f>
        <v>U60</v>
      </c>
      <c r="M369" s="9">
        <f t="shared" si="679"/>
        <v>0.14000000000000001</v>
      </c>
      <c r="N369" s="9">
        <f t="shared" si="679"/>
        <v>0.17</v>
      </c>
      <c r="O369" s="9">
        <f t="shared" si="648"/>
        <v>0.25999999999999995</v>
      </c>
      <c r="P369" s="9">
        <f t="shared" si="667"/>
        <v>0.6</v>
      </c>
      <c r="Q369" s="9">
        <f t="shared" si="662"/>
        <v>1687.1</v>
      </c>
      <c r="R369" s="9">
        <f t="shared" si="649"/>
        <v>1686.8</v>
      </c>
      <c r="S369" s="9">
        <f t="shared" si="663"/>
        <v>1686.7</v>
      </c>
      <c r="T369" s="14">
        <f t="shared" si="650"/>
        <v>1686.99</v>
      </c>
      <c r="U369" s="9"/>
      <c r="W369" s="23">
        <f t="shared" si="654"/>
        <v>1800</v>
      </c>
      <c r="X369">
        <f t="shared" si="651"/>
        <v>1687.3</v>
      </c>
      <c r="Y369" s="3">
        <f t="shared" si="655"/>
        <v>1686.99</v>
      </c>
      <c r="Z369">
        <f t="shared" si="656"/>
        <v>1686.7</v>
      </c>
      <c r="AA369">
        <f t="shared" si="657"/>
        <v>1687.1</v>
      </c>
    </row>
    <row r="370" spans="1:27">
      <c r="A370" s="12"/>
      <c r="B370" s="10">
        <f t="shared" si="647"/>
        <v>2000</v>
      </c>
      <c r="C370" s="9">
        <f t="shared" si="652"/>
        <v>0.33</v>
      </c>
      <c r="D370" s="9">
        <f t="shared" si="658"/>
        <v>0.25</v>
      </c>
      <c r="E370" s="9">
        <f t="shared" si="659"/>
        <v>1.94</v>
      </c>
      <c r="F370" s="9">
        <f t="shared" si="660"/>
        <v>1.79</v>
      </c>
      <c r="G370" s="9">
        <f t="shared" ref="G370:H370" si="680">G369</f>
        <v>0.34</v>
      </c>
      <c r="H370" s="9">
        <f t="shared" si="680"/>
        <v>0.28999999999999998</v>
      </c>
      <c r="I370" s="9">
        <v>1.4999999999999999E-2</v>
      </c>
      <c r="J370" s="9">
        <f t="shared" si="665"/>
        <v>0.01</v>
      </c>
      <c r="K370" s="9" t="str">
        <f t="shared" si="661"/>
        <v>1/100</v>
      </c>
      <c r="L370" s="9" t="str">
        <f t="shared" ref="L370:N370" si="681">L369</f>
        <v>U60</v>
      </c>
      <c r="M370" s="9">
        <f t="shared" si="681"/>
        <v>0.14000000000000001</v>
      </c>
      <c r="N370" s="9">
        <f t="shared" si="681"/>
        <v>0.17</v>
      </c>
      <c r="O370" s="9">
        <f t="shared" si="648"/>
        <v>0.25999999999999995</v>
      </c>
      <c r="P370" s="9">
        <f t="shared" si="667"/>
        <v>0.6</v>
      </c>
      <c r="Q370" s="9">
        <f t="shared" si="662"/>
        <v>1684.3</v>
      </c>
      <c r="R370" s="9">
        <f t="shared" si="649"/>
        <v>1684</v>
      </c>
      <c r="S370" s="9">
        <f t="shared" si="663"/>
        <v>1683.9</v>
      </c>
      <c r="T370" s="14">
        <f t="shared" si="650"/>
        <v>1684.19</v>
      </c>
      <c r="U370" s="9"/>
      <c r="W370" s="23">
        <f t="shared" si="654"/>
        <v>2000</v>
      </c>
      <c r="X370">
        <f t="shared" si="651"/>
        <v>1684.5</v>
      </c>
      <c r="Y370" s="3">
        <f t="shared" si="655"/>
        <v>1684.19</v>
      </c>
      <c r="Z370">
        <f t="shared" si="656"/>
        <v>1683.9</v>
      </c>
      <c r="AA370">
        <f t="shared" si="657"/>
        <v>1684.3</v>
      </c>
    </row>
    <row r="371" spans="1:27">
      <c r="A371" s="9"/>
      <c r="B371" s="10">
        <f t="shared" si="647"/>
        <v>2200</v>
      </c>
      <c r="C371" s="9">
        <f t="shared" si="652"/>
        <v>0.33</v>
      </c>
      <c r="D371" s="9">
        <f t="shared" si="658"/>
        <v>0.25</v>
      </c>
      <c r="E371" s="9">
        <f t="shared" si="659"/>
        <v>1.94</v>
      </c>
      <c r="F371" s="9">
        <f t="shared" si="660"/>
        <v>1.79</v>
      </c>
      <c r="G371" s="9">
        <f t="shared" ref="G371:H371" si="682">G370</f>
        <v>0.34</v>
      </c>
      <c r="H371" s="9">
        <f t="shared" si="682"/>
        <v>0.28999999999999998</v>
      </c>
      <c r="I371" s="9">
        <v>1.4999999999999999E-2</v>
      </c>
      <c r="J371" s="9">
        <f t="shared" si="665"/>
        <v>0.01</v>
      </c>
      <c r="K371" s="9" t="str">
        <f t="shared" si="661"/>
        <v>1/100</v>
      </c>
      <c r="L371" s="9" t="str">
        <f t="shared" ref="L371:N371" si="683">L370</f>
        <v>U60</v>
      </c>
      <c r="M371" s="9">
        <f t="shared" si="683"/>
        <v>0.14000000000000001</v>
      </c>
      <c r="N371" s="9">
        <f t="shared" si="683"/>
        <v>0.17</v>
      </c>
      <c r="O371" s="9">
        <f t="shared" si="648"/>
        <v>0.25999999999999995</v>
      </c>
      <c r="P371" s="9">
        <f t="shared" si="667"/>
        <v>0.6</v>
      </c>
      <c r="Q371" s="9">
        <f t="shared" si="662"/>
        <v>1681.5</v>
      </c>
      <c r="R371" s="9">
        <f t="shared" si="649"/>
        <v>1681.2</v>
      </c>
      <c r="S371" s="9">
        <f t="shared" si="663"/>
        <v>1681.1000000000001</v>
      </c>
      <c r="T371" s="14">
        <f t="shared" si="650"/>
        <v>1681.39</v>
      </c>
      <c r="U371" s="9"/>
      <c r="W371" s="23">
        <f t="shared" si="654"/>
        <v>2200</v>
      </c>
      <c r="X371">
        <f t="shared" si="651"/>
        <v>1681.7</v>
      </c>
      <c r="Y371" s="3">
        <f t="shared" si="655"/>
        <v>1681.39</v>
      </c>
      <c r="Z371">
        <f t="shared" si="656"/>
        <v>1681.1000000000001</v>
      </c>
      <c r="AA371">
        <f t="shared" si="657"/>
        <v>1681.5</v>
      </c>
    </row>
    <row r="372" spans="1:27">
      <c r="A372" s="9"/>
      <c r="B372" s="10">
        <f t="shared" si="647"/>
        <v>2400</v>
      </c>
      <c r="C372" s="9">
        <f t="shared" si="652"/>
        <v>0.33</v>
      </c>
      <c r="D372" s="9">
        <f t="shared" si="658"/>
        <v>0.25</v>
      </c>
      <c r="E372" s="9">
        <f t="shared" si="659"/>
        <v>1.94</v>
      </c>
      <c r="F372" s="9">
        <f t="shared" si="660"/>
        <v>1.79</v>
      </c>
      <c r="G372" s="9">
        <f t="shared" ref="G372:H372" si="684">G371</f>
        <v>0.34</v>
      </c>
      <c r="H372" s="9">
        <f t="shared" si="684"/>
        <v>0.28999999999999998</v>
      </c>
      <c r="I372" s="9">
        <v>1.4999999999999999E-2</v>
      </c>
      <c r="J372" s="9">
        <f t="shared" si="665"/>
        <v>0.01</v>
      </c>
      <c r="K372" s="9" t="str">
        <f t="shared" si="661"/>
        <v>1/100</v>
      </c>
      <c r="L372" s="9" t="str">
        <f t="shared" ref="L372:N372" si="685">L371</f>
        <v>U60</v>
      </c>
      <c r="M372" s="9">
        <f t="shared" si="685"/>
        <v>0.14000000000000001</v>
      </c>
      <c r="N372" s="9">
        <f t="shared" si="685"/>
        <v>0.17</v>
      </c>
      <c r="O372" s="9">
        <f t="shared" si="648"/>
        <v>0.25999999999999995</v>
      </c>
      <c r="P372" s="9">
        <f t="shared" si="667"/>
        <v>0.6</v>
      </c>
      <c r="Q372" s="9">
        <f t="shared" si="662"/>
        <v>1678.85</v>
      </c>
      <c r="R372" s="9">
        <f t="shared" si="649"/>
        <v>1678.55</v>
      </c>
      <c r="S372" s="9">
        <f t="shared" si="663"/>
        <v>1678.45</v>
      </c>
      <c r="T372" s="14">
        <f t="shared" si="650"/>
        <v>1678.74</v>
      </c>
      <c r="U372" s="9"/>
      <c r="W372" s="23">
        <f t="shared" si="654"/>
        <v>2400</v>
      </c>
      <c r="X372">
        <f t="shared" si="651"/>
        <v>1679.05</v>
      </c>
      <c r="Y372" s="3">
        <f t="shared" si="655"/>
        <v>1678.74</v>
      </c>
      <c r="Z372">
        <f t="shared" si="656"/>
        <v>1678.45</v>
      </c>
      <c r="AA372">
        <f t="shared" si="657"/>
        <v>1678.85</v>
      </c>
    </row>
    <row r="373" spans="1:27">
      <c r="A373" s="9"/>
      <c r="B373" s="10">
        <f t="shared" si="647"/>
        <v>2600</v>
      </c>
      <c r="C373" s="9">
        <f t="shared" si="652"/>
        <v>0.33</v>
      </c>
      <c r="D373" s="9">
        <f t="shared" si="658"/>
        <v>0.25</v>
      </c>
      <c r="E373" s="9">
        <f t="shared" si="659"/>
        <v>1.94</v>
      </c>
      <c r="F373" s="9">
        <f t="shared" si="660"/>
        <v>1.79</v>
      </c>
      <c r="G373" s="9">
        <f t="shared" ref="G373:H373" si="686">G372</f>
        <v>0.34</v>
      </c>
      <c r="H373" s="9">
        <f t="shared" si="686"/>
        <v>0.28999999999999998</v>
      </c>
      <c r="I373" s="9">
        <v>1.4999999999999999E-2</v>
      </c>
      <c r="J373" s="9">
        <f t="shared" si="665"/>
        <v>0.01</v>
      </c>
      <c r="K373" s="9" t="str">
        <f t="shared" si="661"/>
        <v>1/100</v>
      </c>
      <c r="L373" s="9" t="str">
        <f t="shared" ref="L373:N373" si="687">L372</f>
        <v>U60</v>
      </c>
      <c r="M373" s="9">
        <f t="shared" si="687"/>
        <v>0.14000000000000001</v>
      </c>
      <c r="N373" s="9">
        <f t="shared" si="687"/>
        <v>0.17</v>
      </c>
      <c r="O373" s="9">
        <f t="shared" si="648"/>
        <v>0.25999999999999995</v>
      </c>
      <c r="P373" s="9">
        <f t="shared" si="667"/>
        <v>0.6</v>
      </c>
      <c r="Q373" s="9">
        <f t="shared" si="662"/>
        <v>1676.26</v>
      </c>
      <c r="R373" s="9">
        <f t="shared" si="649"/>
        <v>1675.96</v>
      </c>
      <c r="S373" s="9">
        <f t="shared" si="663"/>
        <v>1675.8600000000001</v>
      </c>
      <c r="T373" s="14">
        <f t="shared" si="650"/>
        <v>1676.15</v>
      </c>
      <c r="U373" s="9"/>
      <c r="W373" s="23">
        <f t="shared" si="654"/>
        <v>2600</v>
      </c>
      <c r="X373">
        <f t="shared" si="651"/>
        <v>1676.46</v>
      </c>
      <c r="Y373" s="3">
        <f t="shared" si="655"/>
        <v>1676.15</v>
      </c>
      <c r="Z373">
        <f t="shared" si="656"/>
        <v>1675.8600000000001</v>
      </c>
      <c r="AA373">
        <f t="shared" si="657"/>
        <v>1676.26</v>
      </c>
    </row>
    <row r="374" spans="1:27">
      <c r="A374" s="9"/>
      <c r="B374" s="10">
        <v>2800</v>
      </c>
      <c r="C374" s="9">
        <f t="shared" si="652"/>
        <v>0.17</v>
      </c>
      <c r="D374" s="9">
        <v>0.13</v>
      </c>
      <c r="E374" s="9">
        <f t="shared" si="659"/>
        <v>1.7</v>
      </c>
      <c r="F374" s="9">
        <f t="shared" si="660"/>
        <v>1.44</v>
      </c>
      <c r="G374" s="9">
        <v>0.23</v>
      </c>
      <c r="H374" s="9">
        <v>0.2</v>
      </c>
      <c r="I374" s="9">
        <v>1.4999999999999999E-2</v>
      </c>
      <c r="J374" s="9">
        <f t="shared" si="665"/>
        <v>0.01</v>
      </c>
      <c r="K374" s="9" t="str">
        <f t="shared" si="661"/>
        <v>1/100</v>
      </c>
      <c r="L374" s="9" t="str">
        <f t="shared" ref="L374" si="688">L373</f>
        <v>U60</v>
      </c>
      <c r="M374" s="9">
        <v>0.09</v>
      </c>
      <c r="N374" s="9">
        <v>0.1</v>
      </c>
      <c r="O374" s="9">
        <f t="shared" si="648"/>
        <v>0.37</v>
      </c>
      <c r="P374" s="9">
        <f t="shared" si="667"/>
        <v>0.6</v>
      </c>
      <c r="Q374" s="9">
        <f t="shared" si="662"/>
        <v>1674.9199999999998</v>
      </c>
      <c r="R374" s="9">
        <f t="shared" si="649"/>
        <v>1674.62</v>
      </c>
      <c r="S374" s="9">
        <f t="shared" si="663"/>
        <v>1674.52</v>
      </c>
      <c r="T374" s="14">
        <f t="shared" si="650"/>
        <v>1674.72</v>
      </c>
      <c r="U374" s="9"/>
      <c r="W374" s="23">
        <f t="shared" si="654"/>
        <v>2800</v>
      </c>
      <c r="X374">
        <f t="shared" si="651"/>
        <v>1675.12</v>
      </c>
      <c r="Y374" s="3">
        <f t="shared" si="655"/>
        <v>1674.72</v>
      </c>
      <c r="Z374">
        <f t="shared" si="656"/>
        <v>1674.52</v>
      </c>
      <c r="AA374">
        <f t="shared" si="657"/>
        <v>1674.9199999999998</v>
      </c>
    </row>
    <row r="375" spans="1:27">
      <c r="A375" s="16"/>
      <c r="B375" s="10">
        <v>3000</v>
      </c>
      <c r="C375" s="9">
        <f t="shared" si="652"/>
        <v>0.17</v>
      </c>
      <c r="D375" s="9">
        <f>D374</f>
        <v>0.13</v>
      </c>
      <c r="E375" s="9">
        <f>ROUND(C375/N375,2)</f>
        <v>1.7</v>
      </c>
      <c r="F375" s="9">
        <f>ROUND(D375/M375,2)</f>
        <v>1.44</v>
      </c>
      <c r="G375" s="9">
        <f>G374</f>
        <v>0.23</v>
      </c>
      <c r="H375" s="9">
        <f>H374</f>
        <v>0.2</v>
      </c>
      <c r="I375" s="9">
        <v>1.4999999999999999E-2</v>
      </c>
      <c r="J375" s="9">
        <v>3.5000000000000001E-3</v>
      </c>
      <c r="K375" s="9" t="str">
        <f>"1/"&amp;ROUND(1/J375,0)</f>
        <v>1/286</v>
      </c>
      <c r="L375" s="9" t="str">
        <f t="shared" ref="L375:N376" si="689">L374</f>
        <v>U60</v>
      </c>
      <c r="M375" s="9">
        <f t="shared" si="689"/>
        <v>0.09</v>
      </c>
      <c r="N375" s="9">
        <f t="shared" si="689"/>
        <v>0.1</v>
      </c>
      <c r="O375" s="9">
        <f t="shared" si="648"/>
        <v>0.37</v>
      </c>
      <c r="P375" s="9">
        <f>P374</f>
        <v>0.6</v>
      </c>
      <c r="Q375" s="9">
        <v>1674.54</v>
      </c>
      <c r="R375" s="9"/>
      <c r="S375" s="9">
        <f>Q375-0.5</f>
        <v>1674.04</v>
      </c>
      <c r="T375" s="14">
        <f t="shared" si="650"/>
        <v>1674.24</v>
      </c>
      <c r="U375" s="9"/>
      <c r="W375" s="23">
        <f t="shared" si="654"/>
        <v>3000</v>
      </c>
      <c r="X375">
        <f t="shared" si="651"/>
        <v>1674.6399999999999</v>
      </c>
      <c r="Y375" s="3">
        <f t="shared" si="655"/>
        <v>1674.24</v>
      </c>
      <c r="Z375">
        <f t="shared" si="656"/>
        <v>1674.04</v>
      </c>
      <c r="AA375">
        <f t="shared" si="657"/>
        <v>1674.54</v>
      </c>
    </row>
    <row r="376" spans="1:27">
      <c r="A376" s="16"/>
      <c r="B376" s="10">
        <v>3200</v>
      </c>
      <c r="C376" s="9">
        <f t="shared" si="652"/>
        <v>0.17</v>
      </c>
      <c r="D376" s="9">
        <f t="shared" ref="D376:D386" si="690">D375</f>
        <v>0.13</v>
      </c>
      <c r="E376" s="9">
        <f t="shared" ref="E376:E386" si="691">ROUND(C376/N376,2)</f>
        <v>1.7</v>
      </c>
      <c r="F376" s="9">
        <f t="shared" ref="F376:F386" si="692">ROUND(D376/M376,2)</f>
        <v>1.44</v>
      </c>
      <c r="G376" s="9">
        <f>G375</f>
        <v>0.23</v>
      </c>
      <c r="H376" s="9">
        <f>H375</f>
        <v>0.2</v>
      </c>
      <c r="I376" s="9">
        <v>1.4999999999999999E-2</v>
      </c>
      <c r="J376" s="9">
        <v>3.5000000000000001E-3</v>
      </c>
      <c r="K376" s="9" t="str">
        <f t="shared" ref="K376:K386" si="693">"1/"&amp;ROUND(1/J376,0)</f>
        <v>1/286</v>
      </c>
      <c r="L376" s="9" t="str">
        <f t="shared" si="689"/>
        <v>U60</v>
      </c>
      <c r="M376" s="9">
        <f t="shared" si="689"/>
        <v>0.09</v>
      </c>
      <c r="N376" s="9">
        <f t="shared" si="689"/>
        <v>0.1</v>
      </c>
      <c r="O376" s="9">
        <f t="shared" si="648"/>
        <v>0.37</v>
      </c>
      <c r="P376" s="9">
        <f>P375</f>
        <v>0.6</v>
      </c>
      <c r="Q376" s="9">
        <v>1673.51</v>
      </c>
      <c r="R376" s="9"/>
      <c r="S376" s="9">
        <f t="shared" ref="S376:S386" si="694">Q376-0.5</f>
        <v>1673.01</v>
      </c>
      <c r="T376" s="14">
        <f t="shared" ref="T376:T386" si="695">S376+H376</f>
        <v>1673.21</v>
      </c>
      <c r="U376" s="9"/>
      <c r="W376" s="23">
        <f t="shared" si="654"/>
        <v>3200</v>
      </c>
      <c r="X376">
        <f t="shared" si="651"/>
        <v>1673.61</v>
      </c>
      <c r="Y376" s="3">
        <f t="shared" si="655"/>
        <v>1673.21</v>
      </c>
      <c r="Z376">
        <f t="shared" si="656"/>
        <v>1673.01</v>
      </c>
      <c r="AA376">
        <f t="shared" si="657"/>
        <v>1673.51</v>
      </c>
    </row>
    <row r="377" spans="1:27">
      <c r="A377" s="16"/>
      <c r="B377" s="10">
        <v>3400</v>
      </c>
      <c r="C377" s="9">
        <f t="shared" si="652"/>
        <v>0.17</v>
      </c>
      <c r="D377" s="9">
        <f t="shared" si="690"/>
        <v>0.13</v>
      </c>
      <c r="E377" s="9">
        <f t="shared" si="691"/>
        <v>1.7</v>
      </c>
      <c r="F377" s="9">
        <f t="shared" si="692"/>
        <v>1.44</v>
      </c>
      <c r="G377" s="9">
        <f t="shared" ref="G377:H377" si="696">G376</f>
        <v>0.23</v>
      </c>
      <c r="H377" s="9">
        <f t="shared" si="696"/>
        <v>0.2</v>
      </c>
      <c r="I377" s="9">
        <v>1.4999999999999999E-2</v>
      </c>
      <c r="J377" s="9">
        <v>3.5000000000000001E-3</v>
      </c>
      <c r="K377" s="9" t="str">
        <f t="shared" si="693"/>
        <v>1/286</v>
      </c>
      <c r="L377" s="9" t="str">
        <f t="shared" ref="L377:N377" si="697">L376</f>
        <v>U60</v>
      </c>
      <c r="M377" s="9">
        <f t="shared" si="697"/>
        <v>0.09</v>
      </c>
      <c r="N377" s="9">
        <f t="shared" si="697"/>
        <v>0.1</v>
      </c>
      <c r="O377" s="9">
        <f t="shared" si="648"/>
        <v>0.37</v>
      </c>
      <c r="P377" s="9">
        <f t="shared" ref="P377:P386" si="698">P376</f>
        <v>0.6</v>
      </c>
      <c r="Q377" s="9">
        <v>1672.92</v>
      </c>
      <c r="R377" s="9"/>
      <c r="S377" s="9">
        <f t="shared" si="694"/>
        <v>1672.42</v>
      </c>
      <c r="T377" s="14">
        <f t="shared" si="695"/>
        <v>1672.6200000000001</v>
      </c>
      <c r="U377" s="9"/>
      <c r="W377" s="23">
        <f t="shared" si="654"/>
        <v>3400</v>
      </c>
      <c r="X377">
        <f t="shared" si="651"/>
        <v>1673.02</v>
      </c>
      <c r="Y377" s="3">
        <f t="shared" si="655"/>
        <v>1672.6200000000001</v>
      </c>
      <c r="Z377">
        <f t="shared" si="656"/>
        <v>1672.42</v>
      </c>
      <c r="AA377">
        <f t="shared" si="657"/>
        <v>1672.92</v>
      </c>
    </row>
    <row r="378" spans="1:27">
      <c r="A378" s="16"/>
      <c r="B378" s="10">
        <v>3600</v>
      </c>
      <c r="C378" s="9">
        <f t="shared" si="652"/>
        <v>0.17</v>
      </c>
      <c r="D378" s="9">
        <f t="shared" si="690"/>
        <v>0.13</v>
      </c>
      <c r="E378" s="9">
        <f t="shared" si="691"/>
        <v>1.7</v>
      </c>
      <c r="F378" s="9">
        <f t="shared" si="692"/>
        <v>1.44</v>
      </c>
      <c r="G378" s="9">
        <f t="shared" ref="G378:H378" si="699">G377</f>
        <v>0.23</v>
      </c>
      <c r="H378" s="9">
        <f t="shared" si="699"/>
        <v>0.2</v>
      </c>
      <c r="I378" s="9">
        <v>1.4999999999999999E-2</v>
      </c>
      <c r="J378" s="9">
        <v>3.5000000000000001E-3</v>
      </c>
      <c r="K378" s="9" t="str">
        <f t="shared" si="693"/>
        <v>1/286</v>
      </c>
      <c r="L378" s="9" t="str">
        <f t="shared" ref="L378:N378" si="700">L377</f>
        <v>U60</v>
      </c>
      <c r="M378" s="9">
        <f t="shared" si="700"/>
        <v>0.09</v>
      </c>
      <c r="N378" s="9">
        <f t="shared" si="700"/>
        <v>0.1</v>
      </c>
      <c r="O378" s="9">
        <f t="shared" si="648"/>
        <v>0.37</v>
      </c>
      <c r="P378" s="9">
        <f t="shared" si="698"/>
        <v>0.6</v>
      </c>
      <c r="Q378" s="9">
        <v>1672.57</v>
      </c>
      <c r="R378" s="9"/>
      <c r="S378" s="9">
        <f t="shared" si="694"/>
        <v>1672.07</v>
      </c>
      <c r="T378" s="14">
        <f t="shared" si="695"/>
        <v>1672.27</v>
      </c>
      <c r="U378" s="9"/>
      <c r="W378" s="23">
        <f t="shared" si="654"/>
        <v>3600</v>
      </c>
      <c r="X378">
        <f t="shared" si="651"/>
        <v>1672.6699999999998</v>
      </c>
      <c r="Y378" s="3">
        <f t="shared" si="655"/>
        <v>1672.27</v>
      </c>
      <c r="Z378">
        <f t="shared" si="656"/>
        <v>1672.07</v>
      </c>
      <c r="AA378">
        <f t="shared" si="657"/>
        <v>1672.57</v>
      </c>
    </row>
    <row r="379" spans="1:27">
      <c r="A379" s="16"/>
      <c r="B379" s="10">
        <v>3800</v>
      </c>
      <c r="C379" s="9">
        <f t="shared" si="652"/>
        <v>0.17</v>
      </c>
      <c r="D379" s="9">
        <f t="shared" si="690"/>
        <v>0.13</v>
      </c>
      <c r="E379" s="9">
        <f t="shared" si="691"/>
        <v>1.7</v>
      </c>
      <c r="F379" s="9">
        <f t="shared" si="692"/>
        <v>1.44</v>
      </c>
      <c r="G379" s="9">
        <f t="shared" ref="G379:H379" si="701">G378</f>
        <v>0.23</v>
      </c>
      <c r="H379" s="9">
        <f t="shared" si="701"/>
        <v>0.2</v>
      </c>
      <c r="I379" s="9">
        <v>1.4999999999999999E-2</v>
      </c>
      <c r="J379" s="9">
        <v>3.5000000000000001E-3</v>
      </c>
      <c r="K379" s="9" t="str">
        <f t="shared" si="693"/>
        <v>1/286</v>
      </c>
      <c r="L379" s="9" t="str">
        <f t="shared" ref="L379:N379" si="702">L378</f>
        <v>U60</v>
      </c>
      <c r="M379" s="9">
        <f t="shared" si="702"/>
        <v>0.09</v>
      </c>
      <c r="N379" s="9">
        <f t="shared" si="702"/>
        <v>0.1</v>
      </c>
      <c r="O379" s="9">
        <f t="shared" si="648"/>
        <v>0.37</v>
      </c>
      <c r="P379" s="9">
        <f t="shared" si="698"/>
        <v>0.6</v>
      </c>
      <c r="Q379" s="9">
        <v>1672.44</v>
      </c>
      <c r="R379" s="9"/>
      <c r="S379" s="9">
        <f t="shared" si="694"/>
        <v>1671.94</v>
      </c>
      <c r="T379" s="14">
        <f t="shared" si="695"/>
        <v>1672.14</v>
      </c>
      <c r="U379" s="9"/>
      <c r="W379" s="23">
        <f t="shared" si="654"/>
        <v>3800</v>
      </c>
      <c r="X379">
        <f t="shared" si="651"/>
        <v>1672.54</v>
      </c>
      <c r="Y379" s="3">
        <f t="shared" si="655"/>
        <v>1672.14</v>
      </c>
      <c r="Z379">
        <f t="shared" si="656"/>
        <v>1671.94</v>
      </c>
      <c r="AA379">
        <f t="shared" si="657"/>
        <v>1672.44</v>
      </c>
    </row>
    <row r="380" spans="1:27">
      <c r="A380" s="16"/>
      <c r="B380" s="10">
        <v>4000</v>
      </c>
      <c r="C380" s="9">
        <f t="shared" si="652"/>
        <v>0.17</v>
      </c>
      <c r="D380" s="9">
        <f t="shared" si="690"/>
        <v>0.13</v>
      </c>
      <c r="E380" s="9">
        <f t="shared" si="691"/>
        <v>1.7</v>
      </c>
      <c r="F380" s="9">
        <f t="shared" si="692"/>
        <v>1.44</v>
      </c>
      <c r="G380" s="9">
        <f t="shared" ref="G380:H380" si="703">G379</f>
        <v>0.23</v>
      </c>
      <c r="H380" s="9">
        <f t="shared" si="703"/>
        <v>0.2</v>
      </c>
      <c r="I380" s="9">
        <v>1.4999999999999999E-2</v>
      </c>
      <c r="J380" s="9">
        <v>3.5000000000000001E-3</v>
      </c>
      <c r="K380" s="9" t="str">
        <f t="shared" si="693"/>
        <v>1/286</v>
      </c>
      <c r="L380" s="9" t="str">
        <f t="shared" ref="L380:N380" si="704">L379</f>
        <v>U60</v>
      </c>
      <c r="M380" s="9">
        <f t="shared" si="704"/>
        <v>0.09</v>
      </c>
      <c r="N380" s="9">
        <f t="shared" si="704"/>
        <v>0.1</v>
      </c>
      <c r="O380" s="9">
        <f t="shared" si="648"/>
        <v>0.37</v>
      </c>
      <c r="P380" s="9">
        <f t="shared" si="698"/>
        <v>0.6</v>
      </c>
      <c r="Q380" s="9">
        <v>1671.26</v>
      </c>
      <c r="R380" s="9"/>
      <c r="S380" s="9">
        <f t="shared" si="694"/>
        <v>1670.76</v>
      </c>
      <c r="T380" s="14">
        <f t="shared" si="695"/>
        <v>1670.96</v>
      </c>
      <c r="U380" s="9"/>
      <c r="W380" s="23">
        <f t="shared" si="654"/>
        <v>4000</v>
      </c>
      <c r="X380">
        <f t="shared" si="651"/>
        <v>1671.36</v>
      </c>
      <c r="Y380" s="3">
        <f t="shared" si="655"/>
        <v>1670.96</v>
      </c>
      <c r="Z380">
        <f t="shared" si="656"/>
        <v>1670.76</v>
      </c>
      <c r="AA380">
        <f t="shared" si="657"/>
        <v>1671.26</v>
      </c>
    </row>
    <row r="381" spans="1:27">
      <c r="A381" s="16"/>
      <c r="B381" s="10">
        <v>4200</v>
      </c>
      <c r="C381" s="9">
        <f t="shared" si="652"/>
        <v>0.17</v>
      </c>
      <c r="D381" s="9">
        <f t="shared" si="690"/>
        <v>0.13</v>
      </c>
      <c r="E381" s="9">
        <f t="shared" si="691"/>
        <v>1.7</v>
      </c>
      <c r="F381" s="9">
        <f t="shared" si="692"/>
        <v>1.44</v>
      </c>
      <c r="G381" s="9">
        <f t="shared" ref="G381:H381" si="705">G380</f>
        <v>0.23</v>
      </c>
      <c r="H381" s="9">
        <f t="shared" si="705"/>
        <v>0.2</v>
      </c>
      <c r="I381" s="9">
        <v>1.4999999999999999E-2</v>
      </c>
      <c r="J381" s="9">
        <v>3.5000000000000001E-3</v>
      </c>
      <c r="K381" s="9" t="str">
        <f t="shared" si="693"/>
        <v>1/286</v>
      </c>
      <c r="L381" s="9" t="str">
        <f t="shared" ref="L381:N381" si="706">L380</f>
        <v>U60</v>
      </c>
      <c r="M381" s="9">
        <f t="shared" si="706"/>
        <v>0.09</v>
      </c>
      <c r="N381" s="9">
        <f t="shared" si="706"/>
        <v>0.1</v>
      </c>
      <c r="O381" s="9">
        <f t="shared" si="648"/>
        <v>0.37</v>
      </c>
      <c r="P381" s="9">
        <f t="shared" si="698"/>
        <v>0.6</v>
      </c>
      <c r="Q381" s="9">
        <v>1670.95</v>
      </c>
      <c r="R381" s="9"/>
      <c r="S381" s="9">
        <f t="shared" si="694"/>
        <v>1670.45</v>
      </c>
      <c r="T381" s="14">
        <f t="shared" si="695"/>
        <v>1670.65</v>
      </c>
      <c r="U381" s="9"/>
      <c r="W381" s="23">
        <f t="shared" si="654"/>
        <v>4200</v>
      </c>
      <c r="X381">
        <f t="shared" si="651"/>
        <v>1671.05</v>
      </c>
      <c r="Y381" s="3">
        <f t="shared" si="655"/>
        <v>1670.65</v>
      </c>
      <c r="Z381">
        <f t="shared" si="656"/>
        <v>1670.45</v>
      </c>
      <c r="AA381">
        <f t="shared" si="657"/>
        <v>1670.95</v>
      </c>
    </row>
    <row r="382" spans="1:27">
      <c r="A382" s="16"/>
      <c r="B382" s="10">
        <v>4400</v>
      </c>
      <c r="C382" s="9">
        <f t="shared" si="652"/>
        <v>0.17</v>
      </c>
      <c r="D382" s="9">
        <f t="shared" si="690"/>
        <v>0.13</v>
      </c>
      <c r="E382" s="9">
        <f t="shared" si="691"/>
        <v>1.7</v>
      </c>
      <c r="F382" s="9">
        <f t="shared" si="692"/>
        <v>1.44</v>
      </c>
      <c r="G382" s="9">
        <f t="shared" ref="G382:H382" si="707">G381</f>
        <v>0.23</v>
      </c>
      <c r="H382" s="9">
        <f t="shared" si="707"/>
        <v>0.2</v>
      </c>
      <c r="I382" s="9">
        <v>1.4999999999999999E-2</v>
      </c>
      <c r="J382" s="9">
        <v>3.5000000000000001E-3</v>
      </c>
      <c r="K382" s="9" t="str">
        <f t="shared" si="693"/>
        <v>1/286</v>
      </c>
      <c r="L382" s="9" t="str">
        <f t="shared" ref="L382:N382" si="708">L381</f>
        <v>U60</v>
      </c>
      <c r="M382" s="9">
        <f t="shared" si="708"/>
        <v>0.09</v>
      </c>
      <c r="N382" s="9">
        <f t="shared" si="708"/>
        <v>0.1</v>
      </c>
      <c r="O382" s="9">
        <f t="shared" si="648"/>
        <v>0.37</v>
      </c>
      <c r="P382" s="9">
        <f t="shared" si="698"/>
        <v>0.6</v>
      </c>
      <c r="Q382" s="9">
        <v>1669.66</v>
      </c>
      <c r="R382" s="9"/>
      <c r="S382" s="9">
        <f t="shared" si="694"/>
        <v>1669.16</v>
      </c>
      <c r="T382" s="14">
        <f t="shared" si="695"/>
        <v>1669.3600000000001</v>
      </c>
      <c r="U382" s="9"/>
      <c r="W382" s="23">
        <f t="shared" si="654"/>
        <v>4400</v>
      </c>
      <c r="X382">
        <f t="shared" si="651"/>
        <v>1669.76</v>
      </c>
      <c r="Y382" s="3">
        <f t="shared" si="655"/>
        <v>1669.3600000000001</v>
      </c>
      <c r="Z382">
        <f t="shared" si="656"/>
        <v>1669.16</v>
      </c>
      <c r="AA382">
        <f t="shared" si="657"/>
        <v>1669.66</v>
      </c>
    </row>
    <row r="383" spans="1:27">
      <c r="A383" s="16"/>
      <c r="B383" s="10">
        <v>4600</v>
      </c>
      <c r="C383" s="9">
        <f t="shared" si="652"/>
        <v>0.17</v>
      </c>
      <c r="D383" s="9">
        <f t="shared" si="690"/>
        <v>0.13</v>
      </c>
      <c r="E383" s="9">
        <f t="shared" si="691"/>
        <v>1.7</v>
      </c>
      <c r="F383" s="9">
        <f t="shared" si="692"/>
        <v>1.44</v>
      </c>
      <c r="G383" s="9">
        <f t="shared" ref="G383:H383" si="709">G382</f>
        <v>0.23</v>
      </c>
      <c r="H383" s="9">
        <f t="shared" si="709"/>
        <v>0.2</v>
      </c>
      <c r="I383" s="9">
        <v>1.4999999999999999E-2</v>
      </c>
      <c r="J383" s="9">
        <v>3.5000000000000001E-3</v>
      </c>
      <c r="K383" s="9" t="str">
        <f t="shared" si="693"/>
        <v>1/286</v>
      </c>
      <c r="L383" s="9" t="str">
        <f t="shared" ref="L383:N383" si="710">L382</f>
        <v>U60</v>
      </c>
      <c r="M383" s="9">
        <f t="shared" si="710"/>
        <v>0.09</v>
      </c>
      <c r="N383" s="9">
        <f t="shared" si="710"/>
        <v>0.1</v>
      </c>
      <c r="O383" s="9">
        <f t="shared" si="648"/>
        <v>0.37</v>
      </c>
      <c r="P383" s="9">
        <f t="shared" si="698"/>
        <v>0.6</v>
      </c>
      <c r="Q383" s="9">
        <v>1669.06</v>
      </c>
      <c r="R383" s="9"/>
      <c r="S383" s="9">
        <f t="shared" si="694"/>
        <v>1668.56</v>
      </c>
      <c r="T383" s="14">
        <f t="shared" si="695"/>
        <v>1668.76</v>
      </c>
      <c r="U383" s="9"/>
      <c r="W383" s="23">
        <f t="shared" si="654"/>
        <v>4600</v>
      </c>
      <c r="X383">
        <f t="shared" si="651"/>
        <v>1669.1599999999999</v>
      </c>
      <c r="Y383" s="3">
        <f t="shared" si="655"/>
        <v>1668.76</v>
      </c>
      <c r="Z383">
        <f t="shared" si="656"/>
        <v>1668.56</v>
      </c>
      <c r="AA383">
        <f t="shared" si="657"/>
        <v>1669.06</v>
      </c>
    </row>
    <row r="384" spans="1:27">
      <c r="A384" s="16"/>
      <c r="B384" s="10">
        <v>4800</v>
      </c>
      <c r="C384" s="9">
        <f t="shared" si="652"/>
        <v>0.17</v>
      </c>
      <c r="D384" s="9">
        <f t="shared" si="690"/>
        <v>0.13</v>
      </c>
      <c r="E384" s="9">
        <f t="shared" si="691"/>
        <v>1.7</v>
      </c>
      <c r="F384" s="9">
        <f t="shared" si="692"/>
        <v>1.44</v>
      </c>
      <c r="G384" s="9">
        <f t="shared" ref="G384:H384" si="711">G383</f>
        <v>0.23</v>
      </c>
      <c r="H384" s="9">
        <f t="shared" si="711"/>
        <v>0.2</v>
      </c>
      <c r="I384" s="9">
        <v>1.4999999999999999E-2</v>
      </c>
      <c r="J384" s="9">
        <v>3.5000000000000001E-3</v>
      </c>
      <c r="K384" s="9" t="str">
        <f t="shared" si="693"/>
        <v>1/286</v>
      </c>
      <c r="L384" s="9" t="str">
        <f t="shared" ref="L384:N384" si="712">L383</f>
        <v>U60</v>
      </c>
      <c r="M384" s="9">
        <f t="shared" si="712"/>
        <v>0.09</v>
      </c>
      <c r="N384" s="9">
        <f t="shared" si="712"/>
        <v>0.1</v>
      </c>
      <c r="O384" s="9">
        <f t="shared" si="648"/>
        <v>0.37</v>
      </c>
      <c r="P384" s="9">
        <f t="shared" si="698"/>
        <v>0.6</v>
      </c>
      <c r="Q384" s="9">
        <v>1667.8700000000001</v>
      </c>
      <c r="R384" s="9"/>
      <c r="S384" s="9">
        <f t="shared" si="694"/>
        <v>1667.3700000000001</v>
      </c>
      <c r="T384" s="14">
        <f t="shared" si="695"/>
        <v>1667.5700000000002</v>
      </c>
      <c r="U384" s="9"/>
      <c r="W384" s="23">
        <f t="shared" si="654"/>
        <v>4800</v>
      </c>
      <c r="X384">
        <f t="shared" si="651"/>
        <v>1667.97</v>
      </c>
      <c r="Y384" s="3">
        <f t="shared" si="655"/>
        <v>1667.5700000000002</v>
      </c>
      <c r="Z384">
        <f t="shared" si="656"/>
        <v>1667.3700000000001</v>
      </c>
      <c r="AA384">
        <f t="shared" si="657"/>
        <v>1667.8700000000001</v>
      </c>
    </row>
    <row r="385" spans="1:27">
      <c r="A385" s="16"/>
      <c r="B385" s="10">
        <v>5000</v>
      </c>
      <c r="C385" s="9">
        <f t="shared" si="652"/>
        <v>0.17</v>
      </c>
      <c r="D385" s="9">
        <f t="shared" si="690"/>
        <v>0.13</v>
      </c>
      <c r="E385" s="9">
        <f t="shared" si="691"/>
        <v>1.7</v>
      </c>
      <c r="F385" s="9">
        <f t="shared" si="692"/>
        <v>1.44</v>
      </c>
      <c r="G385" s="9">
        <f t="shared" ref="G385:H385" si="713">G384</f>
        <v>0.23</v>
      </c>
      <c r="H385" s="9">
        <f t="shared" si="713"/>
        <v>0.2</v>
      </c>
      <c r="I385" s="9">
        <v>1.4999999999999999E-2</v>
      </c>
      <c r="J385" s="9">
        <v>3.5000000000000001E-3</v>
      </c>
      <c r="K385" s="9" t="str">
        <f t="shared" si="693"/>
        <v>1/286</v>
      </c>
      <c r="L385" s="9" t="str">
        <f t="shared" ref="L385:N385" si="714">L384</f>
        <v>U60</v>
      </c>
      <c r="M385" s="9">
        <f t="shared" si="714"/>
        <v>0.09</v>
      </c>
      <c r="N385" s="9">
        <f t="shared" si="714"/>
        <v>0.1</v>
      </c>
      <c r="O385" s="9">
        <f t="shared" si="648"/>
        <v>0.37</v>
      </c>
      <c r="P385" s="9">
        <f t="shared" si="698"/>
        <v>0.6</v>
      </c>
      <c r="Q385" s="9">
        <v>1667.29</v>
      </c>
      <c r="R385" s="9"/>
      <c r="S385" s="9">
        <f t="shared" si="694"/>
        <v>1666.79</v>
      </c>
      <c r="T385" s="14">
        <f t="shared" si="695"/>
        <v>1666.99</v>
      </c>
      <c r="U385" s="9"/>
      <c r="W385" s="23">
        <f t="shared" si="654"/>
        <v>5000</v>
      </c>
      <c r="X385">
        <f t="shared" si="651"/>
        <v>1667.3899999999999</v>
      </c>
      <c r="Y385" s="3">
        <f t="shared" si="655"/>
        <v>1666.99</v>
      </c>
      <c r="Z385">
        <f t="shared" si="656"/>
        <v>1666.79</v>
      </c>
      <c r="AA385">
        <f t="shared" si="657"/>
        <v>1667.29</v>
      </c>
    </row>
    <row r="386" spans="1:27">
      <c r="A386" s="16"/>
      <c r="B386" s="10">
        <v>5020</v>
      </c>
      <c r="C386" s="9">
        <f t="shared" si="652"/>
        <v>0.17</v>
      </c>
      <c r="D386" s="9">
        <f t="shared" si="690"/>
        <v>0.13</v>
      </c>
      <c r="E386" s="9">
        <f t="shared" si="691"/>
        <v>1.7</v>
      </c>
      <c r="F386" s="9">
        <f t="shared" si="692"/>
        <v>1.44</v>
      </c>
      <c r="G386" s="9">
        <f t="shared" ref="G386:H386" si="715">G385</f>
        <v>0.23</v>
      </c>
      <c r="H386" s="9">
        <f t="shared" si="715"/>
        <v>0.2</v>
      </c>
      <c r="I386" s="9">
        <v>1.4999999999999999E-2</v>
      </c>
      <c r="J386" s="9">
        <v>3.5000000000000001E-3</v>
      </c>
      <c r="K386" s="9" t="str">
        <f t="shared" si="693"/>
        <v>1/286</v>
      </c>
      <c r="L386" s="9" t="str">
        <f t="shared" ref="L386:N386" si="716">L385</f>
        <v>U60</v>
      </c>
      <c r="M386" s="9">
        <f t="shared" si="716"/>
        <v>0.09</v>
      </c>
      <c r="N386" s="9">
        <f t="shared" si="716"/>
        <v>0.1</v>
      </c>
      <c r="O386" s="9">
        <f t="shared" si="648"/>
        <v>0.37</v>
      </c>
      <c r="P386" s="9">
        <f t="shared" si="698"/>
        <v>0.6</v>
      </c>
      <c r="Q386" s="9">
        <v>1666.89</v>
      </c>
      <c r="R386" s="9"/>
      <c r="S386" s="9">
        <f t="shared" si="694"/>
        <v>1666.39</v>
      </c>
      <c r="T386" s="14">
        <f t="shared" si="695"/>
        <v>1666.5900000000001</v>
      </c>
      <c r="U386" s="9"/>
      <c r="W386" s="23">
        <f t="shared" si="654"/>
        <v>5020</v>
      </c>
      <c r="X386">
        <f t="shared" si="651"/>
        <v>1666.99</v>
      </c>
      <c r="Y386" s="3">
        <f t="shared" si="655"/>
        <v>1666.5900000000001</v>
      </c>
      <c r="Z386">
        <f t="shared" si="656"/>
        <v>1666.39</v>
      </c>
      <c r="AA386">
        <f t="shared" si="657"/>
        <v>1666.89</v>
      </c>
    </row>
    <row r="387" spans="1:27">
      <c r="A387" s="16"/>
      <c r="B387" s="21"/>
      <c r="C387" s="16">
        <f t="shared" si="652"/>
        <v>0.17</v>
      </c>
      <c r="D387" s="16">
        <f>0.11/0.185*0.217</f>
        <v>0.12902702702702704</v>
      </c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22"/>
      <c r="U387" s="16"/>
    </row>
    <row r="388" spans="1:27">
      <c r="A388" s="16"/>
      <c r="B388" s="21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22"/>
      <c r="U388" s="16"/>
    </row>
    <row r="389" spans="1:27">
      <c r="A389" s="16"/>
      <c r="B389" s="43" t="s">
        <v>336</v>
      </c>
      <c r="C389" s="43" t="s">
        <v>337</v>
      </c>
      <c r="D389" s="43"/>
      <c r="E389" s="43" t="s">
        <v>338</v>
      </c>
      <c r="F389" s="43"/>
      <c r="G389" s="43" t="s">
        <v>339</v>
      </c>
      <c r="H389" s="43"/>
      <c r="I389" s="9" t="s">
        <v>340</v>
      </c>
      <c r="J389" s="9" t="s">
        <v>289</v>
      </c>
      <c r="K389" s="9" t="s">
        <v>863</v>
      </c>
      <c r="L389" s="43" t="s">
        <v>786</v>
      </c>
      <c r="M389" s="43"/>
      <c r="N389" s="43" t="s">
        <v>793</v>
      </c>
      <c r="O389" s="43"/>
      <c r="P389" s="43" t="s">
        <v>794</v>
      </c>
      <c r="Q389" s="43"/>
      <c r="R389" s="9" t="s">
        <v>789</v>
      </c>
      <c r="S389" s="9" t="s">
        <v>790</v>
      </c>
      <c r="T389" s="22"/>
      <c r="U389" s="16"/>
    </row>
    <row r="390" spans="1:27" ht="15.6">
      <c r="A390" s="16"/>
      <c r="B390" s="43"/>
      <c r="C390" s="9" t="s">
        <v>349</v>
      </c>
      <c r="D390" s="9" t="s">
        <v>348</v>
      </c>
      <c r="E390" s="9" t="s">
        <v>351</v>
      </c>
      <c r="F390" s="9" t="s">
        <v>352</v>
      </c>
      <c r="G390" s="9" t="s">
        <v>353</v>
      </c>
      <c r="H390" s="9" t="s">
        <v>354</v>
      </c>
      <c r="I390" s="9" t="s">
        <v>309</v>
      </c>
      <c r="J390" s="9" t="s">
        <v>308</v>
      </c>
      <c r="K390" s="9" t="s">
        <v>864</v>
      </c>
      <c r="L390" s="9" t="s">
        <v>787</v>
      </c>
      <c r="M390" s="9" t="s">
        <v>788</v>
      </c>
      <c r="N390" s="9" t="s">
        <v>798</v>
      </c>
      <c r="O390" s="9" t="s">
        <v>799</v>
      </c>
      <c r="P390" s="9" t="s">
        <v>800</v>
      </c>
      <c r="Q390" s="9" t="s">
        <v>801</v>
      </c>
      <c r="R390" s="9" t="s">
        <v>792</v>
      </c>
      <c r="S390" s="9" t="s">
        <v>791</v>
      </c>
      <c r="T390" s="22"/>
      <c r="U390" s="16"/>
    </row>
    <row r="391" spans="1:27" ht="16.2">
      <c r="A391" s="16"/>
      <c r="B391" s="9" t="s">
        <v>356</v>
      </c>
      <c r="C391" s="9" t="s">
        <v>358</v>
      </c>
      <c r="D391" s="9" t="s">
        <v>358</v>
      </c>
      <c r="E391" s="9" t="s">
        <v>357</v>
      </c>
      <c r="F391" s="9" t="s">
        <v>357</v>
      </c>
      <c r="G391" s="9" t="s">
        <v>307</v>
      </c>
      <c r="H391" s="9" t="s">
        <v>307</v>
      </c>
      <c r="I391" s="9"/>
      <c r="J391" s="9"/>
      <c r="K391" s="9" t="s">
        <v>795</v>
      </c>
      <c r="L391" s="9" t="s">
        <v>796</v>
      </c>
      <c r="M391" s="9" t="s">
        <v>796</v>
      </c>
      <c r="N391" s="9" t="s">
        <v>797</v>
      </c>
      <c r="O391" s="9"/>
      <c r="P391" s="9" t="s">
        <v>797</v>
      </c>
      <c r="Q391" s="9"/>
      <c r="R391" s="9" t="s">
        <v>797</v>
      </c>
      <c r="S391" s="9" t="s">
        <v>797</v>
      </c>
      <c r="T391" s="22"/>
      <c r="U391" s="16"/>
    </row>
    <row r="392" spans="1:27">
      <c r="B392" s="10">
        <f>B360</f>
        <v>0</v>
      </c>
      <c r="C392" s="9">
        <f>C360</f>
        <v>0.33</v>
      </c>
      <c r="D392" s="9">
        <f t="shared" ref="D392:I392" si="717">D360</f>
        <v>0.25</v>
      </c>
      <c r="E392" s="9">
        <f t="shared" si="717"/>
        <v>1.94</v>
      </c>
      <c r="F392" s="9">
        <f t="shared" si="717"/>
        <v>1.79</v>
      </c>
      <c r="G392" s="9">
        <f t="shared" si="717"/>
        <v>0.34</v>
      </c>
      <c r="H392" s="9">
        <f t="shared" si="717"/>
        <v>0.28999999999999998</v>
      </c>
      <c r="I392" s="9">
        <f t="shared" si="717"/>
        <v>1.4999999999999999E-2</v>
      </c>
      <c r="J392" s="9" t="str">
        <f>K360</f>
        <v>1/100</v>
      </c>
      <c r="K392" s="9" t="str">
        <f>L360</f>
        <v>U60</v>
      </c>
      <c r="L392" s="9">
        <f>N360</f>
        <v>0.17</v>
      </c>
      <c r="M392" s="9">
        <f>M360</f>
        <v>0.14000000000000001</v>
      </c>
      <c r="N392" s="9">
        <v>0.94399999999999995</v>
      </c>
      <c r="O392" s="9">
        <v>0.86199999999999999</v>
      </c>
      <c r="P392" s="13">
        <f t="shared" ref="P392" si="718">L392/N392</f>
        <v>0.18008474576271188</v>
      </c>
      <c r="Q392" s="13">
        <f t="shared" ref="Q392" si="719">M392/O392</f>
        <v>0.16241299303944318</v>
      </c>
      <c r="R392" s="9">
        <f>O360</f>
        <v>0.25999999999999995</v>
      </c>
      <c r="S392" s="9">
        <f>P360</f>
        <v>0.6</v>
      </c>
    </row>
    <row r="393" spans="1:27">
      <c r="B393" s="10">
        <f t="shared" ref="B393:I418" si="720">B361</f>
        <v>200</v>
      </c>
      <c r="C393" s="9">
        <f t="shared" si="720"/>
        <v>0.33</v>
      </c>
      <c r="D393" s="9">
        <f t="shared" si="720"/>
        <v>0.25</v>
      </c>
      <c r="E393" s="9">
        <f t="shared" si="720"/>
        <v>1.94</v>
      </c>
      <c r="F393" s="9">
        <f t="shared" si="720"/>
        <v>1.79</v>
      </c>
      <c r="G393" s="9">
        <f t="shared" si="720"/>
        <v>0.34</v>
      </c>
      <c r="H393" s="9">
        <f t="shared" si="720"/>
        <v>0.28999999999999998</v>
      </c>
      <c r="I393" s="9">
        <f t="shared" si="720"/>
        <v>1.4999999999999999E-2</v>
      </c>
      <c r="J393" s="9" t="str">
        <f t="shared" ref="J393:K393" si="721">K361</f>
        <v>1/100</v>
      </c>
      <c r="K393" s="9" t="str">
        <f t="shared" si="721"/>
        <v>U60</v>
      </c>
      <c r="L393" s="9">
        <f t="shared" ref="L393:L418" si="722">N361</f>
        <v>0.17</v>
      </c>
      <c r="M393" s="9">
        <f t="shared" ref="M393:M418" si="723">M361</f>
        <v>0.14000000000000001</v>
      </c>
      <c r="N393" s="9">
        <v>0.94399999999999995</v>
      </c>
      <c r="O393" s="9">
        <v>0.86199999999999999</v>
      </c>
      <c r="P393" s="13">
        <f t="shared" ref="P393:P418" si="724">L393/N393</f>
        <v>0.18008474576271188</v>
      </c>
      <c r="Q393" s="13">
        <f t="shared" ref="Q393:Q418" si="725">M393/O393</f>
        <v>0.16241299303944318</v>
      </c>
      <c r="R393" s="9">
        <f t="shared" ref="R393:S393" si="726">O361</f>
        <v>0.25999999999999995</v>
      </c>
      <c r="S393" s="9">
        <f t="shared" si="726"/>
        <v>0.6</v>
      </c>
    </row>
    <row r="394" spans="1:27">
      <c r="B394" s="10">
        <f t="shared" si="720"/>
        <v>400</v>
      </c>
      <c r="C394" s="9">
        <f t="shared" si="720"/>
        <v>0.33</v>
      </c>
      <c r="D394" s="9">
        <f t="shared" si="720"/>
        <v>0.25</v>
      </c>
      <c r="E394" s="9">
        <f t="shared" si="720"/>
        <v>1.94</v>
      </c>
      <c r="F394" s="9">
        <f t="shared" si="720"/>
        <v>1.79</v>
      </c>
      <c r="G394" s="9">
        <f t="shared" si="720"/>
        <v>0.34</v>
      </c>
      <c r="H394" s="9">
        <f t="shared" si="720"/>
        <v>0.28999999999999998</v>
      </c>
      <c r="I394" s="9">
        <f t="shared" si="720"/>
        <v>1.4999999999999999E-2</v>
      </c>
      <c r="J394" s="9" t="str">
        <f t="shared" ref="J394:K394" si="727">K362</f>
        <v>1/100</v>
      </c>
      <c r="K394" s="9" t="str">
        <f t="shared" si="727"/>
        <v>U60</v>
      </c>
      <c r="L394" s="9">
        <f t="shared" si="722"/>
        <v>0.17</v>
      </c>
      <c r="M394" s="9">
        <f t="shared" si="723"/>
        <v>0.14000000000000001</v>
      </c>
      <c r="N394" s="9">
        <v>0.94399999999999995</v>
      </c>
      <c r="O394" s="9">
        <v>0.86199999999999999</v>
      </c>
      <c r="P394" s="13">
        <f t="shared" si="724"/>
        <v>0.18008474576271188</v>
      </c>
      <c r="Q394" s="13">
        <f t="shared" si="725"/>
        <v>0.16241299303944318</v>
      </c>
      <c r="R394" s="9">
        <f t="shared" ref="R394:S394" si="728">O362</f>
        <v>0.25999999999999995</v>
      </c>
      <c r="S394" s="9">
        <f t="shared" si="728"/>
        <v>0.6</v>
      </c>
    </row>
    <row r="395" spans="1:27">
      <c r="B395" s="10">
        <f t="shared" si="720"/>
        <v>600</v>
      </c>
      <c r="C395" s="9">
        <f t="shared" si="720"/>
        <v>0.33</v>
      </c>
      <c r="D395" s="9">
        <f t="shared" si="720"/>
        <v>0.25</v>
      </c>
      <c r="E395" s="9">
        <f t="shared" si="720"/>
        <v>1.94</v>
      </c>
      <c r="F395" s="9">
        <f t="shared" si="720"/>
        <v>1.79</v>
      </c>
      <c r="G395" s="9">
        <f t="shared" si="720"/>
        <v>0.34</v>
      </c>
      <c r="H395" s="9">
        <f t="shared" si="720"/>
        <v>0.28999999999999998</v>
      </c>
      <c r="I395" s="9">
        <f t="shared" si="720"/>
        <v>1.4999999999999999E-2</v>
      </c>
      <c r="J395" s="9" t="str">
        <f t="shared" ref="J395:K395" si="729">K363</f>
        <v>1/100</v>
      </c>
      <c r="K395" s="9" t="str">
        <f t="shared" si="729"/>
        <v>U60</v>
      </c>
      <c r="L395" s="9">
        <f t="shared" si="722"/>
        <v>0.17</v>
      </c>
      <c r="M395" s="9">
        <f t="shared" si="723"/>
        <v>0.14000000000000001</v>
      </c>
      <c r="N395" s="9">
        <v>0.94399999999999995</v>
      </c>
      <c r="O395" s="9">
        <v>0.86199999999999999</v>
      </c>
      <c r="P395" s="13">
        <f t="shared" si="724"/>
        <v>0.18008474576271188</v>
      </c>
      <c r="Q395" s="13">
        <f t="shared" si="725"/>
        <v>0.16241299303944318</v>
      </c>
      <c r="R395" s="9">
        <f t="shared" ref="R395:S395" si="730">O363</f>
        <v>0.25999999999999995</v>
      </c>
      <c r="S395" s="9">
        <f t="shared" si="730"/>
        <v>0.6</v>
      </c>
    </row>
    <row r="396" spans="1:27">
      <c r="B396" s="10">
        <f t="shared" si="720"/>
        <v>800</v>
      </c>
      <c r="C396" s="9">
        <f t="shared" si="720"/>
        <v>0.33</v>
      </c>
      <c r="D396" s="9">
        <f t="shared" si="720"/>
        <v>0.25</v>
      </c>
      <c r="E396" s="9">
        <f t="shared" si="720"/>
        <v>1.94</v>
      </c>
      <c r="F396" s="9">
        <f t="shared" si="720"/>
        <v>1.79</v>
      </c>
      <c r="G396" s="9">
        <f t="shared" si="720"/>
        <v>0.34</v>
      </c>
      <c r="H396" s="9">
        <f t="shared" si="720"/>
        <v>0.28999999999999998</v>
      </c>
      <c r="I396" s="9">
        <f t="shared" si="720"/>
        <v>1.4999999999999999E-2</v>
      </c>
      <c r="J396" s="9" t="str">
        <f t="shared" ref="J396:K396" si="731">K364</f>
        <v>1/100</v>
      </c>
      <c r="K396" s="9" t="str">
        <f t="shared" si="731"/>
        <v>U60</v>
      </c>
      <c r="L396" s="9">
        <f t="shared" si="722"/>
        <v>0.17</v>
      </c>
      <c r="M396" s="9">
        <f t="shared" si="723"/>
        <v>0.14000000000000001</v>
      </c>
      <c r="N396" s="9">
        <v>0.94399999999999995</v>
      </c>
      <c r="O396" s="9">
        <v>0.86199999999999999</v>
      </c>
      <c r="P396" s="13">
        <f t="shared" si="724"/>
        <v>0.18008474576271188</v>
      </c>
      <c r="Q396" s="13">
        <f t="shared" si="725"/>
        <v>0.16241299303944318</v>
      </c>
      <c r="R396" s="9">
        <f t="shared" ref="R396:S396" si="732">O364</f>
        <v>0.25999999999999995</v>
      </c>
      <c r="S396" s="9">
        <f t="shared" si="732"/>
        <v>0.6</v>
      </c>
    </row>
    <row r="397" spans="1:27">
      <c r="B397" s="10">
        <f t="shared" si="720"/>
        <v>1000</v>
      </c>
      <c r="C397" s="9">
        <f t="shared" si="720"/>
        <v>0.33</v>
      </c>
      <c r="D397" s="9">
        <f t="shared" si="720"/>
        <v>0.25</v>
      </c>
      <c r="E397" s="9">
        <f t="shared" si="720"/>
        <v>1.94</v>
      </c>
      <c r="F397" s="9">
        <f t="shared" si="720"/>
        <v>1.79</v>
      </c>
      <c r="G397" s="9">
        <f t="shared" si="720"/>
        <v>0.34</v>
      </c>
      <c r="H397" s="9">
        <f t="shared" si="720"/>
        <v>0.28999999999999998</v>
      </c>
      <c r="I397" s="9">
        <f t="shared" si="720"/>
        <v>1.4999999999999999E-2</v>
      </c>
      <c r="J397" s="9" t="str">
        <f t="shared" ref="J397:K397" si="733">K365</f>
        <v>1/100</v>
      </c>
      <c r="K397" s="9" t="str">
        <f t="shared" si="733"/>
        <v>U60</v>
      </c>
      <c r="L397" s="9">
        <f t="shared" si="722"/>
        <v>0.17</v>
      </c>
      <c r="M397" s="9">
        <f t="shared" si="723"/>
        <v>0.14000000000000001</v>
      </c>
      <c r="N397" s="9">
        <v>0.94399999999999995</v>
      </c>
      <c r="O397" s="9">
        <v>0.86199999999999999</v>
      </c>
      <c r="P397" s="13">
        <f t="shared" si="724"/>
        <v>0.18008474576271188</v>
      </c>
      <c r="Q397" s="13">
        <f t="shared" si="725"/>
        <v>0.16241299303944318</v>
      </c>
      <c r="R397" s="9">
        <f t="shared" ref="R397:S397" si="734">O365</f>
        <v>0.25999999999999995</v>
      </c>
      <c r="S397" s="9">
        <f t="shared" si="734"/>
        <v>0.6</v>
      </c>
    </row>
    <row r="398" spans="1:27">
      <c r="B398" s="10">
        <f t="shared" si="720"/>
        <v>1200</v>
      </c>
      <c r="C398" s="9">
        <f t="shared" si="720"/>
        <v>0.33</v>
      </c>
      <c r="D398" s="9">
        <f t="shared" si="720"/>
        <v>0.25</v>
      </c>
      <c r="E398" s="9">
        <f t="shared" si="720"/>
        <v>1.94</v>
      </c>
      <c r="F398" s="9">
        <f t="shared" si="720"/>
        <v>1.79</v>
      </c>
      <c r="G398" s="9">
        <f t="shared" si="720"/>
        <v>0.34</v>
      </c>
      <c r="H398" s="9">
        <f t="shared" si="720"/>
        <v>0.28999999999999998</v>
      </c>
      <c r="I398" s="9">
        <f t="shared" si="720"/>
        <v>1.4999999999999999E-2</v>
      </c>
      <c r="J398" s="9" t="str">
        <f t="shared" ref="J398:K398" si="735">K366</f>
        <v>1/100</v>
      </c>
      <c r="K398" s="9" t="str">
        <f t="shared" si="735"/>
        <v>U60</v>
      </c>
      <c r="L398" s="9">
        <f t="shared" si="722"/>
        <v>0.17</v>
      </c>
      <c r="M398" s="9">
        <f t="shared" si="723"/>
        <v>0.14000000000000001</v>
      </c>
      <c r="N398" s="9">
        <v>0.94399999999999995</v>
      </c>
      <c r="O398" s="9">
        <v>0.86199999999999999</v>
      </c>
      <c r="P398" s="13">
        <f t="shared" si="724"/>
        <v>0.18008474576271188</v>
      </c>
      <c r="Q398" s="13">
        <f t="shared" si="725"/>
        <v>0.16241299303944318</v>
      </c>
      <c r="R398" s="9">
        <f t="shared" ref="R398:S398" si="736">O366</f>
        <v>0.25999999999999995</v>
      </c>
      <c r="S398" s="9">
        <f t="shared" si="736"/>
        <v>0.6</v>
      </c>
    </row>
    <row r="399" spans="1:27">
      <c r="B399" s="10">
        <f t="shared" si="720"/>
        <v>1400</v>
      </c>
      <c r="C399" s="9">
        <f t="shared" si="720"/>
        <v>0.33</v>
      </c>
      <c r="D399" s="9">
        <f t="shared" si="720"/>
        <v>0.25</v>
      </c>
      <c r="E399" s="9">
        <f t="shared" si="720"/>
        <v>1.94</v>
      </c>
      <c r="F399" s="9">
        <f t="shared" si="720"/>
        <v>1.79</v>
      </c>
      <c r="G399" s="9">
        <f t="shared" si="720"/>
        <v>0.34</v>
      </c>
      <c r="H399" s="9">
        <f t="shared" si="720"/>
        <v>0.28999999999999998</v>
      </c>
      <c r="I399" s="9">
        <f t="shared" si="720"/>
        <v>1.4999999999999999E-2</v>
      </c>
      <c r="J399" s="9" t="str">
        <f t="shared" ref="J399:K399" si="737">K367</f>
        <v>1/100</v>
      </c>
      <c r="K399" s="9" t="str">
        <f t="shared" si="737"/>
        <v>U60</v>
      </c>
      <c r="L399" s="9">
        <f t="shared" si="722"/>
        <v>0.17</v>
      </c>
      <c r="M399" s="9">
        <f t="shared" si="723"/>
        <v>0.14000000000000001</v>
      </c>
      <c r="N399" s="9">
        <v>0.94399999999999995</v>
      </c>
      <c r="O399" s="9">
        <v>0.86199999999999999</v>
      </c>
      <c r="P399" s="13">
        <f t="shared" si="724"/>
        <v>0.18008474576271188</v>
      </c>
      <c r="Q399" s="13">
        <f t="shared" si="725"/>
        <v>0.16241299303944318</v>
      </c>
      <c r="R399" s="9">
        <f t="shared" ref="R399:S399" si="738">O367</f>
        <v>0.25999999999999995</v>
      </c>
      <c r="S399" s="9">
        <f t="shared" si="738"/>
        <v>0.6</v>
      </c>
    </row>
    <row r="400" spans="1:27">
      <c r="B400" s="10">
        <f t="shared" si="720"/>
        <v>1600</v>
      </c>
      <c r="C400" s="9">
        <f t="shared" si="720"/>
        <v>0.33</v>
      </c>
      <c r="D400" s="9">
        <f t="shared" si="720"/>
        <v>0.25</v>
      </c>
      <c r="E400" s="9">
        <f t="shared" si="720"/>
        <v>1.94</v>
      </c>
      <c r="F400" s="9">
        <f t="shared" si="720"/>
        <v>1.79</v>
      </c>
      <c r="G400" s="9">
        <f t="shared" si="720"/>
        <v>0.34</v>
      </c>
      <c r="H400" s="9">
        <f t="shared" si="720"/>
        <v>0.28999999999999998</v>
      </c>
      <c r="I400" s="9">
        <f t="shared" si="720"/>
        <v>1.4999999999999999E-2</v>
      </c>
      <c r="J400" s="9" t="str">
        <f t="shared" ref="J400:K400" si="739">K368</f>
        <v>1/100</v>
      </c>
      <c r="K400" s="9" t="str">
        <f t="shared" si="739"/>
        <v>U60</v>
      </c>
      <c r="L400" s="9">
        <f t="shared" si="722"/>
        <v>0.17</v>
      </c>
      <c r="M400" s="9">
        <f t="shared" si="723"/>
        <v>0.14000000000000001</v>
      </c>
      <c r="N400" s="9">
        <v>0.94399999999999995</v>
      </c>
      <c r="O400" s="9">
        <v>0.86199999999999999</v>
      </c>
      <c r="P400" s="13">
        <f t="shared" si="724"/>
        <v>0.18008474576271188</v>
      </c>
      <c r="Q400" s="13">
        <f t="shared" si="725"/>
        <v>0.16241299303944318</v>
      </c>
      <c r="R400" s="9">
        <f t="shared" ref="R400:S400" si="740">O368</f>
        <v>0.25999999999999995</v>
      </c>
      <c r="S400" s="9">
        <f t="shared" si="740"/>
        <v>0.6</v>
      </c>
    </row>
    <row r="401" spans="2:19">
      <c r="B401" s="10">
        <f t="shared" si="720"/>
        <v>1800</v>
      </c>
      <c r="C401" s="9">
        <f t="shared" si="720"/>
        <v>0.33</v>
      </c>
      <c r="D401" s="9">
        <f t="shared" si="720"/>
        <v>0.25</v>
      </c>
      <c r="E401" s="9">
        <f t="shared" si="720"/>
        <v>1.94</v>
      </c>
      <c r="F401" s="9">
        <f t="shared" si="720"/>
        <v>1.79</v>
      </c>
      <c r="G401" s="9">
        <f t="shared" si="720"/>
        <v>0.34</v>
      </c>
      <c r="H401" s="9">
        <f t="shared" si="720"/>
        <v>0.28999999999999998</v>
      </c>
      <c r="I401" s="9">
        <f t="shared" si="720"/>
        <v>1.4999999999999999E-2</v>
      </c>
      <c r="J401" s="9" t="str">
        <f t="shared" ref="J401:K401" si="741">K369</f>
        <v>1/100</v>
      </c>
      <c r="K401" s="9" t="str">
        <f t="shared" si="741"/>
        <v>U60</v>
      </c>
      <c r="L401" s="9">
        <f t="shared" si="722"/>
        <v>0.17</v>
      </c>
      <c r="M401" s="9">
        <f t="shared" si="723"/>
        <v>0.14000000000000001</v>
      </c>
      <c r="N401" s="9">
        <v>0.94399999999999995</v>
      </c>
      <c r="O401" s="9">
        <v>0.86199999999999999</v>
      </c>
      <c r="P401" s="13">
        <f t="shared" si="724"/>
        <v>0.18008474576271188</v>
      </c>
      <c r="Q401" s="13">
        <f t="shared" si="725"/>
        <v>0.16241299303944318</v>
      </c>
      <c r="R401" s="9">
        <f t="shared" ref="R401:S401" si="742">O369</f>
        <v>0.25999999999999995</v>
      </c>
      <c r="S401" s="9">
        <f t="shared" si="742"/>
        <v>0.6</v>
      </c>
    </row>
    <row r="402" spans="2:19">
      <c r="B402" s="10">
        <f t="shared" si="720"/>
        <v>2000</v>
      </c>
      <c r="C402" s="9">
        <f t="shared" si="720"/>
        <v>0.33</v>
      </c>
      <c r="D402" s="9">
        <f t="shared" si="720"/>
        <v>0.25</v>
      </c>
      <c r="E402" s="9">
        <f t="shared" si="720"/>
        <v>1.94</v>
      </c>
      <c r="F402" s="9">
        <f t="shared" si="720"/>
        <v>1.79</v>
      </c>
      <c r="G402" s="9">
        <f t="shared" si="720"/>
        <v>0.34</v>
      </c>
      <c r="H402" s="9">
        <f t="shared" si="720"/>
        <v>0.28999999999999998</v>
      </c>
      <c r="I402" s="9">
        <f t="shared" si="720"/>
        <v>1.4999999999999999E-2</v>
      </c>
      <c r="J402" s="9" t="str">
        <f t="shared" ref="J402:K402" si="743">K370</f>
        <v>1/100</v>
      </c>
      <c r="K402" s="9" t="str">
        <f t="shared" si="743"/>
        <v>U60</v>
      </c>
      <c r="L402" s="9">
        <f t="shared" si="722"/>
        <v>0.17</v>
      </c>
      <c r="M402" s="9">
        <f t="shared" si="723"/>
        <v>0.14000000000000001</v>
      </c>
      <c r="N402" s="9">
        <v>0.94399999999999995</v>
      </c>
      <c r="O402" s="9">
        <v>0.86199999999999999</v>
      </c>
      <c r="P402" s="13">
        <f t="shared" si="724"/>
        <v>0.18008474576271188</v>
      </c>
      <c r="Q402" s="13">
        <f t="shared" si="725"/>
        <v>0.16241299303944318</v>
      </c>
      <c r="R402" s="9">
        <f t="shared" ref="R402:S402" si="744">O370</f>
        <v>0.25999999999999995</v>
      </c>
      <c r="S402" s="9">
        <f t="shared" si="744"/>
        <v>0.6</v>
      </c>
    </row>
    <row r="403" spans="2:19">
      <c r="B403" s="10">
        <f t="shared" si="720"/>
        <v>2200</v>
      </c>
      <c r="C403" s="9">
        <f t="shared" si="720"/>
        <v>0.33</v>
      </c>
      <c r="D403" s="9">
        <f t="shared" si="720"/>
        <v>0.25</v>
      </c>
      <c r="E403" s="9">
        <f t="shared" si="720"/>
        <v>1.94</v>
      </c>
      <c r="F403" s="9">
        <f t="shared" si="720"/>
        <v>1.79</v>
      </c>
      <c r="G403" s="9">
        <f t="shared" si="720"/>
        <v>0.34</v>
      </c>
      <c r="H403" s="9">
        <f t="shared" si="720"/>
        <v>0.28999999999999998</v>
      </c>
      <c r="I403" s="9">
        <f t="shared" si="720"/>
        <v>1.4999999999999999E-2</v>
      </c>
      <c r="J403" s="9" t="str">
        <f t="shared" ref="J403:K403" si="745">K371</f>
        <v>1/100</v>
      </c>
      <c r="K403" s="9" t="str">
        <f t="shared" si="745"/>
        <v>U60</v>
      </c>
      <c r="L403" s="9">
        <f t="shared" si="722"/>
        <v>0.17</v>
      </c>
      <c r="M403" s="9">
        <f t="shared" si="723"/>
        <v>0.14000000000000001</v>
      </c>
      <c r="N403" s="9">
        <v>0.94399999999999995</v>
      </c>
      <c r="O403" s="9">
        <v>0.86199999999999999</v>
      </c>
      <c r="P403" s="13">
        <f t="shared" si="724"/>
        <v>0.18008474576271188</v>
      </c>
      <c r="Q403" s="13">
        <f t="shared" si="725"/>
        <v>0.16241299303944318</v>
      </c>
      <c r="R403" s="9">
        <f t="shared" ref="R403:S403" si="746">O371</f>
        <v>0.25999999999999995</v>
      </c>
      <c r="S403" s="9">
        <f t="shared" si="746"/>
        <v>0.6</v>
      </c>
    </row>
    <row r="404" spans="2:19">
      <c r="B404" s="10">
        <f t="shared" si="720"/>
        <v>2400</v>
      </c>
      <c r="C404" s="9">
        <f t="shared" si="720"/>
        <v>0.33</v>
      </c>
      <c r="D404" s="9">
        <f t="shared" si="720"/>
        <v>0.25</v>
      </c>
      <c r="E404" s="9">
        <f t="shared" si="720"/>
        <v>1.94</v>
      </c>
      <c r="F404" s="9">
        <f t="shared" si="720"/>
        <v>1.79</v>
      </c>
      <c r="G404" s="9">
        <f t="shared" si="720"/>
        <v>0.34</v>
      </c>
      <c r="H404" s="9">
        <f t="shared" si="720"/>
        <v>0.28999999999999998</v>
      </c>
      <c r="I404" s="9">
        <f t="shared" si="720"/>
        <v>1.4999999999999999E-2</v>
      </c>
      <c r="J404" s="9" t="str">
        <f t="shared" ref="J404:K404" si="747">K372</f>
        <v>1/100</v>
      </c>
      <c r="K404" s="9" t="str">
        <f t="shared" si="747"/>
        <v>U60</v>
      </c>
      <c r="L404" s="9">
        <f t="shared" si="722"/>
        <v>0.17</v>
      </c>
      <c r="M404" s="9">
        <f t="shared" si="723"/>
        <v>0.14000000000000001</v>
      </c>
      <c r="N404" s="9">
        <v>0.94399999999999995</v>
      </c>
      <c r="O404" s="9">
        <v>0.86199999999999999</v>
      </c>
      <c r="P404" s="13">
        <f t="shared" si="724"/>
        <v>0.18008474576271188</v>
      </c>
      <c r="Q404" s="13">
        <f t="shared" si="725"/>
        <v>0.16241299303944318</v>
      </c>
      <c r="R404" s="9">
        <f t="shared" ref="R404:S404" si="748">O372</f>
        <v>0.25999999999999995</v>
      </c>
      <c r="S404" s="9">
        <f t="shared" si="748"/>
        <v>0.6</v>
      </c>
    </row>
    <row r="405" spans="2:19">
      <c r="B405" s="10">
        <f t="shared" si="720"/>
        <v>2600</v>
      </c>
      <c r="C405" s="9">
        <f t="shared" si="720"/>
        <v>0.33</v>
      </c>
      <c r="D405" s="9">
        <f t="shared" si="720"/>
        <v>0.25</v>
      </c>
      <c r="E405" s="9">
        <f t="shared" si="720"/>
        <v>1.94</v>
      </c>
      <c r="F405" s="9">
        <f t="shared" si="720"/>
        <v>1.79</v>
      </c>
      <c r="G405" s="9">
        <f t="shared" si="720"/>
        <v>0.34</v>
      </c>
      <c r="H405" s="9">
        <f t="shared" si="720"/>
        <v>0.28999999999999998</v>
      </c>
      <c r="I405" s="9">
        <f t="shared" si="720"/>
        <v>1.4999999999999999E-2</v>
      </c>
      <c r="J405" s="9" t="str">
        <f t="shared" ref="J405:K405" si="749">K373</f>
        <v>1/100</v>
      </c>
      <c r="K405" s="9" t="str">
        <f t="shared" si="749"/>
        <v>U60</v>
      </c>
      <c r="L405" s="9">
        <f t="shared" si="722"/>
        <v>0.17</v>
      </c>
      <c r="M405" s="9">
        <f t="shared" si="723"/>
        <v>0.14000000000000001</v>
      </c>
      <c r="N405" s="9">
        <v>0.94399999999999995</v>
      </c>
      <c r="O405" s="9">
        <v>0.86199999999999999</v>
      </c>
      <c r="P405" s="13">
        <f t="shared" si="724"/>
        <v>0.18008474576271188</v>
      </c>
      <c r="Q405" s="13">
        <f t="shared" si="725"/>
        <v>0.16241299303944318</v>
      </c>
      <c r="R405" s="9">
        <f t="shared" ref="R405:S405" si="750">O373</f>
        <v>0.25999999999999995</v>
      </c>
      <c r="S405" s="9">
        <f t="shared" si="750"/>
        <v>0.6</v>
      </c>
    </row>
    <row r="406" spans="2:19">
      <c r="B406" s="10">
        <f t="shared" si="720"/>
        <v>2800</v>
      </c>
      <c r="C406" s="9">
        <f t="shared" si="720"/>
        <v>0.17</v>
      </c>
      <c r="D406" s="9">
        <f t="shared" si="720"/>
        <v>0.13</v>
      </c>
      <c r="E406" s="9">
        <f t="shared" si="720"/>
        <v>1.7</v>
      </c>
      <c r="F406" s="9">
        <f t="shared" si="720"/>
        <v>1.44</v>
      </c>
      <c r="G406" s="9">
        <f t="shared" si="720"/>
        <v>0.23</v>
      </c>
      <c r="H406" s="9">
        <f t="shared" si="720"/>
        <v>0.2</v>
      </c>
      <c r="I406" s="9">
        <f t="shared" si="720"/>
        <v>1.4999999999999999E-2</v>
      </c>
      <c r="J406" s="9" t="str">
        <f t="shared" ref="J406:K406" si="751">K374</f>
        <v>1/100</v>
      </c>
      <c r="K406" s="9" t="str">
        <f t="shared" si="751"/>
        <v>U60</v>
      </c>
      <c r="L406" s="9">
        <f t="shared" si="722"/>
        <v>0.1</v>
      </c>
      <c r="M406" s="9">
        <f t="shared" si="723"/>
        <v>0.09</v>
      </c>
      <c r="N406" s="9">
        <v>0.90300000000000002</v>
      </c>
      <c r="O406" s="9">
        <v>0.82199999999999995</v>
      </c>
      <c r="P406" s="13">
        <f t="shared" si="724"/>
        <v>0.11074197120708749</v>
      </c>
      <c r="Q406" s="13">
        <f t="shared" si="725"/>
        <v>0.10948905109489052</v>
      </c>
      <c r="R406" s="9">
        <f t="shared" ref="R406:S406" si="752">O374</f>
        <v>0.37</v>
      </c>
      <c r="S406" s="9">
        <f t="shared" si="752"/>
        <v>0.6</v>
      </c>
    </row>
    <row r="407" spans="2:19">
      <c r="B407" s="10">
        <f t="shared" si="720"/>
        <v>3000</v>
      </c>
      <c r="C407" s="9">
        <f t="shared" si="720"/>
        <v>0.17</v>
      </c>
      <c r="D407" s="9">
        <f t="shared" si="720"/>
        <v>0.13</v>
      </c>
      <c r="E407" s="9">
        <f t="shared" si="720"/>
        <v>1.7</v>
      </c>
      <c r="F407" s="9">
        <f t="shared" si="720"/>
        <v>1.44</v>
      </c>
      <c r="G407" s="9">
        <f t="shared" si="720"/>
        <v>0.23</v>
      </c>
      <c r="H407" s="9">
        <f t="shared" si="720"/>
        <v>0.2</v>
      </c>
      <c r="I407" s="9">
        <f t="shared" si="720"/>
        <v>1.4999999999999999E-2</v>
      </c>
      <c r="J407" s="9" t="str">
        <f t="shared" ref="J407:K407" si="753">K375</f>
        <v>1/286</v>
      </c>
      <c r="K407" s="9" t="str">
        <f t="shared" si="753"/>
        <v>U60</v>
      </c>
      <c r="L407" s="9">
        <f t="shared" si="722"/>
        <v>0.1</v>
      </c>
      <c r="M407" s="9">
        <f t="shared" si="723"/>
        <v>0.09</v>
      </c>
      <c r="N407" s="9">
        <v>0.90300000000000002</v>
      </c>
      <c r="O407" s="9">
        <v>0.82199999999999995</v>
      </c>
      <c r="P407" s="13">
        <f t="shared" si="724"/>
        <v>0.11074197120708749</v>
      </c>
      <c r="Q407" s="13">
        <f t="shared" si="725"/>
        <v>0.10948905109489052</v>
      </c>
      <c r="R407" s="9">
        <f t="shared" ref="R407:S407" si="754">O375</f>
        <v>0.37</v>
      </c>
      <c r="S407" s="9">
        <f t="shared" si="754"/>
        <v>0.6</v>
      </c>
    </row>
    <row r="408" spans="2:19">
      <c r="B408" s="10">
        <f t="shared" si="720"/>
        <v>3200</v>
      </c>
      <c r="C408" s="9">
        <f t="shared" si="720"/>
        <v>0.17</v>
      </c>
      <c r="D408" s="9">
        <f t="shared" si="720"/>
        <v>0.13</v>
      </c>
      <c r="E408" s="9">
        <f t="shared" si="720"/>
        <v>1.7</v>
      </c>
      <c r="F408" s="9">
        <f t="shared" si="720"/>
        <v>1.44</v>
      </c>
      <c r="G408" s="9">
        <f t="shared" si="720"/>
        <v>0.23</v>
      </c>
      <c r="H408" s="9">
        <f t="shared" si="720"/>
        <v>0.2</v>
      </c>
      <c r="I408" s="9">
        <f t="shared" si="720"/>
        <v>1.4999999999999999E-2</v>
      </c>
      <c r="J408" s="9" t="str">
        <f t="shared" ref="J408:K408" si="755">K376</f>
        <v>1/286</v>
      </c>
      <c r="K408" s="9" t="str">
        <f t="shared" si="755"/>
        <v>U60</v>
      </c>
      <c r="L408" s="9">
        <f t="shared" si="722"/>
        <v>0.1</v>
      </c>
      <c r="M408" s="9">
        <f t="shared" si="723"/>
        <v>0.09</v>
      </c>
      <c r="N408" s="9">
        <v>0.90300000000000002</v>
      </c>
      <c r="O408" s="9">
        <v>0.82199999999999995</v>
      </c>
      <c r="P408" s="13">
        <f t="shared" si="724"/>
        <v>0.11074197120708749</v>
      </c>
      <c r="Q408" s="13">
        <f t="shared" si="725"/>
        <v>0.10948905109489052</v>
      </c>
      <c r="R408" s="9">
        <f t="shared" ref="R408:S408" si="756">O376</f>
        <v>0.37</v>
      </c>
      <c r="S408" s="9">
        <f t="shared" si="756"/>
        <v>0.6</v>
      </c>
    </row>
    <row r="409" spans="2:19">
      <c r="B409" s="10">
        <f t="shared" si="720"/>
        <v>3400</v>
      </c>
      <c r="C409" s="9">
        <f t="shared" si="720"/>
        <v>0.17</v>
      </c>
      <c r="D409" s="9">
        <f t="shared" si="720"/>
        <v>0.13</v>
      </c>
      <c r="E409" s="9">
        <f t="shared" si="720"/>
        <v>1.7</v>
      </c>
      <c r="F409" s="9">
        <f t="shared" si="720"/>
        <v>1.44</v>
      </c>
      <c r="G409" s="9">
        <f t="shared" si="720"/>
        <v>0.23</v>
      </c>
      <c r="H409" s="9">
        <f t="shared" si="720"/>
        <v>0.2</v>
      </c>
      <c r="I409" s="9">
        <f t="shared" si="720"/>
        <v>1.4999999999999999E-2</v>
      </c>
      <c r="J409" s="9" t="str">
        <f t="shared" ref="J409:K409" si="757">K377</f>
        <v>1/286</v>
      </c>
      <c r="K409" s="9" t="str">
        <f t="shared" si="757"/>
        <v>U60</v>
      </c>
      <c r="L409" s="9">
        <f t="shared" si="722"/>
        <v>0.1</v>
      </c>
      <c r="M409" s="9">
        <f t="shared" si="723"/>
        <v>0.09</v>
      </c>
      <c r="N409" s="9">
        <v>0.90300000000000002</v>
      </c>
      <c r="O409" s="9">
        <v>0.82199999999999995</v>
      </c>
      <c r="P409" s="13">
        <f t="shared" si="724"/>
        <v>0.11074197120708749</v>
      </c>
      <c r="Q409" s="13">
        <f t="shared" si="725"/>
        <v>0.10948905109489052</v>
      </c>
      <c r="R409" s="9">
        <f t="shared" ref="R409:S409" si="758">O377</f>
        <v>0.37</v>
      </c>
      <c r="S409" s="9">
        <f t="shared" si="758"/>
        <v>0.6</v>
      </c>
    </row>
    <row r="410" spans="2:19">
      <c r="B410" s="10">
        <f t="shared" si="720"/>
        <v>3600</v>
      </c>
      <c r="C410" s="9">
        <f t="shared" si="720"/>
        <v>0.17</v>
      </c>
      <c r="D410" s="9">
        <f t="shared" si="720"/>
        <v>0.13</v>
      </c>
      <c r="E410" s="9">
        <f t="shared" si="720"/>
        <v>1.7</v>
      </c>
      <c r="F410" s="9">
        <f t="shared" si="720"/>
        <v>1.44</v>
      </c>
      <c r="G410" s="9">
        <f t="shared" si="720"/>
        <v>0.23</v>
      </c>
      <c r="H410" s="9">
        <f t="shared" si="720"/>
        <v>0.2</v>
      </c>
      <c r="I410" s="9">
        <f t="shared" si="720"/>
        <v>1.4999999999999999E-2</v>
      </c>
      <c r="J410" s="9" t="str">
        <f t="shared" ref="J410:K410" si="759">K378</f>
        <v>1/286</v>
      </c>
      <c r="K410" s="9" t="str">
        <f t="shared" si="759"/>
        <v>U60</v>
      </c>
      <c r="L410" s="9">
        <f t="shared" si="722"/>
        <v>0.1</v>
      </c>
      <c r="M410" s="9">
        <f t="shared" si="723"/>
        <v>0.09</v>
      </c>
      <c r="N410" s="9">
        <v>0.90300000000000002</v>
      </c>
      <c r="O410" s="9">
        <v>0.82199999999999995</v>
      </c>
      <c r="P410" s="13">
        <f t="shared" si="724"/>
        <v>0.11074197120708749</v>
      </c>
      <c r="Q410" s="13">
        <f t="shared" si="725"/>
        <v>0.10948905109489052</v>
      </c>
      <c r="R410" s="9">
        <f t="shared" ref="R410:S410" si="760">O378</f>
        <v>0.37</v>
      </c>
      <c r="S410" s="9">
        <f t="shared" si="760"/>
        <v>0.6</v>
      </c>
    </row>
    <row r="411" spans="2:19">
      <c r="B411" s="10">
        <f t="shared" si="720"/>
        <v>3800</v>
      </c>
      <c r="C411" s="9">
        <f t="shared" si="720"/>
        <v>0.17</v>
      </c>
      <c r="D411" s="9">
        <f t="shared" si="720"/>
        <v>0.13</v>
      </c>
      <c r="E411" s="9">
        <f t="shared" si="720"/>
        <v>1.7</v>
      </c>
      <c r="F411" s="9">
        <f t="shared" si="720"/>
        <v>1.44</v>
      </c>
      <c r="G411" s="9">
        <f t="shared" si="720"/>
        <v>0.23</v>
      </c>
      <c r="H411" s="9">
        <f t="shared" si="720"/>
        <v>0.2</v>
      </c>
      <c r="I411" s="9">
        <f t="shared" si="720"/>
        <v>1.4999999999999999E-2</v>
      </c>
      <c r="J411" s="9" t="str">
        <f t="shared" ref="J411:K411" si="761">K379</f>
        <v>1/286</v>
      </c>
      <c r="K411" s="9" t="str">
        <f t="shared" si="761"/>
        <v>U60</v>
      </c>
      <c r="L411" s="9">
        <f t="shared" si="722"/>
        <v>0.1</v>
      </c>
      <c r="M411" s="9">
        <f t="shared" si="723"/>
        <v>0.09</v>
      </c>
      <c r="N411" s="9">
        <v>0.90300000000000002</v>
      </c>
      <c r="O411" s="9">
        <v>0.82199999999999995</v>
      </c>
      <c r="P411" s="13">
        <f t="shared" si="724"/>
        <v>0.11074197120708749</v>
      </c>
      <c r="Q411" s="13">
        <f t="shared" si="725"/>
        <v>0.10948905109489052</v>
      </c>
      <c r="R411" s="9">
        <f t="shared" ref="R411:S411" si="762">O379</f>
        <v>0.37</v>
      </c>
      <c r="S411" s="9">
        <f t="shared" si="762"/>
        <v>0.6</v>
      </c>
    </row>
    <row r="412" spans="2:19">
      <c r="B412" s="10">
        <f t="shared" si="720"/>
        <v>4000</v>
      </c>
      <c r="C412" s="9">
        <f t="shared" si="720"/>
        <v>0.17</v>
      </c>
      <c r="D412" s="9">
        <f t="shared" si="720"/>
        <v>0.13</v>
      </c>
      <c r="E412" s="9">
        <f t="shared" si="720"/>
        <v>1.7</v>
      </c>
      <c r="F412" s="9">
        <f t="shared" si="720"/>
        <v>1.44</v>
      </c>
      <c r="G412" s="9">
        <f t="shared" si="720"/>
        <v>0.23</v>
      </c>
      <c r="H412" s="9">
        <f t="shared" si="720"/>
        <v>0.2</v>
      </c>
      <c r="I412" s="9">
        <f t="shared" si="720"/>
        <v>1.4999999999999999E-2</v>
      </c>
      <c r="J412" s="9" t="str">
        <f t="shared" ref="J412:K412" si="763">K380</f>
        <v>1/286</v>
      </c>
      <c r="K412" s="9" t="str">
        <f t="shared" si="763"/>
        <v>U60</v>
      </c>
      <c r="L412" s="9">
        <f t="shared" si="722"/>
        <v>0.1</v>
      </c>
      <c r="M412" s="9">
        <f t="shared" si="723"/>
        <v>0.09</v>
      </c>
      <c r="N412" s="9">
        <v>0.90300000000000002</v>
      </c>
      <c r="O412" s="9">
        <v>0.82199999999999995</v>
      </c>
      <c r="P412" s="13">
        <f t="shared" si="724"/>
        <v>0.11074197120708749</v>
      </c>
      <c r="Q412" s="13">
        <f t="shared" si="725"/>
        <v>0.10948905109489052</v>
      </c>
      <c r="R412" s="9">
        <f t="shared" ref="R412:S412" si="764">O380</f>
        <v>0.37</v>
      </c>
      <c r="S412" s="9">
        <f t="shared" si="764"/>
        <v>0.6</v>
      </c>
    </row>
    <row r="413" spans="2:19">
      <c r="B413" s="10">
        <f t="shared" si="720"/>
        <v>4200</v>
      </c>
      <c r="C413" s="9">
        <f t="shared" si="720"/>
        <v>0.17</v>
      </c>
      <c r="D413" s="9">
        <f t="shared" si="720"/>
        <v>0.13</v>
      </c>
      <c r="E413" s="9">
        <f t="shared" si="720"/>
        <v>1.7</v>
      </c>
      <c r="F413" s="9">
        <f t="shared" si="720"/>
        <v>1.44</v>
      </c>
      <c r="G413" s="9">
        <f t="shared" si="720"/>
        <v>0.23</v>
      </c>
      <c r="H413" s="9">
        <f t="shared" si="720"/>
        <v>0.2</v>
      </c>
      <c r="I413" s="9">
        <f t="shared" si="720"/>
        <v>1.4999999999999999E-2</v>
      </c>
      <c r="J413" s="9" t="str">
        <f t="shared" ref="J413:K413" si="765">K381</f>
        <v>1/286</v>
      </c>
      <c r="K413" s="9" t="str">
        <f t="shared" si="765"/>
        <v>U60</v>
      </c>
      <c r="L413" s="9">
        <f t="shared" si="722"/>
        <v>0.1</v>
      </c>
      <c r="M413" s="9">
        <f t="shared" si="723"/>
        <v>0.09</v>
      </c>
      <c r="N413" s="9">
        <v>0.90300000000000002</v>
      </c>
      <c r="O413" s="9">
        <v>0.82199999999999995</v>
      </c>
      <c r="P413" s="13">
        <f t="shared" si="724"/>
        <v>0.11074197120708749</v>
      </c>
      <c r="Q413" s="13">
        <f t="shared" si="725"/>
        <v>0.10948905109489052</v>
      </c>
      <c r="R413" s="9">
        <f t="shared" ref="R413:S413" si="766">O381</f>
        <v>0.37</v>
      </c>
      <c r="S413" s="9">
        <f t="shared" si="766"/>
        <v>0.6</v>
      </c>
    </row>
    <row r="414" spans="2:19">
      <c r="B414" s="10">
        <f t="shared" si="720"/>
        <v>4400</v>
      </c>
      <c r="C414" s="9">
        <f t="shared" si="720"/>
        <v>0.17</v>
      </c>
      <c r="D414" s="9">
        <f t="shared" si="720"/>
        <v>0.13</v>
      </c>
      <c r="E414" s="9">
        <f t="shared" si="720"/>
        <v>1.7</v>
      </c>
      <c r="F414" s="9">
        <f t="shared" si="720"/>
        <v>1.44</v>
      </c>
      <c r="G414" s="9">
        <f t="shared" si="720"/>
        <v>0.23</v>
      </c>
      <c r="H414" s="9">
        <f t="shared" si="720"/>
        <v>0.2</v>
      </c>
      <c r="I414" s="9">
        <f t="shared" si="720"/>
        <v>1.4999999999999999E-2</v>
      </c>
      <c r="J414" s="9" t="str">
        <f t="shared" ref="J414:K414" si="767">K382</f>
        <v>1/286</v>
      </c>
      <c r="K414" s="9" t="str">
        <f t="shared" si="767"/>
        <v>U60</v>
      </c>
      <c r="L414" s="9">
        <f t="shared" si="722"/>
        <v>0.1</v>
      </c>
      <c r="M414" s="9">
        <f t="shared" si="723"/>
        <v>0.09</v>
      </c>
      <c r="N414" s="9">
        <v>0.90300000000000002</v>
      </c>
      <c r="O414" s="9">
        <v>0.82199999999999995</v>
      </c>
      <c r="P414" s="13">
        <f t="shared" si="724"/>
        <v>0.11074197120708749</v>
      </c>
      <c r="Q414" s="13">
        <f t="shared" si="725"/>
        <v>0.10948905109489052</v>
      </c>
      <c r="R414" s="9">
        <f t="shared" ref="R414:S414" si="768">O382</f>
        <v>0.37</v>
      </c>
      <c r="S414" s="9">
        <f t="shared" si="768"/>
        <v>0.6</v>
      </c>
    </row>
    <row r="415" spans="2:19">
      <c r="B415" s="10">
        <f t="shared" si="720"/>
        <v>4600</v>
      </c>
      <c r="C415" s="9">
        <f t="shared" si="720"/>
        <v>0.17</v>
      </c>
      <c r="D415" s="9">
        <f t="shared" si="720"/>
        <v>0.13</v>
      </c>
      <c r="E415" s="9">
        <f t="shared" si="720"/>
        <v>1.7</v>
      </c>
      <c r="F415" s="9">
        <f t="shared" si="720"/>
        <v>1.44</v>
      </c>
      <c r="G415" s="9">
        <f t="shared" si="720"/>
        <v>0.23</v>
      </c>
      <c r="H415" s="9">
        <f t="shared" si="720"/>
        <v>0.2</v>
      </c>
      <c r="I415" s="9">
        <f t="shared" si="720"/>
        <v>1.4999999999999999E-2</v>
      </c>
      <c r="J415" s="9" t="str">
        <f t="shared" ref="J415:K415" si="769">K383</f>
        <v>1/286</v>
      </c>
      <c r="K415" s="9" t="str">
        <f t="shared" si="769"/>
        <v>U60</v>
      </c>
      <c r="L415" s="9">
        <f t="shared" si="722"/>
        <v>0.1</v>
      </c>
      <c r="M415" s="9">
        <f t="shared" si="723"/>
        <v>0.09</v>
      </c>
      <c r="N415" s="9">
        <v>0.90300000000000002</v>
      </c>
      <c r="O415" s="9">
        <v>0.82199999999999995</v>
      </c>
      <c r="P415" s="13">
        <f t="shared" si="724"/>
        <v>0.11074197120708749</v>
      </c>
      <c r="Q415" s="13">
        <f t="shared" si="725"/>
        <v>0.10948905109489052</v>
      </c>
      <c r="R415" s="9">
        <f t="shared" ref="R415:S415" si="770">O383</f>
        <v>0.37</v>
      </c>
      <c r="S415" s="9">
        <f t="shared" si="770"/>
        <v>0.6</v>
      </c>
    </row>
    <row r="416" spans="2:19">
      <c r="B416" s="10">
        <f>B384</f>
        <v>4800</v>
      </c>
      <c r="C416" s="9">
        <f t="shared" ref="C416:I416" si="771">C384</f>
        <v>0.17</v>
      </c>
      <c r="D416" s="9">
        <f t="shared" si="771"/>
        <v>0.13</v>
      </c>
      <c r="E416" s="9">
        <f t="shared" si="771"/>
        <v>1.7</v>
      </c>
      <c r="F416" s="9">
        <f t="shared" si="771"/>
        <v>1.44</v>
      </c>
      <c r="G416" s="9">
        <f t="shared" si="771"/>
        <v>0.23</v>
      </c>
      <c r="H416" s="9">
        <f t="shared" si="771"/>
        <v>0.2</v>
      </c>
      <c r="I416" s="9">
        <f t="shared" si="771"/>
        <v>1.4999999999999999E-2</v>
      </c>
      <c r="J416" s="9" t="str">
        <f t="shared" ref="J416:K416" si="772">K384</f>
        <v>1/286</v>
      </c>
      <c r="K416" s="9" t="str">
        <f t="shared" si="772"/>
        <v>U60</v>
      </c>
      <c r="L416" s="9">
        <f t="shared" si="722"/>
        <v>0.1</v>
      </c>
      <c r="M416" s="9">
        <f t="shared" si="723"/>
        <v>0.09</v>
      </c>
      <c r="N416" s="9">
        <v>0.90300000000000002</v>
      </c>
      <c r="O416" s="9">
        <v>0.82199999999999995</v>
      </c>
      <c r="P416" s="13">
        <f t="shared" si="724"/>
        <v>0.11074197120708749</v>
      </c>
      <c r="Q416" s="13">
        <f t="shared" si="725"/>
        <v>0.10948905109489052</v>
      </c>
      <c r="R416" s="9">
        <f t="shared" ref="R416:S416" si="773">O384</f>
        <v>0.37</v>
      </c>
      <c r="S416" s="9">
        <f t="shared" si="773"/>
        <v>0.6</v>
      </c>
    </row>
    <row r="417" spans="2:19">
      <c r="B417" s="10">
        <f t="shared" si="720"/>
        <v>5000</v>
      </c>
      <c r="C417" s="9">
        <f t="shared" si="720"/>
        <v>0.17</v>
      </c>
      <c r="D417" s="9">
        <f t="shared" si="720"/>
        <v>0.13</v>
      </c>
      <c r="E417" s="9">
        <f t="shared" si="720"/>
        <v>1.7</v>
      </c>
      <c r="F417" s="9">
        <f t="shared" si="720"/>
        <v>1.44</v>
      </c>
      <c r="G417" s="9">
        <f t="shared" si="720"/>
        <v>0.23</v>
      </c>
      <c r="H417" s="9">
        <f t="shared" si="720"/>
        <v>0.2</v>
      </c>
      <c r="I417" s="9">
        <f t="shared" si="720"/>
        <v>1.4999999999999999E-2</v>
      </c>
      <c r="J417" s="9" t="str">
        <f t="shared" ref="J417:K417" si="774">K385</f>
        <v>1/286</v>
      </c>
      <c r="K417" s="9" t="str">
        <f t="shared" si="774"/>
        <v>U60</v>
      </c>
      <c r="L417" s="9">
        <f t="shared" si="722"/>
        <v>0.1</v>
      </c>
      <c r="M417" s="9">
        <f t="shared" si="723"/>
        <v>0.09</v>
      </c>
      <c r="N417" s="9">
        <v>0.90300000000000002</v>
      </c>
      <c r="O417" s="9">
        <v>0.82199999999999995</v>
      </c>
      <c r="P417" s="13">
        <f t="shared" si="724"/>
        <v>0.11074197120708749</v>
      </c>
      <c r="Q417" s="13">
        <f t="shared" si="725"/>
        <v>0.10948905109489052</v>
      </c>
      <c r="R417" s="9">
        <f t="shared" ref="R417:S417" si="775">O385</f>
        <v>0.37</v>
      </c>
      <c r="S417" s="9">
        <f t="shared" si="775"/>
        <v>0.6</v>
      </c>
    </row>
    <row r="418" spans="2:19">
      <c r="B418" s="10">
        <f t="shared" si="720"/>
        <v>5020</v>
      </c>
      <c r="C418" s="9">
        <f t="shared" si="720"/>
        <v>0.17</v>
      </c>
      <c r="D418" s="9">
        <f t="shared" si="720"/>
        <v>0.13</v>
      </c>
      <c r="E418" s="9">
        <f t="shared" si="720"/>
        <v>1.7</v>
      </c>
      <c r="F418" s="9">
        <f t="shared" si="720"/>
        <v>1.44</v>
      </c>
      <c r="G418" s="9">
        <f t="shared" si="720"/>
        <v>0.23</v>
      </c>
      <c r="H418" s="9">
        <f t="shared" si="720"/>
        <v>0.2</v>
      </c>
      <c r="I418" s="9">
        <f t="shared" si="720"/>
        <v>1.4999999999999999E-2</v>
      </c>
      <c r="J418" s="9" t="str">
        <f t="shared" ref="J418:K418" si="776">K386</f>
        <v>1/286</v>
      </c>
      <c r="K418" s="9" t="str">
        <f t="shared" si="776"/>
        <v>U60</v>
      </c>
      <c r="L418" s="9">
        <f t="shared" si="722"/>
        <v>0.1</v>
      </c>
      <c r="M418" s="9">
        <f t="shared" si="723"/>
        <v>0.09</v>
      </c>
      <c r="N418" s="9">
        <v>0.90300000000000002</v>
      </c>
      <c r="O418" s="9">
        <v>0.82199999999999995</v>
      </c>
      <c r="P418" s="13">
        <f t="shared" si="724"/>
        <v>0.11074197120708749</v>
      </c>
      <c r="Q418" s="13">
        <f t="shared" si="725"/>
        <v>0.10948905109489052</v>
      </c>
      <c r="R418" s="9">
        <f t="shared" ref="R418:S418" si="777">O386</f>
        <v>0.37</v>
      </c>
      <c r="S418" s="9">
        <f t="shared" si="777"/>
        <v>0.6</v>
      </c>
    </row>
    <row r="419" spans="2:19">
      <c r="B419" s="23"/>
    </row>
    <row r="420" spans="2:19">
      <c r="B420" s="23"/>
    </row>
    <row r="421" spans="2:19">
      <c r="B421" s="23"/>
    </row>
  </sheetData>
  <mergeCells count="119">
    <mergeCell ref="A357:A358"/>
    <mergeCell ref="B357:B358"/>
    <mergeCell ref="C357:D357"/>
    <mergeCell ref="E357:F357"/>
    <mergeCell ref="G357:H357"/>
    <mergeCell ref="T310:T311"/>
    <mergeCell ref="U310:U311"/>
    <mergeCell ref="Q357:Q358"/>
    <mergeCell ref="R357:R358"/>
    <mergeCell ref="S357:S358"/>
    <mergeCell ref="T357:T358"/>
    <mergeCell ref="U357:U358"/>
    <mergeCell ref="S207:S208"/>
    <mergeCell ref="T207:T208"/>
    <mergeCell ref="U207:U208"/>
    <mergeCell ref="A310:A311"/>
    <mergeCell ref="B310:B311"/>
    <mergeCell ref="C310:D310"/>
    <mergeCell ref="E310:F310"/>
    <mergeCell ref="G310:H310"/>
    <mergeCell ref="Q261:Q262"/>
    <mergeCell ref="R261:R262"/>
    <mergeCell ref="S261:S262"/>
    <mergeCell ref="T261:T262"/>
    <mergeCell ref="U261:U262"/>
    <mergeCell ref="Q310:Q311"/>
    <mergeCell ref="R310:R311"/>
    <mergeCell ref="S310:S311"/>
    <mergeCell ref="A207:A208"/>
    <mergeCell ref="B207:B208"/>
    <mergeCell ref="C207:D207"/>
    <mergeCell ref="R207:R208"/>
    <mergeCell ref="E207:F207"/>
    <mergeCell ref="G207:H207"/>
    <mergeCell ref="Q207:Q208"/>
    <mergeCell ref="A149:A150"/>
    <mergeCell ref="B149:B150"/>
    <mergeCell ref="C149:D149"/>
    <mergeCell ref="E149:F149"/>
    <mergeCell ref="G149:H149"/>
    <mergeCell ref="N177:O177"/>
    <mergeCell ref="P177:Q177"/>
    <mergeCell ref="A261:A262"/>
    <mergeCell ref="B261:B262"/>
    <mergeCell ref="C261:D261"/>
    <mergeCell ref="E261:F261"/>
    <mergeCell ref="G261:H261"/>
    <mergeCell ref="B233:B234"/>
    <mergeCell ref="C233:D233"/>
    <mergeCell ref="E233:F233"/>
    <mergeCell ref="G233:H233"/>
    <mergeCell ref="L233:M233"/>
    <mergeCell ref="N233:O233"/>
    <mergeCell ref="P233:Q233"/>
    <mergeCell ref="B177:B178"/>
    <mergeCell ref="C177:D177"/>
    <mergeCell ref="E177:F177"/>
    <mergeCell ref="G177:H177"/>
    <mergeCell ref="L177:M177"/>
    <mergeCell ref="R88:R89"/>
    <mergeCell ref="S88:S89"/>
    <mergeCell ref="T88:T89"/>
    <mergeCell ref="U88:U89"/>
    <mergeCell ref="U149:U150"/>
    <mergeCell ref="S30:S31"/>
    <mergeCell ref="T30:T31"/>
    <mergeCell ref="Q30:Q31"/>
    <mergeCell ref="U30:U31"/>
    <mergeCell ref="R30:R31"/>
    <mergeCell ref="Q88:Q89"/>
    <mergeCell ref="Q149:Q150"/>
    <mergeCell ref="R149:R150"/>
    <mergeCell ref="S149:S150"/>
    <mergeCell ref="T149:T150"/>
    <mergeCell ref="A88:A89"/>
    <mergeCell ref="B88:B89"/>
    <mergeCell ref="C88:D88"/>
    <mergeCell ref="E88:F88"/>
    <mergeCell ref="G88:H88"/>
    <mergeCell ref="A30:A31"/>
    <mergeCell ref="B30:B31"/>
    <mergeCell ref="C30:D30"/>
    <mergeCell ref="E30:F30"/>
    <mergeCell ref="G30:H30"/>
    <mergeCell ref="N59:O59"/>
    <mergeCell ref="P59:Q59"/>
    <mergeCell ref="B118:B119"/>
    <mergeCell ref="C118:D118"/>
    <mergeCell ref="E118:F118"/>
    <mergeCell ref="G118:H118"/>
    <mergeCell ref="L118:M118"/>
    <mergeCell ref="N118:O118"/>
    <mergeCell ref="P118:Q118"/>
    <mergeCell ref="B59:B60"/>
    <mergeCell ref="C59:D59"/>
    <mergeCell ref="E59:F59"/>
    <mergeCell ref="G59:H59"/>
    <mergeCell ref="L59:M59"/>
    <mergeCell ref="N389:O389"/>
    <mergeCell ref="P389:Q389"/>
    <mergeCell ref="B389:B390"/>
    <mergeCell ref="C389:D389"/>
    <mergeCell ref="E389:F389"/>
    <mergeCell ref="G389:H389"/>
    <mergeCell ref="L389:M389"/>
    <mergeCell ref="N285:O285"/>
    <mergeCell ref="P285:Q285"/>
    <mergeCell ref="B333:B334"/>
    <mergeCell ref="C333:D333"/>
    <mergeCell ref="E333:F333"/>
    <mergeCell ref="G333:H333"/>
    <mergeCell ref="L333:M333"/>
    <mergeCell ref="N333:O333"/>
    <mergeCell ref="P333:Q333"/>
    <mergeCell ref="B285:B286"/>
    <mergeCell ref="C285:D285"/>
    <mergeCell ref="E285:F285"/>
    <mergeCell ref="G285:H285"/>
    <mergeCell ref="L285:M28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7"/>
  <sheetViews>
    <sheetView topLeftCell="I1" zoomScaleNormal="100" workbookViewId="0">
      <selection activeCell="J53" sqref="J53:J55"/>
    </sheetView>
  </sheetViews>
  <sheetFormatPr defaultRowHeight="14.4"/>
  <cols>
    <col min="5" max="5" width="9.44140625" bestFit="1" customWidth="1"/>
    <col min="12" max="12" width="14.109375" bestFit="1" customWidth="1"/>
    <col min="18" max="18" width="14.109375" bestFit="1" customWidth="1"/>
  </cols>
  <sheetData>
    <row r="1" spans="1:21">
      <c r="B1" t="s">
        <v>609</v>
      </c>
      <c r="C1" t="s">
        <v>610</v>
      </c>
      <c r="E1" t="s">
        <v>621</v>
      </c>
    </row>
    <row r="2" spans="1:21">
      <c r="A2" t="s">
        <v>608</v>
      </c>
      <c r="B2">
        <v>10</v>
      </c>
      <c r="C2" t="s">
        <v>611</v>
      </c>
      <c r="E2" s="18" t="s">
        <v>652</v>
      </c>
      <c r="F2">
        <v>1017</v>
      </c>
      <c r="G2" t="s">
        <v>637</v>
      </c>
    </row>
    <row r="3" spans="1:21">
      <c r="B3">
        <v>2632</v>
      </c>
      <c r="C3" t="s">
        <v>611</v>
      </c>
      <c r="E3" s="18" t="s">
        <v>653</v>
      </c>
      <c r="F3">
        <v>108</v>
      </c>
      <c r="G3" t="s">
        <v>637</v>
      </c>
    </row>
    <row r="4" spans="1:21">
      <c r="B4">
        <v>4664</v>
      </c>
      <c r="C4" t="s">
        <v>519</v>
      </c>
      <c r="E4" s="18" t="s">
        <v>654</v>
      </c>
      <c r="F4">
        <v>116</v>
      </c>
      <c r="G4" t="s">
        <v>636</v>
      </c>
    </row>
    <row r="5" spans="1:21">
      <c r="A5" t="s">
        <v>612</v>
      </c>
      <c r="B5">
        <v>10</v>
      </c>
      <c r="C5" t="s">
        <v>616</v>
      </c>
      <c r="E5" s="18" t="s">
        <v>655</v>
      </c>
      <c r="F5">
        <v>716</v>
      </c>
      <c r="G5" t="s">
        <v>636</v>
      </c>
    </row>
    <row r="6" spans="1:21">
      <c r="B6">
        <v>2884</v>
      </c>
      <c r="C6" t="s">
        <v>616</v>
      </c>
      <c r="E6" s="18" t="s">
        <v>656</v>
      </c>
      <c r="F6">
        <v>653</v>
      </c>
      <c r="G6" t="s">
        <v>639</v>
      </c>
    </row>
    <row r="7" spans="1:21">
      <c r="A7" t="s">
        <v>613</v>
      </c>
      <c r="B7">
        <v>10</v>
      </c>
      <c r="C7" t="s">
        <v>519</v>
      </c>
      <c r="E7" s="18" t="s">
        <v>657</v>
      </c>
      <c r="F7">
        <v>683</v>
      </c>
      <c r="G7" t="s">
        <v>639</v>
      </c>
      <c r="I7" t="s">
        <v>650</v>
      </c>
      <c r="O7" t="s">
        <v>651</v>
      </c>
    </row>
    <row r="8" spans="1:21">
      <c r="B8">
        <v>2121</v>
      </c>
      <c r="C8" t="s">
        <v>519</v>
      </c>
      <c r="E8" s="18" t="s">
        <v>658</v>
      </c>
      <c r="F8">
        <v>501</v>
      </c>
      <c r="G8" t="s">
        <v>638</v>
      </c>
      <c r="I8" s="9" t="s">
        <v>635</v>
      </c>
      <c r="J8" s="9" t="s">
        <v>632</v>
      </c>
      <c r="K8" s="9" t="s">
        <v>633</v>
      </c>
      <c r="L8" s="9" t="s">
        <v>649</v>
      </c>
      <c r="M8" s="9" t="s">
        <v>646</v>
      </c>
      <c r="N8" s="9" t="s">
        <v>635</v>
      </c>
      <c r="O8" s="9" t="s">
        <v>632</v>
      </c>
      <c r="P8" s="9" t="s">
        <v>633</v>
      </c>
      <c r="Q8" s="9" t="s">
        <v>649</v>
      </c>
      <c r="R8" s="9" t="s">
        <v>646</v>
      </c>
    </row>
    <row r="9" spans="1:21">
      <c r="A9" t="s">
        <v>614</v>
      </c>
      <c r="B9">
        <v>10</v>
      </c>
      <c r="C9" t="s">
        <v>519</v>
      </c>
      <c r="E9" s="18" t="s">
        <v>659</v>
      </c>
      <c r="F9">
        <v>1028</v>
      </c>
      <c r="G9" t="s">
        <v>638</v>
      </c>
      <c r="I9" s="9">
        <v>1</v>
      </c>
      <c r="J9" s="43" t="str">
        <f>A2</f>
        <v>1-1支渠</v>
      </c>
      <c r="K9" s="10">
        <f>B2</f>
        <v>10</v>
      </c>
      <c r="L9" s="9" t="str">
        <f>C2</f>
        <v>U80</v>
      </c>
      <c r="M9" s="9">
        <v>1.5</v>
      </c>
      <c r="N9" s="9">
        <v>60</v>
      </c>
      <c r="O9" s="40" t="str">
        <f>A61</f>
        <v>2-7支渠</v>
      </c>
      <c r="P9" s="10">
        <f>B61</f>
        <v>52</v>
      </c>
      <c r="Q9" s="9" t="str">
        <f>C61</f>
        <v>U60</v>
      </c>
      <c r="R9" s="9">
        <v>1.5</v>
      </c>
      <c r="T9">
        <v>12</v>
      </c>
      <c r="U9">
        <v>5</v>
      </c>
    </row>
    <row r="10" spans="1:21">
      <c r="B10">
        <v>2882</v>
      </c>
      <c r="C10" t="s">
        <v>519</v>
      </c>
      <c r="E10" s="18" t="s">
        <v>660</v>
      </c>
      <c r="F10">
        <v>1006</v>
      </c>
      <c r="G10" t="s">
        <v>638</v>
      </c>
      <c r="I10" s="9">
        <v>2</v>
      </c>
      <c r="J10" s="43"/>
      <c r="K10" s="10">
        <f t="shared" ref="K10:K67" si="0">B3</f>
        <v>2632</v>
      </c>
      <c r="L10" s="9" t="str">
        <f t="shared" ref="L10:L67" si="1">C3</f>
        <v>U80</v>
      </c>
      <c r="M10" s="9">
        <v>1.5</v>
      </c>
      <c r="N10" s="9">
        <v>61</v>
      </c>
      <c r="O10" s="42"/>
      <c r="P10" s="10">
        <f t="shared" ref="P10:Q15" si="2">B62</f>
        <v>718</v>
      </c>
      <c r="Q10" s="9" t="str">
        <f t="shared" si="2"/>
        <v>U60</v>
      </c>
      <c r="R10" s="9">
        <v>1.5</v>
      </c>
    </row>
    <row r="11" spans="1:21">
      <c r="A11" t="s">
        <v>615</v>
      </c>
      <c r="B11">
        <v>10</v>
      </c>
      <c r="C11" t="s">
        <v>617</v>
      </c>
      <c r="E11" s="18" t="s">
        <v>661</v>
      </c>
      <c r="F11">
        <v>313</v>
      </c>
      <c r="G11" t="s">
        <v>636</v>
      </c>
      <c r="I11" s="9">
        <v>3</v>
      </c>
      <c r="J11" s="43"/>
      <c r="K11" s="10">
        <f t="shared" si="0"/>
        <v>4664</v>
      </c>
      <c r="L11" s="9" t="str">
        <f t="shared" si="1"/>
        <v>U80</v>
      </c>
      <c r="M11" s="9">
        <v>1.5</v>
      </c>
      <c r="N11" s="9">
        <v>62</v>
      </c>
      <c r="O11" s="42"/>
      <c r="P11" s="10">
        <f t="shared" si="2"/>
        <v>844</v>
      </c>
      <c r="Q11" s="9" t="str">
        <f t="shared" si="2"/>
        <v>U60</v>
      </c>
      <c r="R11" s="9">
        <v>1.5</v>
      </c>
    </row>
    <row r="12" spans="1:21">
      <c r="A12" t="s">
        <v>618</v>
      </c>
      <c r="B12">
        <v>46</v>
      </c>
      <c r="C12" t="s">
        <v>519</v>
      </c>
      <c r="E12" s="18" t="s">
        <v>662</v>
      </c>
      <c r="F12">
        <v>284</v>
      </c>
      <c r="G12" t="s">
        <v>636</v>
      </c>
      <c r="I12" s="9">
        <v>4</v>
      </c>
      <c r="J12" s="43" t="str">
        <f>A5</f>
        <v>1-2支渠</v>
      </c>
      <c r="K12" s="10">
        <f t="shared" si="0"/>
        <v>10</v>
      </c>
      <c r="L12" s="9" t="str">
        <f t="shared" si="1"/>
        <v>U100</v>
      </c>
      <c r="M12" s="9">
        <v>2</v>
      </c>
      <c r="N12" s="9">
        <v>63</v>
      </c>
      <c r="O12" s="42"/>
      <c r="P12" s="10">
        <f t="shared" si="2"/>
        <v>1533</v>
      </c>
      <c r="Q12" s="9" t="str">
        <f t="shared" si="2"/>
        <v>U60</v>
      </c>
      <c r="R12" s="9">
        <v>1.5</v>
      </c>
    </row>
    <row r="13" spans="1:21">
      <c r="B13">
        <v>255</v>
      </c>
      <c r="C13" t="s">
        <v>519</v>
      </c>
      <c r="E13" s="18" t="s">
        <v>663</v>
      </c>
      <c r="F13">
        <v>422</v>
      </c>
      <c r="G13" t="s">
        <v>636</v>
      </c>
      <c r="I13" s="9">
        <v>5</v>
      </c>
      <c r="J13" s="43"/>
      <c r="K13" s="10">
        <f t="shared" si="0"/>
        <v>2884</v>
      </c>
      <c r="L13" s="9" t="str">
        <f t="shared" si="1"/>
        <v>U100</v>
      </c>
      <c r="M13" s="9">
        <v>2</v>
      </c>
      <c r="N13" s="9">
        <v>64</v>
      </c>
      <c r="O13" s="42"/>
      <c r="P13" s="10">
        <f t="shared" si="2"/>
        <v>2185</v>
      </c>
      <c r="Q13" s="9" t="str">
        <f t="shared" si="2"/>
        <v>U60</v>
      </c>
      <c r="R13" s="9">
        <v>1.5</v>
      </c>
    </row>
    <row r="14" spans="1:21">
      <c r="B14">
        <v>495</v>
      </c>
      <c r="C14" t="s">
        <v>519</v>
      </c>
      <c r="E14" s="18" t="s">
        <v>664</v>
      </c>
      <c r="F14">
        <v>532</v>
      </c>
      <c r="G14" t="s">
        <v>636</v>
      </c>
      <c r="I14" s="9">
        <v>6</v>
      </c>
      <c r="J14" s="43" t="str">
        <f>A7</f>
        <v>1-3支渠</v>
      </c>
      <c r="K14" s="10">
        <f t="shared" si="0"/>
        <v>10</v>
      </c>
      <c r="L14" s="9" t="str">
        <f t="shared" si="1"/>
        <v>U80</v>
      </c>
      <c r="M14" s="9">
        <v>1.5</v>
      </c>
      <c r="N14" s="9">
        <v>65</v>
      </c>
      <c r="O14" s="42"/>
      <c r="P14" s="10">
        <f t="shared" si="2"/>
        <v>2431</v>
      </c>
      <c r="Q14" s="9" t="str">
        <f t="shared" si="2"/>
        <v>U60</v>
      </c>
      <c r="R14" s="9">
        <v>1.5</v>
      </c>
    </row>
    <row r="15" spans="1:21">
      <c r="B15">
        <v>908</v>
      </c>
      <c r="C15" t="s">
        <v>519</v>
      </c>
      <c r="E15" s="18" t="s">
        <v>665</v>
      </c>
      <c r="F15">
        <v>1191</v>
      </c>
      <c r="G15" t="s">
        <v>636</v>
      </c>
      <c r="I15" s="9">
        <v>7</v>
      </c>
      <c r="J15" s="43"/>
      <c r="K15" s="10">
        <f t="shared" si="0"/>
        <v>2121</v>
      </c>
      <c r="L15" s="9" t="str">
        <f t="shared" si="1"/>
        <v>U80</v>
      </c>
      <c r="M15" s="9">
        <v>1.5</v>
      </c>
      <c r="N15" s="9">
        <v>66</v>
      </c>
      <c r="O15" s="41"/>
      <c r="P15" s="10">
        <f t="shared" si="2"/>
        <v>2497</v>
      </c>
      <c r="Q15" s="9" t="str">
        <f t="shared" si="2"/>
        <v>U60</v>
      </c>
      <c r="R15" s="9">
        <v>1.5</v>
      </c>
    </row>
    <row r="16" spans="1:21">
      <c r="B16">
        <v>1128</v>
      </c>
      <c r="C16" t="s">
        <v>519</v>
      </c>
      <c r="E16" s="18" t="s">
        <v>666</v>
      </c>
      <c r="F16">
        <v>388</v>
      </c>
      <c r="G16" t="s">
        <v>636</v>
      </c>
      <c r="I16" s="9">
        <v>8</v>
      </c>
      <c r="J16" s="43" t="str">
        <f>A9</f>
        <v>1-4支渠</v>
      </c>
      <c r="K16" s="10">
        <f t="shared" si="0"/>
        <v>10</v>
      </c>
      <c r="L16" s="9" t="str">
        <f t="shared" si="1"/>
        <v>U80</v>
      </c>
      <c r="M16" s="9">
        <v>1.5</v>
      </c>
      <c r="N16" s="9">
        <v>67</v>
      </c>
      <c r="O16" s="24" t="str">
        <f>E2</f>
        <v>1-1-1斗渠</v>
      </c>
      <c r="P16" s="10">
        <f>F2</f>
        <v>1017</v>
      </c>
      <c r="Q16" s="9" t="s">
        <v>860</v>
      </c>
      <c r="R16" s="9">
        <v>1.5</v>
      </c>
      <c r="T16">
        <v>4</v>
      </c>
      <c r="U16">
        <v>2</v>
      </c>
    </row>
    <row r="17" spans="1:21">
      <c r="B17">
        <v>1354</v>
      </c>
      <c r="C17" t="s">
        <v>519</v>
      </c>
      <c r="E17" s="18" t="s">
        <v>667</v>
      </c>
      <c r="F17">
        <v>563</v>
      </c>
      <c r="G17" t="s">
        <v>638</v>
      </c>
      <c r="I17" s="9">
        <v>9</v>
      </c>
      <c r="J17" s="43"/>
      <c r="K17" s="10">
        <f t="shared" si="0"/>
        <v>2882</v>
      </c>
      <c r="L17" s="9" t="str">
        <f t="shared" si="1"/>
        <v>U80</v>
      </c>
      <c r="M17" s="9">
        <v>1.5</v>
      </c>
      <c r="N17" s="9">
        <v>68</v>
      </c>
      <c r="O17" s="24" t="str">
        <f>E3</f>
        <v>1-1-2斗渠</v>
      </c>
      <c r="P17" s="10">
        <f>F3</f>
        <v>108</v>
      </c>
      <c r="Q17" s="9" t="s">
        <v>861</v>
      </c>
      <c r="R17" s="9">
        <v>1.5</v>
      </c>
    </row>
    <row r="18" spans="1:21">
      <c r="B18">
        <v>1648</v>
      </c>
      <c r="C18" t="s">
        <v>519</v>
      </c>
      <c r="E18" s="18" t="s">
        <v>668</v>
      </c>
      <c r="F18">
        <v>273</v>
      </c>
      <c r="G18" t="s">
        <v>636</v>
      </c>
      <c r="I18" s="9">
        <v>10</v>
      </c>
      <c r="J18" s="9" t="str">
        <f>A11</f>
        <v>1-5支渠</v>
      </c>
      <c r="K18" s="10">
        <f t="shared" si="0"/>
        <v>10</v>
      </c>
      <c r="L18" s="9" t="str">
        <f t="shared" si="1"/>
        <v>U60</v>
      </c>
      <c r="M18" s="9">
        <v>1.5</v>
      </c>
      <c r="N18" s="9">
        <v>69</v>
      </c>
      <c r="O18" t="s">
        <v>851</v>
      </c>
      <c r="P18" s="10">
        <f>F4</f>
        <v>116</v>
      </c>
      <c r="Q18" s="9" t="s">
        <v>638</v>
      </c>
      <c r="R18" s="9">
        <v>1.5</v>
      </c>
      <c r="T18">
        <v>3</v>
      </c>
      <c r="U18">
        <v>2</v>
      </c>
    </row>
    <row r="19" spans="1:21">
      <c r="B19">
        <v>1938</v>
      </c>
      <c r="C19" t="s">
        <v>519</v>
      </c>
      <c r="E19" s="18" t="s">
        <v>669</v>
      </c>
      <c r="F19">
        <v>599</v>
      </c>
      <c r="G19" t="s">
        <v>636</v>
      </c>
      <c r="I19" s="9">
        <v>11</v>
      </c>
      <c r="J19" s="43" t="str">
        <f>A12</f>
        <v>2-1支渠</v>
      </c>
      <c r="K19" s="10">
        <f t="shared" si="0"/>
        <v>46</v>
      </c>
      <c r="L19" s="9" t="str">
        <f t="shared" si="1"/>
        <v>U80</v>
      </c>
      <c r="M19" s="9">
        <v>1.5</v>
      </c>
      <c r="N19" s="9">
        <v>70</v>
      </c>
      <c r="O19" s="24" t="str">
        <f t="shared" ref="O19:P23" si="3">E4</f>
        <v>1-1-4斗渠</v>
      </c>
      <c r="P19" s="10">
        <f t="shared" si="3"/>
        <v>116</v>
      </c>
      <c r="Q19" s="9" t="s">
        <v>638</v>
      </c>
      <c r="R19" s="9">
        <v>1.5</v>
      </c>
      <c r="T19">
        <v>7</v>
      </c>
      <c r="U19">
        <v>3</v>
      </c>
    </row>
    <row r="20" spans="1:21">
      <c r="B20">
        <v>2062</v>
      </c>
      <c r="C20" t="s">
        <v>519</v>
      </c>
      <c r="E20" s="18" t="s">
        <v>670</v>
      </c>
      <c r="F20">
        <v>371</v>
      </c>
      <c r="G20" t="s">
        <v>636</v>
      </c>
      <c r="I20" s="9">
        <v>12</v>
      </c>
      <c r="J20" s="43"/>
      <c r="K20" s="10">
        <f t="shared" si="0"/>
        <v>255</v>
      </c>
      <c r="L20" s="9" t="str">
        <f t="shared" si="1"/>
        <v>U80</v>
      </c>
      <c r="M20" s="9">
        <v>1.5</v>
      </c>
      <c r="N20" s="9">
        <v>71</v>
      </c>
      <c r="O20" s="24" t="str">
        <f t="shared" si="3"/>
        <v>1-1-5斗渠</v>
      </c>
      <c r="P20" s="10">
        <f t="shared" si="3"/>
        <v>716</v>
      </c>
      <c r="Q20" s="9" t="s">
        <v>638</v>
      </c>
      <c r="R20" s="9">
        <v>1.5</v>
      </c>
    </row>
    <row r="21" spans="1:21">
      <c r="B21">
        <v>2390</v>
      </c>
      <c r="C21" t="s">
        <v>519</v>
      </c>
      <c r="E21" s="18" t="s">
        <v>671</v>
      </c>
      <c r="F21">
        <v>182</v>
      </c>
      <c r="G21" t="s">
        <v>636</v>
      </c>
      <c r="I21" s="9">
        <v>13</v>
      </c>
      <c r="J21" s="43"/>
      <c r="K21" s="10">
        <f t="shared" si="0"/>
        <v>495</v>
      </c>
      <c r="L21" s="9" t="str">
        <f t="shared" si="1"/>
        <v>U80</v>
      </c>
      <c r="M21" s="9">
        <v>1.5</v>
      </c>
      <c r="N21" s="9">
        <v>72</v>
      </c>
      <c r="O21" s="24" t="str">
        <f t="shared" si="3"/>
        <v>1-1-6斗渠</v>
      </c>
      <c r="P21" s="10">
        <f t="shared" si="3"/>
        <v>653</v>
      </c>
      <c r="Q21" s="9" t="s">
        <v>638</v>
      </c>
      <c r="R21" s="9">
        <v>1.5</v>
      </c>
    </row>
    <row r="22" spans="1:21">
      <c r="B22">
        <v>2600</v>
      </c>
      <c r="C22" t="s">
        <v>519</v>
      </c>
      <c r="E22" s="18" t="s">
        <v>672</v>
      </c>
      <c r="F22">
        <v>691</v>
      </c>
      <c r="G22" t="s">
        <v>636</v>
      </c>
      <c r="I22" s="9">
        <v>14</v>
      </c>
      <c r="J22" s="43"/>
      <c r="K22" s="10">
        <f t="shared" si="0"/>
        <v>908</v>
      </c>
      <c r="L22" s="9" t="str">
        <f t="shared" si="1"/>
        <v>U80</v>
      </c>
      <c r="M22" s="9">
        <v>1.5</v>
      </c>
      <c r="N22" s="9">
        <v>73</v>
      </c>
      <c r="O22" s="24" t="str">
        <f t="shared" si="3"/>
        <v>1-1-7斗渠</v>
      </c>
      <c r="P22" s="10">
        <f t="shared" si="3"/>
        <v>683</v>
      </c>
      <c r="Q22" s="9" t="s">
        <v>638</v>
      </c>
      <c r="R22" s="9">
        <v>1.5</v>
      </c>
    </row>
    <row r="23" spans="1:21">
      <c r="B23">
        <v>2818</v>
      </c>
      <c r="C23" t="s">
        <v>453</v>
      </c>
      <c r="E23" s="18" t="s">
        <v>673</v>
      </c>
      <c r="F23">
        <v>210</v>
      </c>
      <c r="G23" t="s">
        <v>636</v>
      </c>
      <c r="I23" s="9">
        <v>15</v>
      </c>
      <c r="J23" s="43"/>
      <c r="K23" s="10">
        <f t="shared" si="0"/>
        <v>1128</v>
      </c>
      <c r="L23" s="9" t="str">
        <f t="shared" si="1"/>
        <v>U80</v>
      </c>
      <c r="M23" s="9">
        <v>1.5</v>
      </c>
      <c r="N23" s="9">
        <v>74</v>
      </c>
      <c r="O23" s="24" t="str">
        <f t="shared" si="3"/>
        <v>1-1-8斗渠</v>
      </c>
      <c r="P23" s="10">
        <f t="shared" si="3"/>
        <v>501</v>
      </c>
      <c r="Q23" s="9" t="s">
        <v>638</v>
      </c>
      <c r="R23" s="9">
        <v>1.5</v>
      </c>
      <c r="T23">
        <v>2</v>
      </c>
      <c r="U23">
        <v>1</v>
      </c>
    </row>
    <row r="24" spans="1:21">
      <c r="B24">
        <v>2948</v>
      </c>
      <c r="C24" t="s">
        <v>453</v>
      </c>
      <c r="E24" s="18" t="s">
        <v>674</v>
      </c>
      <c r="F24">
        <v>241</v>
      </c>
      <c r="G24" t="s">
        <v>636</v>
      </c>
      <c r="I24" s="9">
        <v>16</v>
      </c>
      <c r="J24" s="43"/>
      <c r="K24" s="10">
        <f t="shared" si="0"/>
        <v>1354</v>
      </c>
      <c r="L24" s="9" t="str">
        <f t="shared" si="1"/>
        <v>U80</v>
      </c>
      <c r="M24" s="9">
        <v>1.5</v>
      </c>
      <c r="N24" s="9">
        <v>75</v>
      </c>
      <c r="O24" s="24" t="str">
        <f>E9</f>
        <v>1-2-2斗渠</v>
      </c>
      <c r="P24" s="10">
        <v>105</v>
      </c>
      <c r="Q24" s="9" t="s">
        <v>638</v>
      </c>
      <c r="R24" s="9">
        <v>1.5</v>
      </c>
    </row>
    <row r="25" spans="1:21">
      <c r="B25">
        <v>3120</v>
      </c>
      <c r="C25" t="s">
        <v>530</v>
      </c>
      <c r="E25" s="18" t="s">
        <v>675</v>
      </c>
      <c r="F25">
        <v>432</v>
      </c>
      <c r="G25" t="s">
        <v>636</v>
      </c>
      <c r="I25" s="9">
        <v>17</v>
      </c>
      <c r="J25" s="43"/>
      <c r="K25" s="10">
        <f t="shared" si="0"/>
        <v>1648</v>
      </c>
      <c r="L25" s="9" t="str">
        <f t="shared" si="1"/>
        <v>U80</v>
      </c>
      <c r="M25" s="9">
        <v>1.5</v>
      </c>
      <c r="N25" s="9">
        <v>76</v>
      </c>
      <c r="O25" s="24" t="str">
        <f>E10</f>
        <v>1-2-3斗渠</v>
      </c>
      <c r="P25" s="10">
        <v>203</v>
      </c>
      <c r="Q25" s="9" t="s">
        <v>638</v>
      </c>
      <c r="R25" s="9">
        <v>1.5</v>
      </c>
    </row>
    <row r="26" spans="1:21">
      <c r="B26">
        <v>3590</v>
      </c>
      <c r="C26" t="s">
        <v>530</v>
      </c>
      <c r="E26" s="18" t="s">
        <v>676</v>
      </c>
      <c r="F26">
        <v>342</v>
      </c>
      <c r="G26" t="s">
        <v>636</v>
      </c>
      <c r="I26" s="9">
        <v>18</v>
      </c>
      <c r="J26" s="43"/>
      <c r="K26" s="10">
        <f t="shared" si="0"/>
        <v>1938</v>
      </c>
      <c r="L26" s="9" t="str">
        <f t="shared" si="1"/>
        <v>U80</v>
      </c>
      <c r="M26" s="9">
        <v>1.5</v>
      </c>
      <c r="N26" s="9">
        <v>77</v>
      </c>
      <c r="O26" s="24" t="str">
        <f>E11</f>
        <v>1-3-4斗渠</v>
      </c>
      <c r="P26" s="10">
        <v>112</v>
      </c>
      <c r="Q26" s="9" t="s">
        <v>638</v>
      </c>
      <c r="R26" s="9">
        <v>1.5</v>
      </c>
    </row>
    <row r="27" spans="1:21">
      <c r="B27">
        <v>3799</v>
      </c>
      <c r="C27" t="s">
        <v>530</v>
      </c>
      <c r="E27" s="18" t="s">
        <v>677</v>
      </c>
      <c r="F27">
        <v>623</v>
      </c>
      <c r="G27" t="s">
        <v>636</v>
      </c>
      <c r="I27" s="9">
        <v>19</v>
      </c>
      <c r="J27" s="43"/>
      <c r="K27" s="10">
        <f t="shared" si="0"/>
        <v>2062</v>
      </c>
      <c r="L27" s="9" t="str">
        <f t="shared" si="1"/>
        <v>U80</v>
      </c>
      <c r="M27" s="9">
        <v>1.5</v>
      </c>
      <c r="N27" s="9">
        <v>78</v>
      </c>
      <c r="O27" s="24" t="str">
        <f>E12</f>
        <v>1-4-2斗渠</v>
      </c>
      <c r="P27" s="10">
        <v>151</v>
      </c>
      <c r="Q27" s="9" t="s">
        <v>638</v>
      </c>
      <c r="R27" s="9">
        <v>1.5</v>
      </c>
      <c r="U27">
        <f>38+T9+T16+T18+T19+T23</f>
        <v>66</v>
      </c>
    </row>
    <row r="28" spans="1:21">
      <c r="B28">
        <v>4103</v>
      </c>
      <c r="C28" t="s">
        <v>530</v>
      </c>
      <c r="E28" s="18" t="s">
        <v>678</v>
      </c>
      <c r="F28">
        <v>560</v>
      </c>
      <c r="G28" t="s">
        <v>636</v>
      </c>
      <c r="I28" s="9">
        <v>20</v>
      </c>
      <c r="J28" s="43"/>
      <c r="K28" s="10">
        <f t="shared" si="0"/>
        <v>2390</v>
      </c>
      <c r="L28" s="9" t="str">
        <f t="shared" si="1"/>
        <v>U80</v>
      </c>
      <c r="M28" s="9">
        <v>1.5</v>
      </c>
      <c r="N28" s="9">
        <v>79</v>
      </c>
      <c r="O28" s="24" t="str">
        <f>E9</f>
        <v>1-2-2斗渠</v>
      </c>
      <c r="P28" s="35">
        <f>F9</f>
        <v>1028</v>
      </c>
      <c r="Q28" s="9" t="s">
        <v>638</v>
      </c>
      <c r="R28" s="9">
        <v>1.5</v>
      </c>
    </row>
    <row r="29" spans="1:21">
      <c r="A29" t="s">
        <v>619</v>
      </c>
      <c r="B29">
        <v>10</v>
      </c>
      <c r="C29" t="s">
        <v>530</v>
      </c>
      <c r="E29" s="18" t="s">
        <v>679</v>
      </c>
      <c r="F29">
        <v>517</v>
      </c>
      <c r="G29" t="s">
        <v>636</v>
      </c>
      <c r="I29" s="9">
        <v>21</v>
      </c>
      <c r="J29" s="43"/>
      <c r="K29" s="10">
        <f t="shared" si="0"/>
        <v>2600</v>
      </c>
      <c r="L29" s="9" t="str">
        <f t="shared" si="1"/>
        <v>U80</v>
      </c>
      <c r="M29" s="9">
        <v>1.5</v>
      </c>
      <c r="N29" s="9">
        <v>80</v>
      </c>
      <c r="O29" s="24" t="str">
        <f>E10</f>
        <v>1-2-3斗渠</v>
      </c>
      <c r="P29" s="35">
        <f>F10</f>
        <v>1006</v>
      </c>
      <c r="Q29" s="9" t="s">
        <v>638</v>
      </c>
      <c r="R29" s="9">
        <v>1.5</v>
      </c>
    </row>
    <row r="30" spans="1:21">
      <c r="B30">
        <v>1622</v>
      </c>
      <c r="C30" t="s">
        <v>530</v>
      </c>
      <c r="E30" s="18" t="s">
        <v>680</v>
      </c>
      <c r="F30">
        <v>214</v>
      </c>
      <c r="G30" t="s">
        <v>636</v>
      </c>
      <c r="I30" s="9">
        <v>22</v>
      </c>
      <c r="J30" s="43"/>
      <c r="K30" s="10">
        <f t="shared" si="0"/>
        <v>2818</v>
      </c>
      <c r="L30" s="9" t="str">
        <f t="shared" si="1"/>
        <v>U60</v>
      </c>
      <c r="M30" s="9">
        <v>1.5</v>
      </c>
      <c r="N30" s="9">
        <v>81</v>
      </c>
      <c r="O30" t="s">
        <v>852</v>
      </c>
      <c r="P30" s="35">
        <v>100</v>
      </c>
      <c r="Q30" s="9" t="s">
        <v>638</v>
      </c>
      <c r="R30" s="9">
        <v>1.5</v>
      </c>
    </row>
    <row r="31" spans="1:21">
      <c r="B31">
        <v>2270</v>
      </c>
      <c r="C31" t="s">
        <v>530</v>
      </c>
      <c r="E31" s="18" t="s">
        <v>681</v>
      </c>
      <c r="F31">
        <v>117</v>
      </c>
      <c r="G31" t="s">
        <v>636</v>
      </c>
      <c r="I31" s="9">
        <v>23</v>
      </c>
      <c r="J31" s="43"/>
      <c r="K31" s="10">
        <f t="shared" si="0"/>
        <v>2948</v>
      </c>
      <c r="L31" s="9" t="str">
        <f t="shared" si="1"/>
        <v>U60</v>
      </c>
      <c r="M31" s="9">
        <v>1.5</v>
      </c>
      <c r="N31" s="9">
        <v>82</v>
      </c>
      <c r="O31" t="s">
        <v>853</v>
      </c>
      <c r="P31" s="35">
        <v>200</v>
      </c>
      <c r="Q31" s="9" t="s">
        <v>638</v>
      </c>
      <c r="R31" s="9">
        <v>1.5</v>
      </c>
    </row>
    <row r="32" spans="1:21">
      <c r="A32" t="s">
        <v>404</v>
      </c>
      <c r="B32">
        <v>60</v>
      </c>
      <c r="C32" t="s">
        <v>530</v>
      </c>
      <c r="E32" s="18" t="s">
        <v>682</v>
      </c>
      <c r="F32">
        <v>369</v>
      </c>
      <c r="G32" t="s">
        <v>636</v>
      </c>
      <c r="I32" s="9">
        <v>24</v>
      </c>
      <c r="J32" s="43"/>
      <c r="K32" s="10">
        <f t="shared" si="0"/>
        <v>3120</v>
      </c>
      <c r="L32" s="9" t="str">
        <f t="shared" si="1"/>
        <v>U60</v>
      </c>
      <c r="M32" s="9">
        <v>1.5</v>
      </c>
      <c r="N32" s="9">
        <v>83</v>
      </c>
      <c r="O32" s="24" t="str">
        <f>E11</f>
        <v>1-3-4斗渠</v>
      </c>
      <c r="P32" s="35">
        <f>F11</f>
        <v>313</v>
      </c>
      <c r="Q32" s="9" t="s">
        <v>638</v>
      </c>
      <c r="R32" s="9">
        <v>1.5</v>
      </c>
    </row>
    <row r="33" spans="1:18">
      <c r="B33">
        <v>479</v>
      </c>
      <c r="C33" t="s">
        <v>530</v>
      </c>
      <c r="E33" s="18" t="s">
        <v>683</v>
      </c>
      <c r="F33">
        <v>234</v>
      </c>
      <c r="G33" t="s">
        <v>636</v>
      </c>
      <c r="I33" s="9">
        <v>25</v>
      </c>
      <c r="J33" s="43"/>
      <c r="K33" s="10">
        <f t="shared" si="0"/>
        <v>3590</v>
      </c>
      <c r="L33" s="9" t="str">
        <f t="shared" si="1"/>
        <v>U60</v>
      </c>
      <c r="M33" s="9">
        <v>1.5</v>
      </c>
      <c r="N33" s="9">
        <v>84</v>
      </c>
      <c r="O33" t="s">
        <v>854</v>
      </c>
      <c r="P33" s="35">
        <v>100</v>
      </c>
      <c r="Q33" s="9" t="s">
        <v>638</v>
      </c>
      <c r="R33" s="9">
        <v>1.5</v>
      </c>
    </row>
    <row r="34" spans="1:18">
      <c r="B34">
        <v>778</v>
      </c>
      <c r="C34" t="s">
        <v>530</v>
      </c>
      <c r="E34" s="18" t="s">
        <v>684</v>
      </c>
      <c r="F34">
        <v>375</v>
      </c>
      <c r="G34" t="s">
        <v>636</v>
      </c>
      <c r="I34" s="9">
        <v>26</v>
      </c>
      <c r="J34" s="43"/>
      <c r="K34" s="10">
        <f t="shared" si="0"/>
        <v>3799</v>
      </c>
      <c r="L34" s="9" t="str">
        <f t="shared" si="1"/>
        <v>U60</v>
      </c>
      <c r="M34" s="9">
        <v>1.5</v>
      </c>
      <c r="N34" s="9">
        <v>85</v>
      </c>
      <c r="O34" t="s">
        <v>855</v>
      </c>
      <c r="P34" s="35">
        <v>150</v>
      </c>
      <c r="Q34" s="9" t="s">
        <v>638</v>
      </c>
      <c r="R34" s="9">
        <v>1.5</v>
      </c>
    </row>
    <row r="35" spans="1:18">
      <c r="B35">
        <v>938</v>
      </c>
      <c r="C35" t="s">
        <v>530</v>
      </c>
      <c r="E35" s="18" t="s">
        <v>685</v>
      </c>
      <c r="F35">
        <v>468</v>
      </c>
      <c r="G35" t="s">
        <v>636</v>
      </c>
      <c r="I35" s="9">
        <v>27</v>
      </c>
      <c r="J35" s="43"/>
      <c r="K35" s="10">
        <f t="shared" si="0"/>
        <v>4103</v>
      </c>
      <c r="L35" s="9" t="str">
        <f t="shared" si="1"/>
        <v>U60</v>
      </c>
      <c r="M35" s="9">
        <v>1.5</v>
      </c>
      <c r="N35" s="9">
        <v>86</v>
      </c>
      <c r="O35" s="24" t="str">
        <f t="shared" ref="O35:P38" si="4">E12</f>
        <v>1-4-2斗渠</v>
      </c>
      <c r="P35" s="35">
        <f t="shared" si="4"/>
        <v>284</v>
      </c>
      <c r="Q35" s="9" t="s">
        <v>638</v>
      </c>
      <c r="R35" s="9">
        <v>1.5</v>
      </c>
    </row>
    <row r="36" spans="1:18">
      <c r="B36">
        <v>1550</v>
      </c>
      <c r="C36" t="s">
        <v>530</v>
      </c>
      <c r="E36" s="18" t="s">
        <v>686</v>
      </c>
      <c r="F36">
        <v>506</v>
      </c>
      <c r="G36" t="s">
        <v>636</v>
      </c>
      <c r="I36" s="9">
        <v>28</v>
      </c>
      <c r="J36" s="43" t="str">
        <f>A29</f>
        <v>2-2支渠</v>
      </c>
      <c r="K36" s="10">
        <f t="shared" si="0"/>
        <v>10</v>
      </c>
      <c r="L36" s="9" t="str">
        <f t="shared" si="1"/>
        <v>U60</v>
      </c>
      <c r="M36" s="9">
        <v>1.5</v>
      </c>
      <c r="N36" s="9">
        <v>87</v>
      </c>
      <c r="O36" s="24" t="str">
        <f t="shared" si="4"/>
        <v>1-4-3斗渠</v>
      </c>
      <c r="P36" s="35">
        <f t="shared" si="4"/>
        <v>422</v>
      </c>
      <c r="Q36" s="9" t="s">
        <v>638</v>
      </c>
      <c r="R36" s="9">
        <v>1.5</v>
      </c>
    </row>
    <row r="37" spans="1:18">
      <c r="B37">
        <v>1779</v>
      </c>
      <c r="C37" t="s">
        <v>530</v>
      </c>
      <c r="E37" s="18" t="s">
        <v>687</v>
      </c>
      <c r="F37">
        <v>206</v>
      </c>
      <c r="G37" t="s">
        <v>636</v>
      </c>
      <c r="I37" s="9">
        <v>29</v>
      </c>
      <c r="J37" s="43"/>
      <c r="K37" s="10">
        <f t="shared" si="0"/>
        <v>1622</v>
      </c>
      <c r="L37" s="9" t="str">
        <f t="shared" si="1"/>
        <v>U60</v>
      </c>
      <c r="M37" s="9">
        <v>1.5</v>
      </c>
      <c r="N37" s="9">
        <v>88</v>
      </c>
      <c r="O37" s="24" t="str">
        <f t="shared" si="4"/>
        <v>1-4-4斗渠</v>
      </c>
      <c r="P37" s="35">
        <f t="shared" si="4"/>
        <v>532</v>
      </c>
      <c r="Q37" s="9" t="s">
        <v>638</v>
      </c>
      <c r="R37" s="9">
        <v>1.5</v>
      </c>
    </row>
    <row r="38" spans="1:18">
      <c r="B38">
        <v>2133</v>
      </c>
      <c r="C38" t="s">
        <v>530</v>
      </c>
      <c r="E38" s="18" t="s">
        <v>688</v>
      </c>
      <c r="F38">
        <v>402</v>
      </c>
      <c r="G38" t="s">
        <v>636</v>
      </c>
      <c r="I38" s="9">
        <v>30</v>
      </c>
      <c r="J38" s="43"/>
      <c r="K38" s="10">
        <f t="shared" si="0"/>
        <v>2270</v>
      </c>
      <c r="L38" s="9" t="str">
        <f t="shared" si="1"/>
        <v>U60</v>
      </c>
      <c r="M38" s="9">
        <v>1.5</v>
      </c>
      <c r="N38" s="9">
        <v>89</v>
      </c>
      <c r="O38" s="24" t="str">
        <f t="shared" si="4"/>
        <v>1-4-5斗渠</v>
      </c>
      <c r="P38" s="35">
        <f t="shared" si="4"/>
        <v>1191</v>
      </c>
      <c r="Q38" s="9" t="s">
        <v>638</v>
      </c>
      <c r="R38" s="9">
        <v>1.5</v>
      </c>
    </row>
    <row r="39" spans="1:18">
      <c r="B39">
        <v>2346</v>
      </c>
      <c r="C39" t="s">
        <v>530</v>
      </c>
      <c r="E39" s="18" t="s">
        <v>689</v>
      </c>
      <c r="F39">
        <v>725</v>
      </c>
      <c r="I39" s="9">
        <v>31</v>
      </c>
      <c r="J39" s="43" t="str">
        <f>A32</f>
        <v>2-3支渠</v>
      </c>
      <c r="K39" s="10">
        <f t="shared" si="0"/>
        <v>60</v>
      </c>
      <c r="L39" s="9" t="str">
        <f t="shared" si="1"/>
        <v>U60</v>
      </c>
      <c r="M39" s="9">
        <v>1.5</v>
      </c>
      <c r="N39" s="9">
        <v>90</v>
      </c>
      <c r="O39" t="s">
        <v>856</v>
      </c>
      <c r="P39" s="35">
        <v>100</v>
      </c>
      <c r="Q39" s="9" t="s">
        <v>638</v>
      </c>
      <c r="R39" s="9">
        <v>1.5</v>
      </c>
    </row>
    <row r="40" spans="1:18">
      <c r="B40">
        <v>3025</v>
      </c>
      <c r="C40" t="s">
        <v>530</v>
      </c>
      <c r="E40" s="18"/>
      <c r="I40" s="9">
        <v>32</v>
      </c>
      <c r="J40" s="43"/>
      <c r="K40" s="10">
        <f t="shared" si="0"/>
        <v>479</v>
      </c>
      <c r="L40" s="9" t="str">
        <f t="shared" si="1"/>
        <v>U60</v>
      </c>
      <c r="M40" s="9">
        <v>1.5</v>
      </c>
      <c r="N40" s="9">
        <v>91</v>
      </c>
      <c r="O40" t="s">
        <v>857</v>
      </c>
      <c r="P40" s="35">
        <v>110</v>
      </c>
      <c r="Q40" s="9" t="s">
        <v>638</v>
      </c>
      <c r="R40" s="9">
        <v>1.5</v>
      </c>
    </row>
    <row r="41" spans="1:18">
      <c r="B41">
        <v>3274</v>
      </c>
      <c r="C41" t="s">
        <v>530</v>
      </c>
      <c r="E41" s="18"/>
      <c r="I41" s="9">
        <v>33</v>
      </c>
      <c r="J41" s="43"/>
      <c r="K41" s="10">
        <f t="shared" si="0"/>
        <v>778</v>
      </c>
      <c r="L41" s="9" t="str">
        <f t="shared" si="1"/>
        <v>U60</v>
      </c>
      <c r="M41" s="9">
        <v>1.5</v>
      </c>
      <c r="N41" s="9">
        <v>92</v>
      </c>
      <c r="O41" t="s">
        <v>858</v>
      </c>
      <c r="P41" s="35">
        <v>120</v>
      </c>
      <c r="Q41" s="9" t="s">
        <v>638</v>
      </c>
      <c r="R41" s="9">
        <v>1.5</v>
      </c>
    </row>
    <row r="42" spans="1:18">
      <c r="B42">
        <v>3345</v>
      </c>
      <c r="C42" t="s">
        <v>530</v>
      </c>
      <c r="E42" s="18"/>
      <c r="I42" s="9">
        <v>34</v>
      </c>
      <c r="J42" s="43"/>
      <c r="K42" s="10">
        <f t="shared" si="0"/>
        <v>938</v>
      </c>
      <c r="L42" s="9" t="str">
        <f t="shared" si="1"/>
        <v>U60</v>
      </c>
      <c r="M42" s="9">
        <v>1.5</v>
      </c>
      <c r="N42" s="9">
        <v>93</v>
      </c>
      <c r="O42" s="24" t="str">
        <f>E16</f>
        <v>1-5-1斗渠</v>
      </c>
      <c r="P42" s="35">
        <f>F16</f>
        <v>388</v>
      </c>
      <c r="Q42" s="9" t="s">
        <v>638</v>
      </c>
      <c r="R42" s="9">
        <v>1.5</v>
      </c>
    </row>
    <row r="43" spans="1:18">
      <c r="B43">
        <v>3641</v>
      </c>
      <c r="C43" t="s">
        <v>530</v>
      </c>
      <c r="E43" s="18"/>
      <c r="I43" s="9">
        <v>35</v>
      </c>
      <c r="J43" s="43"/>
      <c r="K43" s="10">
        <f t="shared" si="0"/>
        <v>1550</v>
      </c>
      <c r="L43" s="9" t="str">
        <f t="shared" si="1"/>
        <v>U60</v>
      </c>
      <c r="M43" s="9">
        <v>1.5</v>
      </c>
      <c r="N43" s="9">
        <v>94</v>
      </c>
      <c r="O43" t="s">
        <v>859</v>
      </c>
      <c r="P43" s="35">
        <v>150</v>
      </c>
      <c r="Q43" s="9" t="s">
        <v>638</v>
      </c>
      <c r="R43" s="9">
        <v>1.5</v>
      </c>
    </row>
    <row r="44" spans="1:18">
      <c r="B44">
        <v>3747</v>
      </c>
      <c r="C44" t="s">
        <v>530</v>
      </c>
      <c r="E44" s="18"/>
      <c r="I44" s="9">
        <v>36</v>
      </c>
      <c r="J44" s="43"/>
      <c r="K44" s="10">
        <f t="shared" si="0"/>
        <v>1779</v>
      </c>
      <c r="L44" s="9" t="str">
        <f t="shared" si="1"/>
        <v>U60</v>
      </c>
      <c r="M44" s="9">
        <v>1.5</v>
      </c>
      <c r="N44" s="9">
        <v>95</v>
      </c>
      <c r="O44" s="24" t="str">
        <f t="shared" ref="O44:O66" si="5">E17</f>
        <v>2-1-1斗渠</v>
      </c>
      <c r="P44" s="35">
        <f t="shared" ref="P44:P66" si="6">F17</f>
        <v>563</v>
      </c>
      <c r="Q44" s="9" t="s">
        <v>638</v>
      </c>
      <c r="R44" s="9">
        <v>1.5</v>
      </c>
    </row>
    <row r="45" spans="1:18">
      <c r="B45">
        <v>3944</v>
      </c>
      <c r="C45" t="s">
        <v>530</v>
      </c>
      <c r="E45" s="18"/>
      <c r="I45" s="9">
        <v>37</v>
      </c>
      <c r="J45" s="43"/>
      <c r="K45" s="10">
        <f t="shared" si="0"/>
        <v>2133</v>
      </c>
      <c r="L45" s="9" t="str">
        <f t="shared" si="1"/>
        <v>U60</v>
      </c>
      <c r="M45" s="9">
        <v>1.5</v>
      </c>
      <c r="N45" s="9">
        <v>96</v>
      </c>
      <c r="O45" s="24" t="str">
        <f t="shared" si="5"/>
        <v>2-1-3斗渠</v>
      </c>
      <c r="P45" s="10">
        <f t="shared" si="6"/>
        <v>273</v>
      </c>
      <c r="Q45" s="9" t="s">
        <v>638</v>
      </c>
      <c r="R45" s="9">
        <v>1.5</v>
      </c>
    </row>
    <row r="46" spans="1:18">
      <c r="A46" t="s">
        <v>405</v>
      </c>
      <c r="B46">
        <v>10</v>
      </c>
      <c r="C46" t="s">
        <v>530</v>
      </c>
      <c r="E46" s="18"/>
      <c r="I46" s="9">
        <v>38</v>
      </c>
      <c r="J46" s="43"/>
      <c r="K46" s="10">
        <f t="shared" si="0"/>
        <v>2346</v>
      </c>
      <c r="L46" s="9" t="str">
        <f t="shared" si="1"/>
        <v>U60</v>
      </c>
      <c r="M46" s="9">
        <v>1.5</v>
      </c>
      <c r="N46" s="9">
        <v>97</v>
      </c>
      <c r="O46" s="24" t="str">
        <f t="shared" si="5"/>
        <v>2-1-4斗渠</v>
      </c>
      <c r="P46" s="10">
        <f t="shared" si="6"/>
        <v>599</v>
      </c>
      <c r="Q46" s="9" t="s">
        <v>638</v>
      </c>
      <c r="R46" s="9">
        <v>1.5</v>
      </c>
    </row>
    <row r="47" spans="1:18">
      <c r="B47">
        <v>2006</v>
      </c>
      <c r="C47" t="s">
        <v>530</v>
      </c>
      <c r="E47" s="18"/>
      <c r="I47" s="9">
        <v>39</v>
      </c>
      <c r="J47" s="43"/>
      <c r="K47" s="10">
        <f t="shared" si="0"/>
        <v>3025</v>
      </c>
      <c r="L47" s="9" t="str">
        <f t="shared" si="1"/>
        <v>U60</v>
      </c>
      <c r="M47" s="9">
        <v>1.5</v>
      </c>
      <c r="N47" s="9">
        <v>98</v>
      </c>
      <c r="O47" s="24" t="str">
        <f t="shared" si="5"/>
        <v>2-1-5斗渠</v>
      </c>
      <c r="P47" s="10">
        <f t="shared" si="6"/>
        <v>371</v>
      </c>
      <c r="Q47" s="9" t="s">
        <v>638</v>
      </c>
      <c r="R47" s="9">
        <v>1.5</v>
      </c>
    </row>
    <row r="48" spans="1:18">
      <c r="B48">
        <v>3652</v>
      </c>
      <c r="C48" t="s">
        <v>530</v>
      </c>
      <c r="E48" s="18"/>
      <c r="I48" s="9">
        <v>40</v>
      </c>
      <c r="J48" s="43"/>
      <c r="K48" s="10">
        <f t="shared" si="0"/>
        <v>3274</v>
      </c>
      <c r="L48" s="9" t="str">
        <f t="shared" si="1"/>
        <v>U60</v>
      </c>
      <c r="M48" s="9">
        <v>1.5</v>
      </c>
      <c r="N48" s="9">
        <v>99</v>
      </c>
      <c r="O48" s="24" t="str">
        <f t="shared" si="5"/>
        <v>2-1-7斗渠</v>
      </c>
      <c r="P48" s="10">
        <f t="shared" si="6"/>
        <v>182</v>
      </c>
      <c r="Q48" s="9" t="s">
        <v>638</v>
      </c>
      <c r="R48" s="9">
        <v>1.5</v>
      </c>
    </row>
    <row r="49" spans="1:18">
      <c r="A49" t="s">
        <v>406</v>
      </c>
      <c r="B49">
        <v>56</v>
      </c>
      <c r="C49" t="s">
        <v>530</v>
      </c>
      <c r="E49" s="18"/>
      <c r="I49" s="9">
        <v>41</v>
      </c>
      <c r="J49" s="43"/>
      <c r="K49" s="10">
        <f t="shared" si="0"/>
        <v>3345</v>
      </c>
      <c r="L49" s="9" t="str">
        <f t="shared" si="1"/>
        <v>U60</v>
      </c>
      <c r="M49" s="9">
        <v>1.5</v>
      </c>
      <c r="N49" s="9">
        <v>100</v>
      </c>
      <c r="O49" s="24" t="str">
        <f t="shared" si="5"/>
        <v>2-1-9斗渠</v>
      </c>
      <c r="P49" s="10">
        <f t="shared" si="6"/>
        <v>691</v>
      </c>
      <c r="Q49" s="9" t="s">
        <v>638</v>
      </c>
      <c r="R49" s="9">
        <v>1.5</v>
      </c>
    </row>
    <row r="50" spans="1:18">
      <c r="B50">
        <v>685</v>
      </c>
      <c r="C50" t="s">
        <v>530</v>
      </c>
      <c r="E50" s="18"/>
      <c r="I50" s="9">
        <v>42</v>
      </c>
      <c r="J50" s="43"/>
      <c r="K50" s="10">
        <f t="shared" si="0"/>
        <v>3641</v>
      </c>
      <c r="L50" s="9" t="str">
        <f t="shared" si="1"/>
        <v>U60</v>
      </c>
      <c r="M50" s="9">
        <v>1.5</v>
      </c>
      <c r="N50" s="9">
        <v>101</v>
      </c>
      <c r="O50" s="24" t="str">
        <f t="shared" si="5"/>
        <v>2-1-10斗渠</v>
      </c>
      <c r="P50" s="10">
        <f t="shared" si="6"/>
        <v>210</v>
      </c>
      <c r="Q50" s="9" t="s">
        <v>638</v>
      </c>
      <c r="R50" s="9">
        <v>1.5</v>
      </c>
    </row>
    <row r="51" spans="1:18">
      <c r="B51">
        <v>770</v>
      </c>
      <c r="C51" t="s">
        <v>530</v>
      </c>
      <c r="E51" s="18"/>
      <c r="I51" s="9">
        <v>43</v>
      </c>
      <c r="J51" s="43"/>
      <c r="K51" s="10">
        <f t="shared" si="0"/>
        <v>3747</v>
      </c>
      <c r="L51" s="9" t="str">
        <f t="shared" si="1"/>
        <v>U60</v>
      </c>
      <c r="M51" s="9">
        <v>1.5</v>
      </c>
      <c r="N51" s="9">
        <v>102</v>
      </c>
      <c r="O51" s="24" t="str">
        <f t="shared" si="5"/>
        <v>2-2-2斗渠</v>
      </c>
      <c r="P51" s="10">
        <f t="shared" si="6"/>
        <v>241</v>
      </c>
      <c r="Q51" s="9" t="s">
        <v>638</v>
      </c>
      <c r="R51" s="9">
        <v>1.5</v>
      </c>
    </row>
    <row r="52" spans="1:18">
      <c r="B52">
        <v>1204</v>
      </c>
      <c r="C52" t="s">
        <v>530</v>
      </c>
      <c r="E52" s="18"/>
      <c r="I52" s="9">
        <v>44</v>
      </c>
      <c r="J52" s="43"/>
      <c r="K52" s="10">
        <f t="shared" si="0"/>
        <v>3944</v>
      </c>
      <c r="L52" s="9" t="str">
        <f t="shared" si="1"/>
        <v>U60</v>
      </c>
      <c r="M52" s="9">
        <v>1.5</v>
      </c>
      <c r="N52" s="9">
        <v>103</v>
      </c>
      <c r="O52" s="24" t="str">
        <f t="shared" si="5"/>
        <v>2-2-4斗渠</v>
      </c>
      <c r="P52" s="10">
        <f t="shared" si="6"/>
        <v>432</v>
      </c>
      <c r="Q52" s="9" t="s">
        <v>638</v>
      </c>
      <c r="R52" s="9">
        <v>1.5</v>
      </c>
    </row>
    <row r="53" spans="1:18">
      <c r="B53">
        <v>1626</v>
      </c>
      <c r="C53" t="s">
        <v>530</v>
      </c>
      <c r="E53" s="18"/>
      <c r="I53" s="9">
        <v>45</v>
      </c>
      <c r="J53" s="43" t="str">
        <f>A46</f>
        <v>2-4支渠</v>
      </c>
      <c r="K53" s="10">
        <f t="shared" si="0"/>
        <v>10</v>
      </c>
      <c r="L53" s="9" t="str">
        <f t="shared" si="1"/>
        <v>U60</v>
      </c>
      <c r="M53" s="9">
        <v>1.5</v>
      </c>
      <c r="N53" s="9">
        <v>104</v>
      </c>
      <c r="O53" s="24" t="str">
        <f t="shared" si="5"/>
        <v>2-2-7斗渠</v>
      </c>
      <c r="P53" s="10">
        <f t="shared" si="6"/>
        <v>342</v>
      </c>
      <c r="Q53" s="9" t="s">
        <v>638</v>
      </c>
      <c r="R53" s="9">
        <v>1.5</v>
      </c>
    </row>
    <row r="54" spans="1:18">
      <c r="B54">
        <v>2275</v>
      </c>
      <c r="C54" t="s">
        <v>530</v>
      </c>
      <c r="E54" s="18"/>
      <c r="I54" s="9">
        <v>46</v>
      </c>
      <c r="J54" s="43"/>
      <c r="K54" s="10">
        <f t="shared" si="0"/>
        <v>2006</v>
      </c>
      <c r="L54" s="9" t="str">
        <f t="shared" si="1"/>
        <v>U60</v>
      </c>
      <c r="M54" s="9">
        <v>1.5</v>
      </c>
      <c r="N54" s="9">
        <v>105</v>
      </c>
      <c r="O54" s="24" t="str">
        <f t="shared" si="5"/>
        <v>2-3-1斗渠</v>
      </c>
      <c r="P54" s="10">
        <f t="shared" si="6"/>
        <v>623</v>
      </c>
      <c r="Q54" s="9" t="s">
        <v>638</v>
      </c>
      <c r="R54" s="9">
        <v>1.5</v>
      </c>
    </row>
    <row r="55" spans="1:18">
      <c r="B55">
        <v>2397</v>
      </c>
      <c r="C55" t="s">
        <v>530</v>
      </c>
      <c r="E55" s="18"/>
      <c r="I55" s="9">
        <v>47</v>
      </c>
      <c r="J55" s="43"/>
      <c r="K55" s="10">
        <f t="shared" si="0"/>
        <v>3652</v>
      </c>
      <c r="L55" s="9" t="str">
        <f t="shared" si="1"/>
        <v>U60</v>
      </c>
      <c r="M55" s="9">
        <v>1.5</v>
      </c>
      <c r="N55" s="9">
        <v>106</v>
      </c>
      <c r="O55" s="24" t="str">
        <f t="shared" si="5"/>
        <v>2-3-5斗渠</v>
      </c>
      <c r="P55" s="10">
        <f t="shared" si="6"/>
        <v>560</v>
      </c>
      <c r="Q55" s="9" t="s">
        <v>638</v>
      </c>
      <c r="R55" s="9">
        <v>1.5</v>
      </c>
    </row>
    <row r="56" spans="1:18">
      <c r="B56">
        <v>2807</v>
      </c>
      <c r="C56" t="s">
        <v>530</v>
      </c>
      <c r="E56" s="18"/>
      <c r="I56" s="9">
        <v>48</v>
      </c>
      <c r="J56" s="43" t="str">
        <f>A49</f>
        <v>2-5支渠</v>
      </c>
      <c r="K56" s="10">
        <f t="shared" si="0"/>
        <v>56</v>
      </c>
      <c r="L56" s="9" t="str">
        <f t="shared" si="1"/>
        <v>U60</v>
      </c>
      <c r="M56" s="9">
        <v>1.5</v>
      </c>
      <c r="N56" s="9">
        <v>107</v>
      </c>
      <c r="O56" s="24" t="str">
        <f t="shared" si="5"/>
        <v>2-3-8斗渠</v>
      </c>
      <c r="P56" s="10">
        <f t="shared" si="6"/>
        <v>517</v>
      </c>
      <c r="Q56" s="9" t="s">
        <v>638</v>
      </c>
      <c r="R56" s="9">
        <v>1.5</v>
      </c>
    </row>
    <row r="57" spans="1:18">
      <c r="B57">
        <v>3180</v>
      </c>
      <c r="C57" t="s">
        <v>530</v>
      </c>
      <c r="E57" s="18"/>
      <c r="I57" s="9">
        <v>49</v>
      </c>
      <c r="J57" s="43"/>
      <c r="K57" s="10">
        <f t="shared" si="0"/>
        <v>685</v>
      </c>
      <c r="L57" s="9" t="str">
        <f t="shared" si="1"/>
        <v>U60</v>
      </c>
      <c r="M57" s="9">
        <v>1.5</v>
      </c>
      <c r="N57" s="9">
        <v>108</v>
      </c>
      <c r="O57" s="24" t="str">
        <f t="shared" si="5"/>
        <v>2-4-5斗渠</v>
      </c>
      <c r="P57" s="10">
        <f t="shared" si="6"/>
        <v>214</v>
      </c>
      <c r="Q57" s="9" t="s">
        <v>638</v>
      </c>
      <c r="R57" s="9">
        <v>1.5</v>
      </c>
    </row>
    <row r="58" spans="1:18">
      <c r="B58">
        <v>3298</v>
      </c>
      <c r="C58" t="s">
        <v>530</v>
      </c>
      <c r="E58" s="18"/>
      <c r="I58" s="9">
        <v>50</v>
      </c>
      <c r="J58" s="43"/>
      <c r="K58" s="10">
        <f t="shared" si="0"/>
        <v>770</v>
      </c>
      <c r="L58" s="9" t="str">
        <f t="shared" si="1"/>
        <v>U60</v>
      </c>
      <c r="M58" s="9">
        <v>1.5</v>
      </c>
      <c r="N58" s="9">
        <v>109</v>
      </c>
      <c r="O58" s="24" t="str">
        <f t="shared" si="5"/>
        <v>2-4-6斗渠</v>
      </c>
      <c r="P58" s="10">
        <f t="shared" si="6"/>
        <v>117</v>
      </c>
      <c r="Q58" s="9" t="s">
        <v>638</v>
      </c>
      <c r="R58" s="9">
        <v>1.5</v>
      </c>
    </row>
    <row r="59" spans="1:18">
      <c r="A59" t="s">
        <v>407</v>
      </c>
      <c r="B59">
        <v>10</v>
      </c>
      <c r="C59" t="s">
        <v>530</v>
      </c>
      <c r="E59" s="18"/>
      <c r="I59" s="9">
        <v>51</v>
      </c>
      <c r="J59" s="43"/>
      <c r="K59" s="10">
        <f t="shared" si="0"/>
        <v>1204</v>
      </c>
      <c r="L59" s="9" t="str">
        <f t="shared" si="1"/>
        <v>U60</v>
      </c>
      <c r="M59" s="9">
        <v>1.5</v>
      </c>
      <c r="N59" s="9">
        <v>110</v>
      </c>
      <c r="O59" s="24" t="str">
        <f t="shared" si="5"/>
        <v>2-4-7斗渠</v>
      </c>
      <c r="P59" s="10">
        <f t="shared" si="6"/>
        <v>369</v>
      </c>
      <c r="Q59" s="9" t="s">
        <v>638</v>
      </c>
      <c r="R59" s="9">
        <v>1.5</v>
      </c>
    </row>
    <row r="60" spans="1:18">
      <c r="B60">
        <v>2072</v>
      </c>
      <c r="C60" t="s">
        <v>530</v>
      </c>
      <c r="E60" s="18"/>
      <c r="I60" s="9">
        <v>52</v>
      </c>
      <c r="J60" s="43"/>
      <c r="K60" s="10">
        <f t="shared" si="0"/>
        <v>1626</v>
      </c>
      <c r="L60" s="9" t="str">
        <f t="shared" si="1"/>
        <v>U60</v>
      </c>
      <c r="M60" s="9">
        <v>1.5</v>
      </c>
      <c r="N60" s="9">
        <v>111</v>
      </c>
      <c r="O60" s="24" t="str">
        <f t="shared" si="5"/>
        <v>2-5-5斗渠</v>
      </c>
      <c r="P60" s="10">
        <f t="shared" si="6"/>
        <v>234</v>
      </c>
      <c r="Q60" s="9" t="s">
        <v>638</v>
      </c>
      <c r="R60" s="9">
        <v>1.5</v>
      </c>
    </row>
    <row r="61" spans="1:18">
      <c r="A61" t="s">
        <v>408</v>
      </c>
      <c r="B61">
        <v>52</v>
      </c>
      <c r="C61" t="s">
        <v>530</v>
      </c>
      <c r="E61" s="18"/>
      <c r="I61" s="9">
        <v>53</v>
      </c>
      <c r="J61" s="43"/>
      <c r="K61" s="10">
        <f t="shared" si="0"/>
        <v>2275</v>
      </c>
      <c r="L61" s="9" t="str">
        <f t="shared" si="1"/>
        <v>U60</v>
      </c>
      <c r="M61" s="9">
        <v>1.5</v>
      </c>
      <c r="N61" s="9">
        <v>112</v>
      </c>
      <c r="O61" s="24" t="str">
        <f t="shared" si="5"/>
        <v>2-6-2斗渠</v>
      </c>
      <c r="P61" s="10">
        <f t="shared" si="6"/>
        <v>375</v>
      </c>
      <c r="Q61" s="9" t="s">
        <v>638</v>
      </c>
      <c r="R61" s="9">
        <v>1.5</v>
      </c>
    </row>
    <row r="62" spans="1:18">
      <c r="B62">
        <v>718</v>
      </c>
      <c r="C62" t="s">
        <v>530</v>
      </c>
      <c r="E62" s="18"/>
      <c r="I62" s="9">
        <v>54</v>
      </c>
      <c r="J62" s="43"/>
      <c r="K62" s="10">
        <f t="shared" si="0"/>
        <v>2397</v>
      </c>
      <c r="L62" s="9" t="str">
        <f t="shared" si="1"/>
        <v>U60</v>
      </c>
      <c r="M62" s="9">
        <v>1.5</v>
      </c>
      <c r="N62" s="9">
        <v>113</v>
      </c>
      <c r="O62" s="24" t="str">
        <f t="shared" si="5"/>
        <v>2-6-5斗渠</v>
      </c>
      <c r="P62" s="10">
        <f t="shared" si="6"/>
        <v>468</v>
      </c>
      <c r="Q62" s="9" t="s">
        <v>638</v>
      </c>
      <c r="R62" s="9">
        <v>1.5</v>
      </c>
    </row>
    <row r="63" spans="1:18">
      <c r="B63">
        <v>844</v>
      </c>
      <c r="C63" t="s">
        <v>530</v>
      </c>
      <c r="E63" s="18"/>
      <c r="I63" s="9">
        <v>55</v>
      </c>
      <c r="J63" s="43"/>
      <c r="K63" s="10">
        <f t="shared" si="0"/>
        <v>2807</v>
      </c>
      <c r="L63" s="9" t="str">
        <f t="shared" si="1"/>
        <v>U60</v>
      </c>
      <c r="M63" s="9">
        <v>1.5</v>
      </c>
      <c r="N63" s="9">
        <v>114</v>
      </c>
      <c r="O63" s="24" t="str">
        <f t="shared" si="5"/>
        <v>2-6-6斗渠</v>
      </c>
      <c r="P63" s="10">
        <f t="shared" si="6"/>
        <v>506</v>
      </c>
      <c r="Q63" s="9" t="s">
        <v>638</v>
      </c>
      <c r="R63" s="9">
        <v>1.5</v>
      </c>
    </row>
    <row r="64" spans="1:18">
      <c r="B64">
        <v>1533</v>
      </c>
      <c r="C64" t="s">
        <v>530</v>
      </c>
      <c r="E64" s="18"/>
      <c r="I64" s="9">
        <v>56</v>
      </c>
      <c r="J64" s="43"/>
      <c r="K64" s="10">
        <f t="shared" si="0"/>
        <v>3180</v>
      </c>
      <c r="L64" s="9" t="str">
        <f t="shared" si="1"/>
        <v>U60</v>
      </c>
      <c r="M64" s="9">
        <v>1.5</v>
      </c>
      <c r="N64" s="9">
        <v>115</v>
      </c>
      <c r="O64" s="24" t="str">
        <f t="shared" si="5"/>
        <v>2-7-4斗渠</v>
      </c>
      <c r="P64" s="10">
        <f t="shared" si="6"/>
        <v>206</v>
      </c>
      <c r="Q64" s="9" t="s">
        <v>638</v>
      </c>
      <c r="R64" s="9">
        <v>1.5</v>
      </c>
    </row>
    <row r="65" spans="2:18">
      <c r="B65">
        <v>2185</v>
      </c>
      <c r="C65" t="s">
        <v>530</v>
      </c>
      <c r="E65" s="18"/>
      <c r="I65" s="9">
        <v>57</v>
      </c>
      <c r="J65" s="43"/>
      <c r="K65" s="10">
        <f>B58</f>
        <v>3298</v>
      </c>
      <c r="L65" s="9" t="str">
        <f t="shared" si="1"/>
        <v>U60</v>
      </c>
      <c r="M65" s="9">
        <v>1.5</v>
      </c>
      <c r="N65" s="9">
        <v>116</v>
      </c>
      <c r="O65" s="24" t="str">
        <f t="shared" si="5"/>
        <v>2-7-5斗渠</v>
      </c>
      <c r="P65" s="10">
        <f t="shared" si="6"/>
        <v>402</v>
      </c>
      <c r="Q65" s="9" t="s">
        <v>638</v>
      </c>
      <c r="R65" s="9">
        <v>1.5</v>
      </c>
    </row>
    <row r="66" spans="2:18">
      <c r="B66">
        <v>2431</v>
      </c>
      <c r="C66" t="s">
        <v>530</v>
      </c>
      <c r="E66" s="18"/>
      <c r="I66" s="9">
        <v>58</v>
      </c>
      <c r="J66" s="43" t="str">
        <f>A59</f>
        <v>2-6支渠</v>
      </c>
      <c r="K66" s="10">
        <f t="shared" si="0"/>
        <v>10</v>
      </c>
      <c r="L66" s="9" t="str">
        <f t="shared" si="1"/>
        <v>U60</v>
      </c>
      <c r="M66" s="9">
        <v>1.5</v>
      </c>
      <c r="N66" s="9">
        <v>117</v>
      </c>
      <c r="O66" s="24" t="str">
        <f t="shared" si="5"/>
        <v>2-7-6斗渠</v>
      </c>
      <c r="P66" s="10">
        <f t="shared" si="6"/>
        <v>725</v>
      </c>
      <c r="Q66" s="9" t="s">
        <v>638</v>
      </c>
      <c r="R66" s="9">
        <v>1.5</v>
      </c>
    </row>
    <row r="67" spans="2:18">
      <c r="B67">
        <v>2497</v>
      </c>
      <c r="C67" t="s">
        <v>530</v>
      </c>
      <c r="E67" s="18"/>
      <c r="I67" s="9">
        <v>59</v>
      </c>
      <c r="J67" s="43"/>
      <c r="K67" s="10">
        <f t="shared" si="0"/>
        <v>2072</v>
      </c>
      <c r="L67" s="9" t="str">
        <f t="shared" si="1"/>
        <v>U60</v>
      </c>
      <c r="M67" s="9">
        <v>1.5</v>
      </c>
    </row>
  </sheetData>
  <mergeCells count="11">
    <mergeCell ref="O9:O15"/>
    <mergeCell ref="J39:J52"/>
    <mergeCell ref="J53:J55"/>
    <mergeCell ref="J56:J65"/>
    <mergeCell ref="J66:J67"/>
    <mergeCell ref="J36:J38"/>
    <mergeCell ref="J9:J11"/>
    <mergeCell ref="J12:J13"/>
    <mergeCell ref="J14:J15"/>
    <mergeCell ref="J16:J17"/>
    <mergeCell ref="J19:J3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0"/>
  <sheetViews>
    <sheetView workbookViewId="0">
      <selection activeCell="R17" sqref="R17"/>
    </sheetView>
  </sheetViews>
  <sheetFormatPr defaultRowHeight="14.4"/>
  <cols>
    <col min="8" max="8" width="11.33203125" bestFit="1" customWidth="1"/>
  </cols>
  <sheetData>
    <row r="1" spans="1:12">
      <c r="B1" t="s">
        <v>623</v>
      </c>
      <c r="E1" s="16" t="s">
        <v>640</v>
      </c>
    </row>
    <row r="2" spans="1:12">
      <c r="A2" t="s">
        <v>622</v>
      </c>
      <c r="B2">
        <v>5300</v>
      </c>
      <c r="C2" t="s">
        <v>648</v>
      </c>
      <c r="D2" t="s">
        <v>642</v>
      </c>
      <c r="E2" s="16">
        <f>干渠!H161</f>
        <v>1.1200000000000001</v>
      </c>
      <c r="F2">
        <f>1.6/6</f>
        <v>0.26666666666666666</v>
      </c>
      <c r="G2">
        <v>0.4</v>
      </c>
      <c r="H2">
        <f>E2+G2</f>
        <v>1.52</v>
      </c>
      <c r="I2" t="s">
        <v>641</v>
      </c>
    </row>
    <row r="3" spans="1:12">
      <c r="B3">
        <v>7287</v>
      </c>
      <c r="C3" t="s">
        <v>624</v>
      </c>
      <c r="D3" t="s">
        <v>643</v>
      </c>
    </row>
    <row r="4" spans="1:12">
      <c r="B4">
        <v>9088</v>
      </c>
      <c r="C4" t="s">
        <v>647</v>
      </c>
    </row>
    <row r="5" spans="1:12">
      <c r="B5">
        <v>10673</v>
      </c>
      <c r="C5" t="s">
        <v>647</v>
      </c>
    </row>
    <row r="6" spans="1:12">
      <c r="A6" t="s">
        <v>625</v>
      </c>
      <c r="B6">
        <v>1157</v>
      </c>
      <c r="C6" t="s">
        <v>695</v>
      </c>
      <c r="D6" t="s">
        <v>644</v>
      </c>
      <c r="H6" t="s">
        <v>690</v>
      </c>
    </row>
    <row r="7" spans="1:12">
      <c r="A7" t="s">
        <v>626</v>
      </c>
      <c r="B7">
        <v>1610</v>
      </c>
      <c r="C7" t="s">
        <v>628</v>
      </c>
      <c r="D7" t="s">
        <v>644</v>
      </c>
      <c r="H7" s="9" t="s">
        <v>635</v>
      </c>
      <c r="I7" s="9" t="s">
        <v>633</v>
      </c>
      <c r="J7" s="9" t="s">
        <v>691</v>
      </c>
      <c r="K7" s="9" t="s">
        <v>692</v>
      </c>
      <c r="L7" s="9" t="s">
        <v>693</v>
      </c>
    </row>
    <row r="8" spans="1:12">
      <c r="A8" t="s">
        <v>534</v>
      </c>
      <c r="B8">
        <v>1406</v>
      </c>
      <c r="C8" t="s">
        <v>628</v>
      </c>
      <c r="D8" t="s">
        <v>645</v>
      </c>
      <c r="H8" s="9">
        <v>1</v>
      </c>
      <c r="I8" s="10">
        <f>B2</f>
        <v>5300</v>
      </c>
      <c r="J8" s="9">
        <v>1.8</v>
      </c>
      <c r="K8" s="9">
        <v>1.6</v>
      </c>
      <c r="L8" s="9">
        <v>10</v>
      </c>
    </row>
    <row r="9" spans="1:12">
      <c r="B9">
        <v>4272</v>
      </c>
      <c r="C9" t="s">
        <v>627</v>
      </c>
      <c r="D9" t="s">
        <v>645</v>
      </c>
      <c r="H9" s="9">
        <v>2</v>
      </c>
      <c r="I9" s="10">
        <f t="shared" ref="I9:I11" si="0">B3</f>
        <v>7287</v>
      </c>
      <c r="J9" s="9">
        <v>1.8</v>
      </c>
      <c r="K9" s="9">
        <v>1.6</v>
      </c>
      <c r="L9" s="9">
        <v>10</v>
      </c>
    </row>
    <row r="10" spans="1:12">
      <c r="A10" t="s">
        <v>533</v>
      </c>
      <c r="B10">
        <v>1208</v>
      </c>
      <c r="C10" t="s">
        <v>628</v>
      </c>
      <c r="D10" t="s">
        <v>530</v>
      </c>
      <c r="H10" s="9">
        <v>3</v>
      </c>
      <c r="I10" s="10">
        <f t="shared" si="0"/>
        <v>9088</v>
      </c>
      <c r="J10" s="9">
        <v>1.8</v>
      </c>
      <c r="K10" s="9">
        <v>1.6</v>
      </c>
      <c r="L10" s="9">
        <v>10</v>
      </c>
    </row>
    <row r="11" spans="1:12">
      <c r="A11" t="s">
        <v>535</v>
      </c>
      <c r="B11">
        <v>1306</v>
      </c>
      <c r="C11" t="s">
        <v>628</v>
      </c>
      <c r="D11" t="s">
        <v>530</v>
      </c>
      <c r="H11" s="9">
        <v>4</v>
      </c>
      <c r="I11" s="10">
        <f t="shared" si="0"/>
        <v>10673</v>
      </c>
      <c r="J11" s="9">
        <v>1.8</v>
      </c>
      <c r="K11" s="9">
        <v>1.6</v>
      </c>
      <c r="L11" s="9">
        <v>10</v>
      </c>
    </row>
    <row r="12" spans="1:12">
      <c r="A12" t="s">
        <v>536</v>
      </c>
      <c r="B12">
        <v>1364</v>
      </c>
      <c r="C12" t="s">
        <v>628</v>
      </c>
      <c r="D12" t="s">
        <v>530</v>
      </c>
    </row>
    <row r="13" spans="1:12">
      <c r="A13" t="s">
        <v>537</v>
      </c>
      <c r="B13">
        <v>1451</v>
      </c>
      <c r="C13" t="s">
        <v>628</v>
      </c>
      <c r="D13" t="s">
        <v>530</v>
      </c>
    </row>
    <row r="14" spans="1:12">
      <c r="A14" t="s">
        <v>629</v>
      </c>
      <c r="B14">
        <v>2710</v>
      </c>
      <c r="C14" t="s">
        <v>627</v>
      </c>
      <c r="D14" t="s">
        <v>530</v>
      </c>
      <c r="G14" s="11" t="s">
        <v>635</v>
      </c>
      <c r="H14" s="11" t="s">
        <v>632</v>
      </c>
      <c r="I14" s="11" t="s">
        <v>633</v>
      </c>
      <c r="J14" s="11" t="s">
        <v>691</v>
      </c>
      <c r="K14" s="11" t="s">
        <v>692</v>
      </c>
      <c r="L14" s="11" t="s">
        <v>694</v>
      </c>
    </row>
    <row r="15" spans="1:12">
      <c r="G15" s="11">
        <v>1</v>
      </c>
      <c r="H15" s="44" t="s">
        <v>802</v>
      </c>
      <c r="I15" s="34">
        <f>I8</f>
        <v>5300</v>
      </c>
      <c r="J15" s="11">
        <v>1.8</v>
      </c>
      <c r="K15" s="11">
        <v>1.6</v>
      </c>
      <c r="L15" s="11">
        <v>10</v>
      </c>
    </row>
    <row r="16" spans="1:12">
      <c r="A16" t="s">
        <v>630</v>
      </c>
      <c r="B16">
        <v>8</v>
      </c>
      <c r="C16" t="s">
        <v>628</v>
      </c>
      <c r="D16" t="s">
        <v>639</v>
      </c>
      <c r="G16" s="11">
        <v>2</v>
      </c>
      <c r="H16" s="44"/>
      <c r="I16" s="34">
        <f t="shared" ref="I16:I18" si="1">I9</f>
        <v>7287</v>
      </c>
      <c r="J16" s="11">
        <v>1.8</v>
      </c>
      <c r="K16" s="11">
        <v>1.6</v>
      </c>
      <c r="L16" s="11">
        <v>10</v>
      </c>
    </row>
    <row r="17" spans="1:12">
      <c r="A17" t="s">
        <v>631</v>
      </c>
      <c r="B17">
        <v>8</v>
      </c>
      <c r="C17" t="s">
        <v>627</v>
      </c>
      <c r="D17" t="s">
        <v>637</v>
      </c>
      <c r="G17" s="11">
        <v>3</v>
      </c>
      <c r="H17" s="44"/>
      <c r="I17" s="34">
        <f t="shared" si="1"/>
        <v>9088</v>
      </c>
      <c r="J17" s="11">
        <v>1.8</v>
      </c>
      <c r="K17" s="11">
        <v>1.6</v>
      </c>
      <c r="L17" s="11">
        <v>10</v>
      </c>
    </row>
    <row r="18" spans="1:12">
      <c r="A18" t="s">
        <v>549</v>
      </c>
      <c r="B18">
        <v>8</v>
      </c>
      <c r="C18" t="s">
        <v>627</v>
      </c>
      <c r="D18" t="s">
        <v>637</v>
      </c>
      <c r="G18" s="11">
        <v>4</v>
      </c>
      <c r="H18" s="44"/>
      <c r="I18" s="34">
        <f t="shared" si="1"/>
        <v>10673</v>
      </c>
      <c r="J18" s="11">
        <v>1.8</v>
      </c>
      <c r="K18" s="11">
        <v>1.6</v>
      </c>
      <c r="L18" s="11">
        <v>10</v>
      </c>
    </row>
    <row r="19" spans="1:12">
      <c r="A19" t="s">
        <v>551</v>
      </c>
      <c r="B19">
        <v>8</v>
      </c>
      <c r="C19" t="s">
        <v>627</v>
      </c>
      <c r="D19" t="s">
        <v>636</v>
      </c>
      <c r="G19" s="11">
        <v>5</v>
      </c>
      <c r="H19" s="11" t="str">
        <f t="shared" ref="H19:I21" si="2">A6</f>
        <v>1-1支渠</v>
      </c>
      <c r="I19" s="34">
        <f t="shared" si="2"/>
        <v>1157</v>
      </c>
      <c r="J19" s="11">
        <v>1</v>
      </c>
      <c r="K19" s="11">
        <v>0.8</v>
      </c>
      <c r="L19" s="11">
        <v>10</v>
      </c>
    </row>
    <row r="20" spans="1:12">
      <c r="A20" t="s">
        <v>553</v>
      </c>
      <c r="B20">
        <v>8</v>
      </c>
      <c r="C20" t="s">
        <v>627</v>
      </c>
      <c r="D20" t="s">
        <v>636</v>
      </c>
      <c r="G20" s="11">
        <v>6</v>
      </c>
      <c r="H20" s="11" t="str">
        <f t="shared" si="2"/>
        <v>2-1支渠</v>
      </c>
      <c r="I20" s="34">
        <f t="shared" si="2"/>
        <v>1610</v>
      </c>
      <c r="J20" s="11">
        <v>1</v>
      </c>
      <c r="K20" s="11">
        <v>0.8</v>
      </c>
      <c r="L20" s="11">
        <v>8</v>
      </c>
    </row>
    <row r="21" spans="1:12">
      <c r="A21" t="s">
        <v>555</v>
      </c>
      <c r="B21">
        <v>8</v>
      </c>
      <c r="C21" t="s">
        <v>627</v>
      </c>
      <c r="D21" t="s">
        <v>636</v>
      </c>
      <c r="G21" s="11">
        <v>7</v>
      </c>
      <c r="H21" s="44" t="str">
        <f t="shared" si="2"/>
        <v>2-2支渠</v>
      </c>
      <c r="I21" s="34">
        <f t="shared" si="2"/>
        <v>1406</v>
      </c>
      <c r="J21" s="11">
        <v>1</v>
      </c>
      <c r="K21" s="11">
        <v>0.8</v>
      </c>
      <c r="L21" s="11">
        <v>8</v>
      </c>
    </row>
    <row r="22" spans="1:12">
      <c r="A22" t="s">
        <v>557</v>
      </c>
      <c r="B22">
        <v>8</v>
      </c>
      <c r="C22" t="s">
        <v>627</v>
      </c>
      <c r="D22" t="s">
        <v>636</v>
      </c>
      <c r="G22" s="11">
        <v>8</v>
      </c>
      <c r="H22" s="44"/>
      <c r="I22" s="34">
        <f t="shared" ref="I22:I27" si="3">B9</f>
        <v>4272</v>
      </c>
      <c r="J22" s="11">
        <v>1</v>
      </c>
      <c r="K22" s="11">
        <v>0.8</v>
      </c>
      <c r="L22" s="11">
        <v>8</v>
      </c>
    </row>
    <row r="23" spans="1:12">
      <c r="G23" s="11">
        <v>9</v>
      </c>
      <c r="H23" s="11" t="str">
        <f>A10</f>
        <v>2-3支渠</v>
      </c>
      <c r="I23" s="34">
        <f t="shared" si="3"/>
        <v>1208</v>
      </c>
      <c r="J23" s="11">
        <v>1</v>
      </c>
      <c r="K23" s="11">
        <v>0.8</v>
      </c>
      <c r="L23" s="11">
        <v>8</v>
      </c>
    </row>
    <row r="24" spans="1:12">
      <c r="G24" s="11">
        <v>10</v>
      </c>
      <c r="H24" s="11" t="str">
        <f>A11</f>
        <v>2-4支渠</v>
      </c>
      <c r="I24" s="34">
        <f t="shared" si="3"/>
        <v>1306</v>
      </c>
      <c r="J24" s="11">
        <v>1</v>
      </c>
      <c r="K24" s="11">
        <v>0.8</v>
      </c>
      <c r="L24" s="11">
        <v>8</v>
      </c>
    </row>
    <row r="25" spans="1:12">
      <c r="G25" s="11">
        <v>11</v>
      </c>
      <c r="H25" s="11" t="str">
        <f>A12</f>
        <v>2-5支渠</v>
      </c>
      <c r="I25" s="34">
        <f t="shared" si="3"/>
        <v>1364</v>
      </c>
      <c r="J25" s="11">
        <v>1</v>
      </c>
      <c r="K25" s="11">
        <v>0.8</v>
      </c>
      <c r="L25" s="11">
        <v>8</v>
      </c>
    </row>
    <row r="26" spans="1:12">
      <c r="G26" s="11">
        <v>12</v>
      </c>
      <c r="H26" s="11" t="str">
        <f>A13</f>
        <v>2-6支渠</v>
      </c>
      <c r="I26" s="34">
        <f t="shared" si="3"/>
        <v>1451</v>
      </c>
      <c r="J26" s="11">
        <v>1</v>
      </c>
      <c r="K26" s="11">
        <v>0.8</v>
      </c>
      <c r="L26" s="11">
        <v>8</v>
      </c>
    </row>
    <row r="27" spans="1:12">
      <c r="G27" s="11">
        <v>13</v>
      </c>
      <c r="H27" s="11" t="str">
        <f>A14</f>
        <v>2-7支渠</v>
      </c>
      <c r="I27" s="34">
        <f t="shared" si="3"/>
        <v>2710</v>
      </c>
      <c r="J27" s="11">
        <v>1</v>
      </c>
      <c r="K27" s="11">
        <v>0.8</v>
      </c>
      <c r="L27" s="11">
        <v>8</v>
      </c>
    </row>
    <row r="28" spans="1:12">
      <c r="G28" s="11">
        <v>14</v>
      </c>
      <c r="H28" s="11" t="s">
        <v>780</v>
      </c>
      <c r="I28" s="34">
        <v>653</v>
      </c>
      <c r="J28" s="11">
        <v>1</v>
      </c>
      <c r="K28" s="11">
        <v>0.8</v>
      </c>
      <c r="L28" s="11">
        <v>8</v>
      </c>
    </row>
    <row r="29" spans="1:12">
      <c r="G29" s="11">
        <v>15</v>
      </c>
      <c r="H29" s="11" t="s">
        <v>781</v>
      </c>
      <c r="I29" s="34">
        <v>366</v>
      </c>
      <c r="J29" s="11">
        <v>1</v>
      </c>
      <c r="K29" s="11">
        <v>0.8</v>
      </c>
      <c r="L29" s="11">
        <v>8</v>
      </c>
    </row>
    <row r="30" spans="1:12">
      <c r="G30" s="11">
        <v>16</v>
      </c>
      <c r="H30" s="11" t="str">
        <f t="shared" ref="H30:H36" si="4">A16</f>
        <v>2-1-1斗渠</v>
      </c>
      <c r="I30" s="34">
        <f t="shared" ref="I30:I40" si="5">B15</f>
        <v>0</v>
      </c>
      <c r="J30" s="11">
        <v>1</v>
      </c>
      <c r="K30" s="11">
        <v>0.8</v>
      </c>
      <c r="L30" s="11">
        <v>8</v>
      </c>
    </row>
    <row r="31" spans="1:12">
      <c r="G31" s="11">
        <v>17</v>
      </c>
      <c r="H31" s="11" t="str">
        <f t="shared" si="4"/>
        <v>2-1-3斗渠</v>
      </c>
      <c r="I31" s="34">
        <f t="shared" si="5"/>
        <v>8</v>
      </c>
      <c r="J31" s="11">
        <v>1</v>
      </c>
      <c r="K31" s="11">
        <v>0.8</v>
      </c>
      <c r="L31" s="11">
        <v>8</v>
      </c>
    </row>
    <row r="32" spans="1:12">
      <c r="G32" s="11">
        <v>18</v>
      </c>
      <c r="H32" s="11" t="str">
        <f t="shared" si="4"/>
        <v>2-1-5斗渠</v>
      </c>
      <c r="I32" s="34">
        <f t="shared" si="5"/>
        <v>8</v>
      </c>
      <c r="J32" s="11">
        <v>1</v>
      </c>
      <c r="K32" s="11">
        <v>0.8</v>
      </c>
      <c r="L32" s="11">
        <v>8</v>
      </c>
    </row>
    <row r="33" spans="7:12">
      <c r="G33" s="11">
        <v>19</v>
      </c>
      <c r="H33" s="11" t="str">
        <f t="shared" si="4"/>
        <v>2-1-7斗渠</v>
      </c>
      <c r="I33" s="34">
        <f t="shared" si="5"/>
        <v>8</v>
      </c>
      <c r="J33" s="11">
        <v>1</v>
      </c>
      <c r="K33" s="11">
        <v>0.8</v>
      </c>
      <c r="L33" s="11">
        <v>8</v>
      </c>
    </row>
    <row r="34" spans="7:12">
      <c r="G34" s="11">
        <v>20</v>
      </c>
      <c r="H34" s="11" t="str">
        <f t="shared" si="4"/>
        <v>2-1-9斗渠</v>
      </c>
      <c r="I34" s="34">
        <f t="shared" si="5"/>
        <v>8</v>
      </c>
      <c r="J34" s="11">
        <v>1</v>
      </c>
      <c r="K34" s="11">
        <v>0.8</v>
      </c>
      <c r="L34" s="11">
        <v>8</v>
      </c>
    </row>
    <row r="35" spans="7:12">
      <c r="G35" s="11">
        <v>21</v>
      </c>
      <c r="H35" s="11" t="str">
        <f t="shared" si="4"/>
        <v>2-1-11斗渠</v>
      </c>
      <c r="I35" s="34">
        <f t="shared" si="5"/>
        <v>8</v>
      </c>
      <c r="J35" s="11">
        <v>1</v>
      </c>
      <c r="K35" s="11">
        <v>0.8</v>
      </c>
      <c r="L35" s="11">
        <v>8</v>
      </c>
    </row>
    <row r="36" spans="7:12">
      <c r="G36" s="11">
        <v>22</v>
      </c>
      <c r="H36" s="11" t="str">
        <f t="shared" si="4"/>
        <v>2-1-13斗渠</v>
      </c>
      <c r="I36" s="34">
        <f t="shared" si="5"/>
        <v>8</v>
      </c>
      <c r="J36" s="11">
        <v>1</v>
      </c>
      <c r="K36" s="11">
        <v>0.8</v>
      </c>
      <c r="L36" s="11">
        <v>8</v>
      </c>
    </row>
    <row r="37" spans="7:12">
      <c r="G37" s="11">
        <v>23</v>
      </c>
      <c r="H37" s="11" t="s">
        <v>782</v>
      </c>
      <c r="I37" s="34">
        <f t="shared" si="5"/>
        <v>8</v>
      </c>
      <c r="J37" s="11">
        <v>1</v>
      </c>
      <c r="K37" s="11">
        <v>0.8</v>
      </c>
      <c r="L37" s="11">
        <v>8</v>
      </c>
    </row>
    <row r="38" spans="7:12">
      <c r="G38" s="11">
        <v>24</v>
      </c>
      <c r="H38" s="11" t="s">
        <v>783</v>
      </c>
      <c r="I38" s="34">
        <f t="shared" si="5"/>
        <v>0</v>
      </c>
      <c r="J38" s="11">
        <v>1</v>
      </c>
      <c r="K38" s="11">
        <v>0.8</v>
      </c>
      <c r="L38" s="11">
        <v>8</v>
      </c>
    </row>
    <row r="39" spans="7:12">
      <c r="G39" s="11">
        <v>25</v>
      </c>
      <c r="H39" s="11" t="s">
        <v>784</v>
      </c>
      <c r="I39" s="34">
        <f t="shared" si="5"/>
        <v>0</v>
      </c>
      <c r="J39" s="11">
        <v>1</v>
      </c>
      <c r="K39" s="11">
        <v>0.8</v>
      </c>
      <c r="L39" s="11">
        <v>8</v>
      </c>
    </row>
    <row r="40" spans="7:12">
      <c r="G40" s="11">
        <v>26</v>
      </c>
      <c r="H40" s="11" t="s">
        <v>785</v>
      </c>
      <c r="I40" s="34">
        <f t="shared" si="5"/>
        <v>0</v>
      </c>
      <c r="J40" s="11">
        <v>1</v>
      </c>
      <c r="K40" s="11">
        <v>0.8</v>
      </c>
      <c r="L40" s="11">
        <v>8</v>
      </c>
    </row>
  </sheetData>
  <mergeCells count="2">
    <mergeCell ref="H21:H22"/>
    <mergeCell ref="H15:H18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H26"/>
  <sheetViews>
    <sheetView workbookViewId="0">
      <selection activeCell="G24" sqref="G24"/>
    </sheetView>
  </sheetViews>
  <sheetFormatPr defaultRowHeight="14.4"/>
  <cols>
    <col min="3" max="3" width="0" hidden="1" customWidth="1"/>
    <col min="6" max="6" width="8.44140625" bestFit="1" customWidth="1"/>
  </cols>
  <sheetData>
    <row r="2" spans="1:8">
      <c r="A2" s="9" t="s">
        <v>635</v>
      </c>
      <c r="B2" s="9" t="s">
        <v>633</v>
      </c>
      <c r="C2" s="9" t="s">
        <v>634</v>
      </c>
      <c r="D2" s="9" t="s">
        <v>845</v>
      </c>
      <c r="E2" s="9" t="s">
        <v>847</v>
      </c>
      <c r="F2" s="9" t="s">
        <v>846</v>
      </c>
      <c r="G2" s="9" t="s">
        <v>848</v>
      </c>
      <c r="H2" s="9" t="s">
        <v>849</v>
      </c>
    </row>
    <row r="3" spans="1:8">
      <c r="A3" s="9">
        <v>1</v>
      </c>
      <c r="B3" s="10">
        <f>干渠!C10</f>
        <v>210</v>
      </c>
      <c r="C3" s="9">
        <f>干渠!V10</f>
        <v>1727.73</v>
      </c>
      <c r="D3" s="9">
        <f>干渠!W10</f>
        <v>1727.64</v>
      </c>
      <c r="E3" s="9">
        <f>F3-0.3</f>
        <v>1725.14</v>
      </c>
      <c r="F3" s="9">
        <f>D3-2.2</f>
        <v>1725.44</v>
      </c>
      <c r="G3" s="9">
        <f>D3-F3</f>
        <v>2.2000000000000455</v>
      </c>
      <c r="H3" s="9">
        <v>3</v>
      </c>
    </row>
    <row r="4" spans="1:8">
      <c r="A4" s="9">
        <v>2</v>
      </c>
      <c r="B4" s="10">
        <f>干渠!C16</f>
        <v>420</v>
      </c>
      <c r="C4" s="9">
        <f>干渠!V16</f>
        <v>1724.79</v>
      </c>
      <c r="D4" s="9">
        <f>干渠!W16</f>
        <v>1725.02</v>
      </c>
      <c r="E4" s="9">
        <f t="shared" ref="E4:E25" si="0">F4-0.3</f>
        <v>1722.52</v>
      </c>
      <c r="F4" s="9">
        <f t="shared" ref="F4:F21" si="1">D4-2.2</f>
        <v>1722.82</v>
      </c>
      <c r="G4" s="9">
        <f t="shared" ref="G4:G25" si="2">D4-F4</f>
        <v>2.2000000000000455</v>
      </c>
      <c r="H4" s="9">
        <v>3</v>
      </c>
    </row>
    <row r="5" spans="1:8">
      <c r="A5" s="9">
        <v>3</v>
      </c>
      <c r="B5" s="10">
        <f>干渠!C26</f>
        <v>660</v>
      </c>
      <c r="C5" s="9">
        <f>干渠!V26</f>
        <v>1722.12</v>
      </c>
      <c r="D5" s="9">
        <f>干渠!W26</f>
        <v>1722.36</v>
      </c>
      <c r="E5" s="9">
        <f t="shared" si="0"/>
        <v>1719.86</v>
      </c>
      <c r="F5" s="9">
        <f t="shared" si="1"/>
        <v>1720.1599999999999</v>
      </c>
      <c r="G5" s="9">
        <f t="shared" si="2"/>
        <v>2.2000000000000455</v>
      </c>
      <c r="H5" s="9">
        <v>3</v>
      </c>
    </row>
    <row r="6" spans="1:8">
      <c r="A6" s="9">
        <v>4</v>
      </c>
      <c r="B6" s="10">
        <f>干渠!C33</f>
        <v>880</v>
      </c>
      <c r="C6" s="9">
        <f>干渠!V33</f>
        <v>1719.5</v>
      </c>
      <c r="D6" s="9">
        <f>干渠!W33</f>
        <v>1719.72</v>
      </c>
      <c r="E6" s="9">
        <f t="shared" si="0"/>
        <v>1717.22</v>
      </c>
      <c r="F6" s="9">
        <f t="shared" si="1"/>
        <v>1717.52</v>
      </c>
      <c r="G6" s="9">
        <f t="shared" si="2"/>
        <v>2.2000000000000455</v>
      </c>
      <c r="H6" s="9">
        <v>3</v>
      </c>
    </row>
    <row r="7" spans="1:8">
      <c r="A7" s="9">
        <v>5</v>
      </c>
      <c r="B7" s="10">
        <f>干渠!C42</f>
        <v>1170</v>
      </c>
      <c r="C7" s="9">
        <f>干渠!V42</f>
        <v>1716.63</v>
      </c>
      <c r="D7" s="9">
        <f>干渠!W42</f>
        <v>1716.94</v>
      </c>
      <c r="E7" s="9">
        <f t="shared" si="0"/>
        <v>1714.44</v>
      </c>
      <c r="F7" s="9">
        <f t="shared" si="1"/>
        <v>1714.74</v>
      </c>
      <c r="G7" s="9">
        <f t="shared" si="2"/>
        <v>2.2000000000000455</v>
      </c>
      <c r="H7" s="9">
        <v>3</v>
      </c>
    </row>
    <row r="8" spans="1:8">
      <c r="A8" s="9">
        <v>6</v>
      </c>
      <c r="B8" s="10">
        <f>干渠!C49</f>
        <v>1360</v>
      </c>
      <c r="C8" s="9">
        <f>干渠!V49</f>
        <v>1714.0500000000002</v>
      </c>
      <c r="D8" s="9">
        <f>干渠!W49</f>
        <v>1714.36</v>
      </c>
      <c r="E8" s="9">
        <f t="shared" si="0"/>
        <v>1711.86</v>
      </c>
      <c r="F8" s="9">
        <f t="shared" si="1"/>
        <v>1712.1599999999999</v>
      </c>
      <c r="G8" s="9">
        <f t="shared" si="2"/>
        <v>2.2000000000000455</v>
      </c>
      <c r="H8" s="9">
        <v>3</v>
      </c>
    </row>
    <row r="9" spans="1:8">
      <c r="A9" s="9">
        <v>7</v>
      </c>
      <c r="B9" s="10">
        <f>干渠!C57</f>
        <v>1630</v>
      </c>
      <c r="C9" s="9">
        <f>干渠!V57</f>
        <v>1711.28</v>
      </c>
      <c r="D9" s="9">
        <f>干渠!W57</f>
        <v>1711.62</v>
      </c>
      <c r="E9" s="9">
        <f t="shared" si="0"/>
        <v>1709.12</v>
      </c>
      <c r="F9" s="9">
        <f t="shared" si="1"/>
        <v>1709.4199999999998</v>
      </c>
      <c r="G9" s="9">
        <f t="shared" si="2"/>
        <v>2.2000000000000455</v>
      </c>
      <c r="H9" s="9">
        <v>3</v>
      </c>
    </row>
    <row r="10" spans="1:8">
      <c r="A10" s="9">
        <v>8</v>
      </c>
      <c r="B10" s="10">
        <f>干渠!C62</f>
        <v>1850</v>
      </c>
      <c r="C10" s="9">
        <f>干渠!V62</f>
        <v>1708.66</v>
      </c>
      <c r="D10" s="9">
        <f>干渠!W62</f>
        <v>1708.98</v>
      </c>
      <c r="E10" s="9">
        <f t="shared" si="0"/>
        <v>1706.48</v>
      </c>
      <c r="F10" s="9">
        <f t="shared" si="1"/>
        <v>1706.78</v>
      </c>
      <c r="G10" s="9">
        <f t="shared" si="2"/>
        <v>2.2000000000000455</v>
      </c>
      <c r="H10" s="9">
        <v>3</v>
      </c>
    </row>
    <row r="11" spans="1:8">
      <c r="A11" s="9">
        <v>9</v>
      </c>
      <c r="B11" s="10">
        <f>干渠!C69</f>
        <v>2120</v>
      </c>
      <c r="C11" s="9">
        <f>干渠!V69</f>
        <v>1705.95</v>
      </c>
      <c r="D11" s="9">
        <f>干渠!W69</f>
        <v>1706.24</v>
      </c>
      <c r="E11" s="9">
        <f t="shared" si="0"/>
        <v>1703.74</v>
      </c>
      <c r="F11" s="9">
        <f t="shared" si="1"/>
        <v>1704.04</v>
      </c>
      <c r="G11" s="9">
        <f t="shared" si="2"/>
        <v>2.2000000000000455</v>
      </c>
      <c r="H11" s="9">
        <v>3</v>
      </c>
    </row>
    <row r="12" spans="1:8">
      <c r="A12" s="9">
        <v>10</v>
      </c>
      <c r="B12" s="10">
        <f>干渠!C78</f>
        <v>2340</v>
      </c>
      <c r="C12" s="9">
        <f>干渠!V78</f>
        <v>1703.25</v>
      </c>
      <c r="D12" s="9">
        <f>干渠!W78</f>
        <v>1703.6</v>
      </c>
      <c r="E12" s="9">
        <f t="shared" si="0"/>
        <v>1701.1</v>
      </c>
      <c r="F12" s="9">
        <f t="shared" si="1"/>
        <v>1701.3999999999999</v>
      </c>
      <c r="G12" s="9">
        <f t="shared" si="2"/>
        <v>2.2000000000000455</v>
      </c>
      <c r="H12" s="9">
        <v>3</v>
      </c>
    </row>
    <row r="13" spans="1:8">
      <c r="A13" s="9">
        <v>11</v>
      </c>
      <c r="B13" s="10">
        <f>干渠!C85</f>
        <v>2560</v>
      </c>
      <c r="C13" s="9">
        <f>干渠!V85</f>
        <v>1700.65</v>
      </c>
      <c r="D13" s="9">
        <f>干渠!W85</f>
        <v>1700.96</v>
      </c>
      <c r="E13" s="9">
        <f t="shared" si="0"/>
        <v>1698.46</v>
      </c>
      <c r="F13" s="9">
        <f t="shared" si="1"/>
        <v>1698.76</v>
      </c>
      <c r="G13" s="9">
        <f t="shared" si="2"/>
        <v>2.2000000000000455</v>
      </c>
      <c r="H13" s="9">
        <v>3</v>
      </c>
    </row>
    <row r="14" spans="1:8">
      <c r="A14" s="9">
        <v>12</v>
      </c>
      <c r="B14" s="10">
        <f>干渠!C94</f>
        <v>2820</v>
      </c>
      <c r="C14" s="9">
        <f>干渠!V94</f>
        <v>1697.92</v>
      </c>
      <c r="D14" s="9">
        <f>干渠!W94</f>
        <v>1698.24</v>
      </c>
      <c r="E14" s="9">
        <f t="shared" si="0"/>
        <v>1695.74</v>
      </c>
      <c r="F14" s="9">
        <f t="shared" si="1"/>
        <v>1696.04</v>
      </c>
      <c r="G14" s="9">
        <f t="shared" si="2"/>
        <v>2.2000000000000455</v>
      </c>
      <c r="H14" s="9">
        <v>3</v>
      </c>
    </row>
    <row r="15" spans="1:8">
      <c r="A15" s="9">
        <v>13</v>
      </c>
      <c r="B15" s="10">
        <f>干渠!C103</f>
        <v>3190</v>
      </c>
      <c r="C15" s="9">
        <f>干渠!V103</f>
        <v>1694.95</v>
      </c>
      <c r="D15" s="9">
        <f>干渠!W103</f>
        <v>1695.3</v>
      </c>
      <c r="E15" s="9">
        <f t="shared" si="0"/>
        <v>1692.8</v>
      </c>
      <c r="F15" s="9">
        <f t="shared" si="1"/>
        <v>1693.1</v>
      </c>
      <c r="G15" s="9">
        <f t="shared" si="2"/>
        <v>2.2000000000000455</v>
      </c>
      <c r="H15" s="9">
        <v>3</v>
      </c>
    </row>
    <row r="16" spans="1:8">
      <c r="A16" s="9">
        <v>14</v>
      </c>
      <c r="B16" s="10">
        <f>干渠!C110</f>
        <v>3430</v>
      </c>
      <c r="C16" s="9">
        <f>干渠!V110</f>
        <v>1692.32</v>
      </c>
      <c r="D16" s="9">
        <f>干渠!W110</f>
        <v>1692.62</v>
      </c>
      <c r="E16" s="9">
        <f t="shared" si="0"/>
        <v>1690.12</v>
      </c>
      <c r="F16" s="9">
        <f t="shared" si="1"/>
        <v>1690.4199999999998</v>
      </c>
      <c r="G16" s="9">
        <f t="shared" si="2"/>
        <v>2.2000000000000455</v>
      </c>
      <c r="H16" s="9">
        <v>3</v>
      </c>
    </row>
    <row r="17" spans="1:8">
      <c r="A17" s="9">
        <v>15</v>
      </c>
      <c r="B17" s="10">
        <f>干渠!C119</f>
        <v>3730</v>
      </c>
      <c r="C17" s="9">
        <f>干渠!V119</f>
        <v>1689.54</v>
      </c>
      <c r="D17" s="9">
        <f>干渠!W119</f>
        <v>1689.82</v>
      </c>
      <c r="E17" s="9">
        <f t="shared" si="0"/>
        <v>1687.32</v>
      </c>
      <c r="F17" s="9">
        <f t="shared" si="1"/>
        <v>1687.62</v>
      </c>
      <c r="G17" s="9">
        <f t="shared" si="2"/>
        <v>2.2000000000000455</v>
      </c>
      <c r="H17" s="9">
        <v>3</v>
      </c>
    </row>
    <row r="18" spans="1:8">
      <c r="A18" s="9">
        <v>16</v>
      </c>
      <c r="B18" s="10">
        <f>干渠!C128</f>
        <v>4080</v>
      </c>
      <c r="C18" s="9">
        <f>干渠!V128</f>
        <v>1686.59</v>
      </c>
      <c r="D18" s="9">
        <f>干渠!W128</f>
        <v>1686.92</v>
      </c>
      <c r="E18" s="9">
        <f t="shared" si="0"/>
        <v>1684.42</v>
      </c>
      <c r="F18" s="9">
        <f t="shared" si="1"/>
        <v>1684.72</v>
      </c>
      <c r="G18" s="9">
        <f t="shared" si="2"/>
        <v>2.2000000000000455</v>
      </c>
      <c r="H18" s="9">
        <v>3</v>
      </c>
    </row>
    <row r="19" spans="1:8">
      <c r="A19" s="9">
        <v>17</v>
      </c>
      <c r="B19" s="10">
        <f>干渠!C136</f>
        <v>4360</v>
      </c>
      <c r="C19" s="9">
        <f>干渠!V136</f>
        <v>1683.84</v>
      </c>
      <c r="D19" s="9">
        <f>干渠!W136</f>
        <v>1684.16</v>
      </c>
      <c r="E19" s="9">
        <f t="shared" si="0"/>
        <v>1681.66</v>
      </c>
      <c r="F19" s="9">
        <f t="shared" si="1"/>
        <v>1681.96</v>
      </c>
      <c r="G19" s="9">
        <f t="shared" si="2"/>
        <v>2.2000000000000455</v>
      </c>
      <c r="H19" s="9">
        <v>3</v>
      </c>
    </row>
    <row r="20" spans="1:8">
      <c r="A20" s="9">
        <v>18</v>
      </c>
      <c r="B20" s="10">
        <f>干渠!C143</f>
        <v>4650</v>
      </c>
      <c r="C20" s="9">
        <f>干渠!V143</f>
        <v>1681.08</v>
      </c>
      <c r="D20" s="9">
        <f>干渠!W143</f>
        <v>1681.38</v>
      </c>
      <c r="E20" s="9">
        <f t="shared" si="0"/>
        <v>1678.88</v>
      </c>
      <c r="F20" s="9">
        <f t="shared" si="1"/>
        <v>1679.18</v>
      </c>
      <c r="G20" s="9">
        <f t="shared" si="2"/>
        <v>2.2000000000000455</v>
      </c>
      <c r="H20" s="9">
        <v>3</v>
      </c>
    </row>
    <row r="21" spans="1:8">
      <c r="A21" s="9">
        <v>19</v>
      </c>
      <c r="B21" s="10">
        <f>干渠!C153</f>
        <v>5060</v>
      </c>
      <c r="C21" s="9">
        <f>干渠!V153</f>
        <v>1677.93</v>
      </c>
      <c r="D21" s="9">
        <f>干渠!W153</f>
        <v>1678.36</v>
      </c>
      <c r="E21" s="9">
        <f t="shared" si="0"/>
        <v>1675.86</v>
      </c>
      <c r="F21" s="9">
        <f t="shared" si="1"/>
        <v>1676.1599999999999</v>
      </c>
      <c r="G21" s="9">
        <f t="shared" si="2"/>
        <v>2.2000000000000455</v>
      </c>
      <c r="H21" s="9">
        <v>3</v>
      </c>
    </row>
    <row r="22" spans="1:8">
      <c r="A22" s="9">
        <v>20</v>
      </c>
      <c r="B22" s="10">
        <f>干渠!C159</f>
        <v>5290</v>
      </c>
      <c r="C22" s="9">
        <f>干渠!V159</f>
        <v>1677.06</v>
      </c>
      <c r="D22" s="9">
        <f>干渠!W159</f>
        <v>1675.7</v>
      </c>
      <c r="E22" s="9">
        <f t="shared" si="0"/>
        <v>1674.9</v>
      </c>
      <c r="F22" s="9">
        <f>D22-0.5</f>
        <v>1675.2</v>
      </c>
      <c r="G22" s="9">
        <f t="shared" si="2"/>
        <v>0.5</v>
      </c>
      <c r="H22" s="9">
        <v>3</v>
      </c>
    </row>
    <row r="23" spans="1:8">
      <c r="A23" s="9">
        <v>21</v>
      </c>
      <c r="B23" s="10">
        <f>干渠!C177</f>
        <v>6050</v>
      </c>
      <c r="C23" s="9"/>
      <c r="D23" s="9">
        <f>干渠!W177</f>
        <v>1673.69</v>
      </c>
      <c r="E23" s="9">
        <f t="shared" si="0"/>
        <v>1671.39</v>
      </c>
      <c r="F23" s="9">
        <f>干渠!W178</f>
        <v>1671.69</v>
      </c>
      <c r="G23" s="39">
        <f t="shared" si="2"/>
        <v>2</v>
      </c>
      <c r="H23" s="9">
        <v>3</v>
      </c>
    </row>
    <row r="24" spans="1:8">
      <c r="A24" s="9">
        <v>22</v>
      </c>
      <c r="B24" s="10">
        <f>干渠!C186</f>
        <v>6420</v>
      </c>
      <c r="C24" s="9"/>
      <c r="D24" s="9">
        <f>干渠!W186</f>
        <v>1670.95</v>
      </c>
      <c r="E24" s="9">
        <f t="shared" si="0"/>
        <v>1669.65</v>
      </c>
      <c r="F24" s="9">
        <f>干渠!W187</f>
        <v>1669.95</v>
      </c>
      <c r="G24" s="9">
        <f t="shared" si="2"/>
        <v>1</v>
      </c>
      <c r="H24" s="9">
        <v>3</v>
      </c>
    </row>
    <row r="25" spans="1:8">
      <c r="A25" s="9">
        <v>23</v>
      </c>
      <c r="B25" s="10" t="s">
        <v>850</v>
      </c>
      <c r="C25" s="9"/>
      <c r="D25" s="9">
        <f>'1-4支渠'!AA12</f>
        <v>1658.14</v>
      </c>
      <c r="E25" s="9">
        <f t="shared" si="0"/>
        <v>1656.94</v>
      </c>
      <c r="F25" s="9">
        <f>'1-4支渠'!AA13</f>
        <v>1657.24</v>
      </c>
      <c r="G25" s="9">
        <f t="shared" si="2"/>
        <v>0.90000000000009095</v>
      </c>
      <c r="H25" s="9">
        <v>3</v>
      </c>
    </row>
    <row r="26" spans="1:8">
      <c r="G26" s="26">
        <f>D23-E23</f>
        <v>2.2999999999999545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Sheet1</vt:lpstr>
      <vt:lpstr>Sheet2</vt:lpstr>
      <vt:lpstr>建筑物统计</vt:lpstr>
      <vt:lpstr>试算</vt:lpstr>
      <vt:lpstr>干渠</vt:lpstr>
      <vt:lpstr>支渠</vt:lpstr>
      <vt:lpstr>1-1支渠</vt:lpstr>
      <vt:lpstr>1-2支渠</vt:lpstr>
      <vt:lpstr>1-3支渠</vt:lpstr>
      <vt:lpstr>1-4支渠</vt:lpstr>
      <vt:lpstr>1-5支渠</vt:lpstr>
      <vt:lpstr>斗渠</vt:lpstr>
      <vt:lpstr>2-支渠</vt:lpstr>
      <vt:lpstr>桥</vt:lpstr>
      <vt:lpstr>涵</vt:lpstr>
      <vt:lpstr>跌水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2025-11-20T14:53:03Z</dcterms:modified>
</cp:coreProperties>
</file>