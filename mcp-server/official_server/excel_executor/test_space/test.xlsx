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artup\projects\Useit_MCP\mcp-server\official_server\excel_executor\test_space\"/>
    </mc:Choice>
  </mc:AlternateContent>
  <xr:revisionPtr revIDLastSave="0" documentId="13_ncr:1_{7978E222-F4E3-4293-9217-54C0199A525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F16" i="1"/>
  <c r="D16" i="1"/>
  <c r="E16" i="1" s="1"/>
  <c r="G16" i="1"/>
  <c r="C16" i="1"/>
  <c r="F5" i="1"/>
  <c r="F25" i="1"/>
  <c r="E25" i="1"/>
  <c r="F24" i="1"/>
  <c r="E24" i="1"/>
  <c r="F23" i="1"/>
  <c r="E23" i="1"/>
  <c r="F22" i="1"/>
  <c r="E22" i="1"/>
  <c r="F21" i="1"/>
  <c r="F20" i="1"/>
  <c r="F17" i="1"/>
  <c r="F15" i="1"/>
  <c r="F14" i="1"/>
  <c r="D14" i="1"/>
  <c r="E14" i="1" s="1"/>
  <c r="F13" i="1"/>
  <c r="D13" i="1"/>
  <c r="E13" i="1" s="1"/>
  <c r="F12" i="1"/>
  <c r="E12" i="1"/>
  <c r="F11" i="1"/>
  <c r="E11" i="1"/>
  <c r="F10" i="1"/>
  <c r="E10" i="1"/>
  <c r="F9" i="1"/>
  <c r="E9" i="1"/>
  <c r="F8" i="1"/>
  <c r="E8" i="1"/>
  <c r="G7" i="1"/>
  <c r="G8" i="1" s="1"/>
  <c r="F7" i="1"/>
  <c r="E7" i="1"/>
  <c r="J7" i="1" s="1"/>
  <c r="I6" i="1"/>
  <c r="F6" i="1"/>
  <c r="E6" i="1"/>
  <c r="J6" i="1" s="1"/>
  <c r="E5" i="1"/>
  <c r="F4" i="1"/>
  <c r="E4" i="1"/>
  <c r="G5" i="1" s="1"/>
  <c r="I5" i="1" s="1"/>
  <c r="F3" i="1"/>
  <c r="E3" i="1"/>
  <c r="G4" i="1" s="1"/>
  <c r="I4" i="1" s="1"/>
  <c r="I2" i="1"/>
  <c r="F2" i="1"/>
  <c r="E2" i="1"/>
  <c r="J2" i="1" s="1"/>
  <c r="D15" i="1" l="1"/>
  <c r="I8" i="1"/>
  <c r="G9" i="1"/>
  <c r="J9" i="1" s="1"/>
  <c r="J8" i="1"/>
  <c r="J5" i="1"/>
  <c r="I7" i="1"/>
  <c r="E15" i="1"/>
  <c r="G3" i="1"/>
  <c r="I3" i="1" s="1"/>
  <c r="D17" i="1"/>
  <c r="J4" i="1"/>
  <c r="D18" i="1" l="1"/>
  <c r="E18" i="1" s="1"/>
  <c r="D20" i="1"/>
  <c r="E20" i="1" s="1"/>
  <c r="D19" i="1"/>
  <c r="E19" i="1" s="1"/>
  <c r="D21" i="1"/>
  <c r="E21" i="1" s="1"/>
  <c r="E17" i="1"/>
  <c r="J3" i="1"/>
  <c r="G10" i="1"/>
  <c r="I9" i="1"/>
  <c r="I10" i="1" l="1"/>
  <c r="G11" i="1"/>
  <c r="J10" i="1"/>
  <c r="G12" i="1" l="1"/>
  <c r="I11" i="1"/>
  <c r="G13" i="1"/>
  <c r="J11" i="1"/>
  <c r="I13" i="1" l="1"/>
  <c r="G14" i="1"/>
  <c r="J13" i="1"/>
  <c r="I12" i="1"/>
  <c r="J12" i="1"/>
  <c r="I14" i="1" l="1"/>
  <c r="G15" i="1"/>
  <c r="J14" i="1"/>
  <c r="G17" i="1" l="1"/>
  <c r="I15" i="1"/>
  <c r="J15" i="1"/>
  <c r="G18" i="1" l="1"/>
  <c r="I17" i="1"/>
  <c r="J17" i="1"/>
  <c r="I18" i="1" l="1"/>
  <c r="G19" i="1"/>
  <c r="J18" i="1"/>
  <c r="I19" i="1" l="1"/>
  <c r="G20" i="1"/>
  <c r="J19" i="1"/>
  <c r="I20" i="1" l="1"/>
  <c r="G21" i="1"/>
  <c r="J20" i="1"/>
  <c r="I21" i="1" l="1"/>
  <c r="G22" i="1"/>
  <c r="J21" i="1"/>
  <c r="G23" i="1" l="1"/>
  <c r="I22" i="1"/>
  <c r="J22" i="1"/>
  <c r="G24" i="1" l="1"/>
  <c r="J23" i="1"/>
  <c r="I23" i="1"/>
  <c r="G25" i="1" l="1"/>
  <c r="I24" i="1"/>
  <c r="J24" i="1"/>
  <c r="I25" i="1" l="1"/>
  <c r="J25" i="1"/>
</calcChain>
</file>

<file path=xl/sharedStrings.xml><?xml version="1.0" encoding="utf-8"?>
<sst xmlns="http://schemas.openxmlformats.org/spreadsheetml/2006/main" count="23" uniqueCount="23">
  <si>
    <t>桩号m</t>
  </si>
  <si>
    <t>地面线</t>
  </si>
  <si>
    <t>K0+000</t>
  </si>
  <si>
    <t>K0+010</t>
  </si>
  <si>
    <t>K0+013</t>
  </si>
  <si>
    <t>K0+020</t>
  </si>
  <si>
    <t>K0+030</t>
  </si>
  <si>
    <t>K0+040</t>
  </si>
  <si>
    <t>K0+050</t>
  </si>
  <si>
    <t>K0+100</t>
  </si>
  <si>
    <t>K0+150</t>
  </si>
  <si>
    <t>K0+200</t>
  </si>
  <si>
    <t>K0+210</t>
  </si>
  <si>
    <t>K0+460</t>
  </si>
  <si>
    <t>K0+464</t>
  </si>
  <si>
    <t>K0+500</t>
  </si>
  <si>
    <t>K0+550</t>
  </si>
  <si>
    <t>K0+600</t>
  </si>
  <si>
    <t>地面</t>
    <phoneticPr fontId="1" type="noConversion"/>
  </si>
  <si>
    <t>比降</t>
    <phoneticPr fontId="1" type="noConversion"/>
  </si>
  <si>
    <t>渠底</t>
    <phoneticPr fontId="1" type="noConversion"/>
  </si>
  <si>
    <t>接消力池</t>
  </si>
  <si>
    <t>跌水2.2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</si>
</sst>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76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K5" sqref="K5:K23"/>
    </sheetView>
  </sheetViews>
  <sheetFormatPr defaultRowHeight="14.15" x14ac:dyDescent="0.35"/>
  <cols>
    <col min="1" max="1" width="12" customWidth="1"/>
  </cols>
  <sheetData>
    <row r="1" spans="1:11" x14ac:dyDescent="0.35">
      <c r="B1" t="s">
        <v>0</v>
      </c>
      <c r="D1" t="s">
        <v>1</v>
      </c>
      <c r="E1" t="s">
        <v>18</v>
      </c>
      <c r="F1" t="s">
        <v>19</v>
      </c>
      <c r="G1" t="s">
        <v>20</v>
      </c>
      <c r="J1" s="1"/>
    </row>
    <row r="2" spans="1:11" x14ac:dyDescent="0.35">
      <c r="B2" t="s">
        <v>2</v>
      </c>
      <c r="C2" s="2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1:11" x14ac:dyDescent="0.35">
      <c r="B3" t="s">
        <v>3</v>
      </c>
      <c r="C3" s="2">
        <v>10</v>
      </c>
      <c r="D3">
        <v>1730.0229999999999</v>
      </c>
      <c r="E3">
        <f t="shared" ref="E3:E17" si="1">ROUND(D3,2)</f>
        <v>1730.02</v>
      </c>
      <c r="F3" t="str">
        <f t="shared" ref="F3:F17" si="2">"1/"&amp;ROUND(1/K3,0)</f>
        <v>1/100</v>
      </c>
      <c r="G3">
        <f>E2-K2*(C3-C2)</f>
        <v>1730.16</v>
      </c>
      <c r="H3">
        <v>1730.16</v>
      </c>
      <c r="I3">
        <f t="shared" ref="I3:I25" si="3">G3-H3</f>
        <v>0</v>
      </c>
      <c r="J3" s="1">
        <f t="shared" si="0"/>
        <v>-0.14000000000010004</v>
      </c>
      <c r="K3">
        <v>0.01</v>
      </c>
    </row>
    <row r="4" spans="1:11" x14ac:dyDescent="0.35">
      <c r="B4" t="s">
        <v>4</v>
      </c>
      <c r="C4" s="2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1:11" x14ac:dyDescent="0.35">
      <c r="A5" t="s">
        <v>21</v>
      </c>
      <c r="B5" t="s">
        <v>5</v>
      </c>
      <c r="C5" s="2">
        <v>20</v>
      </c>
      <c r="D5">
        <v>1729.712</v>
      </c>
      <c r="E5">
        <f t="shared" si="1"/>
        <v>1729.71</v>
      </c>
      <c r="F5" t="str">
        <f>"1/"&amp;ROUND(1/K5,0)</f>
        <v>1/200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5.0000000000000001E-3</v>
      </c>
    </row>
    <row r="6" spans="1:11" x14ac:dyDescent="0.35">
      <c r="B6" s="3" t="s">
        <v>6</v>
      </c>
      <c r="C6" s="2">
        <v>30</v>
      </c>
      <c r="D6">
        <v>1729.5830000000001</v>
      </c>
      <c r="E6">
        <f t="shared" si="1"/>
        <v>1729.58</v>
      </c>
      <c r="F6" t="str">
        <f t="shared" si="2"/>
        <v>1/200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5.0000000000000001E-3</v>
      </c>
    </row>
    <row r="7" spans="1:11" x14ac:dyDescent="0.35">
      <c r="B7" t="s">
        <v>7</v>
      </c>
      <c r="C7" s="2">
        <v>40</v>
      </c>
      <c r="D7">
        <v>1729.3009999999999</v>
      </c>
      <c r="E7">
        <f t="shared" si="1"/>
        <v>1729.3</v>
      </c>
      <c r="F7" t="str">
        <f t="shared" si="2"/>
        <v>1/200</v>
      </c>
      <c r="G7">
        <f t="shared" ref="G7:G15" si="4">ROUND(G6-(C7-C6)*K6,2)</f>
        <v>1727.95</v>
      </c>
      <c r="H7">
        <v>1727.98</v>
      </c>
      <c r="I7">
        <f t="shared" si="3"/>
        <v>-2.9999999999972715E-2</v>
      </c>
      <c r="J7" s="1">
        <f t="shared" si="0"/>
        <v>1.3499999999999091</v>
      </c>
      <c r="K7">
        <v>5.0000000000000001E-3</v>
      </c>
    </row>
    <row r="8" spans="1:11" x14ac:dyDescent="0.35">
      <c r="B8" t="s">
        <v>8</v>
      </c>
      <c r="C8" s="2">
        <v>50</v>
      </c>
      <c r="D8">
        <v>1728.903</v>
      </c>
      <c r="E8">
        <f t="shared" si="1"/>
        <v>1728.9</v>
      </c>
      <c r="F8" t="str">
        <f t="shared" si="2"/>
        <v>1/200</v>
      </c>
      <c r="G8">
        <f t="shared" si="4"/>
        <v>1727.9</v>
      </c>
      <c r="H8">
        <v>1727.96</v>
      </c>
      <c r="I8">
        <f t="shared" si="3"/>
        <v>-5.999999999994543E-2</v>
      </c>
      <c r="J8" s="1">
        <f>E8-G8</f>
        <v>1</v>
      </c>
      <c r="K8">
        <v>5.0000000000000001E-3</v>
      </c>
    </row>
    <row r="9" spans="1:11" x14ac:dyDescent="0.35">
      <c r="B9" t="s">
        <v>9</v>
      </c>
      <c r="C9" s="2">
        <v>100</v>
      </c>
      <c r="D9">
        <v>1729.7280000000001</v>
      </c>
      <c r="E9">
        <f t="shared" si="1"/>
        <v>1729.73</v>
      </c>
      <c r="F9" t="str">
        <f t="shared" si="2"/>
        <v>1/200</v>
      </c>
      <c r="G9">
        <f t="shared" si="4"/>
        <v>1727.65</v>
      </c>
      <c r="H9">
        <v>1727.86</v>
      </c>
      <c r="I9">
        <f t="shared" si="3"/>
        <v>-0.20999999999980901</v>
      </c>
      <c r="J9" s="1">
        <f t="shared" si="0"/>
        <v>2.0799999999999272</v>
      </c>
      <c r="K9">
        <v>5.0000000000000001E-3</v>
      </c>
    </row>
    <row r="10" spans="1:11" x14ac:dyDescent="0.35">
      <c r="B10" t="s">
        <v>10</v>
      </c>
      <c r="C10" s="2">
        <v>150</v>
      </c>
      <c r="D10">
        <v>1728.713</v>
      </c>
      <c r="E10">
        <f t="shared" si="1"/>
        <v>1728.71</v>
      </c>
      <c r="F10" t="str">
        <f t="shared" si="2"/>
        <v>1/200</v>
      </c>
      <c r="G10">
        <f t="shared" si="4"/>
        <v>1727.4</v>
      </c>
      <c r="H10">
        <v>1727.76</v>
      </c>
      <c r="I10">
        <f t="shared" si="3"/>
        <v>-0.35999999999989996</v>
      </c>
      <c r="J10" s="1">
        <f t="shared" si="0"/>
        <v>1.3099999999999454</v>
      </c>
      <c r="K10">
        <v>5.0000000000000001E-3</v>
      </c>
    </row>
    <row r="11" spans="1:11" x14ac:dyDescent="0.35">
      <c r="B11" t="s">
        <v>11</v>
      </c>
      <c r="C11" s="2">
        <v>200</v>
      </c>
      <c r="D11">
        <v>1727.885</v>
      </c>
      <c r="E11">
        <f t="shared" si="1"/>
        <v>1727.89</v>
      </c>
      <c r="F11" t="str">
        <f t="shared" si="2"/>
        <v>1/200</v>
      </c>
      <c r="G11">
        <f t="shared" si="4"/>
        <v>1727.15</v>
      </c>
      <c r="H11">
        <v>1727.66</v>
      </c>
      <c r="I11">
        <f t="shared" si="3"/>
        <v>-0.50999999999999091</v>
      </c>
      <c r="J11" s="1">
        <f t="shared" si="0"/>
        <v>0.74000000000000909</v>
      </c>
      <c r="K11">
        <v>5.0000000000000001E-3</v>
      </c>
    </row>
    <row r="12" spans="1:11" x14ac:dyDescent="0.35">
      <c r="B12" s="1" t="s">
        <v>12</v>
      </c>
      <c r="C12" s="2">
        <v>210</v>
      </c>
      <c r="D12">
        <v>1727.7270000000001</v>
      </c>
      <c r="E12">
        <f>ROUND(D12,2)</f>
        <v>1727.73</v>
      </c>
      <c r="F12" t="str">
        <f t="shared" si="2"/>
        <v>1/200</v>
      </c>
      <c r="G12">
        <f>ROUND(G11-(C12-C11)*K11,2)</f>
        <v>1727.1</v>
      </c>
      <c r="H12">
        <v>1727.64</v>
      </c>
      <c r="I12">
        <f t="shared" si="3"/>
        <v>-0.54000000000019099</v>
      </c>
      <c r="J12" s="1">
        <f>E12-G12</f>
        <v>0.63000000000010914</v>
      </c>
      <c r="K12">
        <v>5.0000000000000001E-3</v>
      </c>
    </row>
    <row r="13" spans="1:11" x14ac:dyDescent="0.35">
      <c r="B13" s="4"/>
      <c r="C13" s="2">
        <v>250</v>
      </c>
      <c r="D13">
        <f>D11-0.014*(C13-C11)</f>
        <v>1727.1849999999999</v>
      </c>
      <c r="E13">
        <f>ROUND(D13,2)</f>
        <v>1727.19</v>
      </c>
      <c r="F13" t="str">
        <f t="shared" si="2"/>
        <v>1/200</v>
      </c>
      <c r="G13">
        <f>ROUND(G11-(C13-C11)*K11,2)</f>
        <v>1726.9</v>
      </c>
      <c r="H13">
        <v>1727.56</v>
      </c>
      <c r="I13">
        <f t="shared" si="3"/>
        <v>-0.65999999999985448</v>
      </c>
      <c r="J13" s="1">
        <f>E13-G13</f>
        <v>0.28999999999996362</v>
      </c>
      <c r="K13">
        <v>5.0000000000000001E-3</v>
      </c>
    </row>
    <row r="14" spans="1:11" x14ac:dyDescent="0.35">
      <c r="B14" s="4"/>
      <c r="C14" s="2">
        <v>300</v>
      </c>
      <c r="D14">
        <f>D11-0.014*(C14-C11)</f>
        <v>1726.4849999999999</v>
      </c>
      <c r="E14">
        <f t="shared" si="1"/>
        <v>1726.49</v>
      </c>
      <c r="F14" t="str">
        <f t="shared" si="2"/>
        <v>1/200</v>
      </c>
      <c r="G14">
        <f t="shared" si="4"/>
        <v>1726.65</v>
      </c>
      <c r="H14">
        <v>1727.46</v>
      </c>
      <c r="I14">
        <f t="shared" si="3"/>
        <v>-0.80999999999994543</v>
      </c>
      <c r="J14" s="1">
        <f>E14-G14</f>
        <v>-0.16000000000008185</v>
      </c>
      <c r="K14">
        <v>5.0000000000000001E-3</v>
      </c>
    </row>
    <row r="15" spans="1:11" x14ac:dyDescent="0.35">
      <c r="A15" t="s">
        <v>22</v>
      </c>
      <c r="B15" s="4"/>
      <c r="C15" s="2">
        <v>350</v>
      </c>
      <c r="D15">
        <f>D13-0.014*(C15-C13)</f>
        <v>1725.7849999999999</v>
      </c>
      <c r="E15">
        <f t="shared" si="1"/>
        <v>1725.79</v>
      </c>
      <c r="F15" t="str">
        <f t="shared" si="2"/>
        <v>1/200</v>
      </c>
      <c r="G15">
        <f t="shared" si="4"/>
        <v>1726.4</v>
      </c>
      <c r="H15">
        <v>1727.36</v>
      </c>
      <c r="I15">
        <f t="shared" si="3"/>
        <v>-0.95999999999980901</v>
      </c>
      <c r="J15" s="1">
        <f>E15-G15</f>
        <v>-0.61000000000012733</v>
      </c>
      <c r="K15">
        <v>5.0000000000000001E-3</v>
      </c>
    </row>
    <row r="16" spans="1:11" x14ac:dyDescent="0.35">
      <c r="B16" s="4"/>
      <c r="C16" s="2">
        <f>C15+3</f>
        <v>353</v>
      </c>
      <c r="D16">
        <f>D14-0.014*(C16-C14)</f>
        <v>1725.7429999999999</v>
      </c>
      <c r="E16">
        <f t="shared" ref="E16" si="5">ROUND(D16,2)</f>
        <v>1725.74</v>
      </c>
      <c r="F16" t="str">
        <f t="shared" ref="F16" si="6">"1/"&amp;ROUND(1/K16,0)</f>
        <v>1/200</v>
      </c>
      <c r="G16">
        <f>G15-2.2</f>
        <v>1724.2</v>
      </c>
      <c r="H16">
        <v>1727.36</v>
      </c>
      <c r="I16">
        <f t="shared" ref="I16" si="7">G16-H16</f>
        <v>-3.1599999999998545</v>
      </c>
      <c r="J16" s="1">
        <f>E16-G16</f>
        <v>1.5399999999999636</v>
      </c>
      <c r="K16">
        <v>5.0000000000000001E-3</v>
      </c>
    </row>
    <row r="17" spans="2:11" x14ac:dyDescent="0.35">
      <c r="B17" s="4"/>
      <c r="C17" s="2">
        <v>400</v>
      </c>
      <c r="D17">
        <f>D14-0.014*(C17-C14)</f>
        <v>1725.0849999999998</v>
      </c>
      <c r="E17">
        <f t="shared" si="1"/>
        <v>1725.09</v>
      </c>
      <c r="F17" t="str">
        <f t="shared" si="2"/>
        <v>1/200</v>
      </c>
      <c r="G17">
        <f>ROUND(G15-(C17-C15)*K15,2)</f>
        <v>1726.15</v>
      </c>
      <c r="H17">
        <v>1727.26</v>
      </c>
      <c r="I17">
        <f t="shared" si="3"/>
        <v>-1.1099999999999</v>
      </c>
      <c r="J17" s="1">
        <f>E17-G17</f>
        <v>-1.0600000000001728</v>
      </c>
      <c r="K17">
        <v>5.0000000000000001E-3</v>
      </c>
    </row>
    <row r="18" spans="2:11" x14ac:dyDescent="0.35">
      <c r="B18" s="4"/>
      <c r="C18" s="2">
        <v>420</v>
      </c>
      <c r="D18">
        <f>D15-0.014*(C18-C15)</f>
        <v>1724.8049999999998</v>
      </c>
      <c r="E18">
        <f>ROUND(D18,2)</f>
        <v>1724.81</v>
      </c>
      <c r="G18">
        <f>ROUND(G17-(C18-C17)*K17,2)</f>
        <v>1726.05</v>
      </c>
      <c r="H18">
        <v>1727.22</v>
      </c>
      <c r="I18">
        <f t="shared" si="3"/>
        <v>-1.1700000000000728</v>
      </c>
      <c r="J18" s="1">
        <f t="shared" ref="J18:J25" si="8">E18-G18</f>
        <v>-1.2400000000000091</v>
      </c>
      <c r="K18">
        <v>5.0000000000000001E-3</v>
      </c>
    </row>
    <row r="19" spans="2:11" x14ac:dyDescent="0.35">
      <c r="B19" s="4"/>
      <c r="C19" s="2">
        <v>423</v>
      </c>
      <c r="D19">
        <f t="shared" ref="D19" si="9">D17-0.014*(C19-C17)</f>
        <v>1724.7629999999999</v>
      </c>
      <c r="E19">
        <f>ROUND(D19,2)</f>
        <v>1724.76</v>
      </c>
      <c r="G19">
        <f>G18-2.2</f>
        <v>1723.85</v>
      </c>
      <c r="H19">
        <v>1725.02</v>
      </c>
      <c r="I19">
        <f t="shared" si="3"/>
        <v>-1.1700000000000728</v>
      </c>
      <c r="J19" s="1">
        <f t="shared" si="8"/>
        <v>0.91000000000008185</v>
      </c>
      <c r="K19">
        <v>5.0000000000000001E-3</v>
      </c>
    </row>
    <row r="20" spans="2:11" x14ac:dyDescent="0.35">
      <c r="B20" s="4"/>
      <c r="C20" s="2">
        <v>430</v>
      </c>
      <c r="D20">
        <f>D15-0.014*(C20-C15)</f>
        <v>1724.665</v>
      </c>
      <c r="E20">
        <f t="shared" ref="E20:E25" si="10">ROUND(D20,2)</f>
        <v>1724.67</v>
      </c>
      <c r="F20" t="str">
        <f t="shared" ref="F20:F25" si="11">"1/"&amp;ROUND(1/K20,0)</f>
        <v>1/200</v>
      </c>
      <c r="G20">
        <f>ROUND(G19-(C20-C19-5)*K19,2)</f>
        <v>1723.84</v>
      </c>
      <c r="H20">
        <v>1725.02</v>
      </c>
      <c r="I20">
        <f t="shared" si="3"/>
        <v>-1.1800000000000637</v>
      </c>
      <c r="J20" s="1">
        <f t="shared" si="8"/>
        <v>0.83000000000015461</v>
      </c>
      <c r="K20">
        <v>5.0000000000000001E-3</v>
      </c>
    </row>
    <row r="21" spans="2:11" x14ac:dyDescent="0.35">
      <c r="B21" s="4" t="s">
        <v>13</v>
      </c>
      <c r="C21" s="2">
        <v>460</v>
      </c>
      <c r="D21">
        <f>D17-0.014*(C21-C17)</f>
        <v>1724.2449999999999</v>
      </c>
      <c r="E21">
        <f t="shared" si="10"/>
        <v>1724.25</v>
      </c>
      <c r="F21" t="str">
        <f t="shared" si="11"/>
        <v>1/200</v>
      </c>
      <c r="G21">
        <f t="shared" ref="G21:G25" si="12">ROUND(G20-(C21-C20)*K20,2)</f>
        <v>1723.69</v>
      </c>
      <c r="H21">
        <v>1724.96</v>
      </c>
      <c r="I21">
        <f t="shared" si="3"/>
        <v>-1.2699999999999818</v>
      </c>
      <c r="J21" s="1">
        <f t="shared" si="8"/>
        <v>0.55999999999994543</v>
      </c>
      <c r="K21">
        <v>5.0000000000000001E-3</v>
      </c>
    </row>
    <row r="22" spans="2:11" x14ac:dyDescent="0.35">
      <c r="B22" s="5" t="s">
        <v>14</v>
      </c>
      <c r="C22" s="2">
        <v>464</v>
      </c>
      <c r="D22">
        <v>1724.03</v>
      </c>
      <c r="E22">
        <f t="shared" si="10"/>
        <v>1724.03</v>
      </c>
      <c r="F22" t="str">
        <f t="shared" si="11"/>
        <v>1/200</v>
      </c>
      <c r="G22">
        <f t="shared" si="12"/>
        <v>1723.67</v>
      </c>
      <c r="H22">
        <v>1724.95</v>
      </c>
      <c r="I22">
        <f t="shared" si="3"/>
        <v>-1.2799999999999727</v>
      </c>
      <c r="J22" s="1">
        <f t="shared" si="8"/>
        <v>0.35999999999989996</v>
      </c>
      <c r="K22">
        <v>5.0000000000000001E-3</v>
      </c>
    </row>
    <row r="23" spans="2:11" x14ac:dyDescent="0.35">
      <c r="B23" t="s">
        <v>15</v>
      </c>
      <c r="C23" s="2">
        <v>500</v>
      </c>
      <c r="D23">
        <v>1723.4590000000001</v>
      </c>
      <c r="E23">
        <f t="shared" si="10"/>
        <v>1723.46</v>
      </c>
      <c r="F23" t="str">
        <f t="shared" si="11"/>
        <v>1/200</v>
      </c>
      <c r="G23">
        <f t="shared" si="12"/>
        <v>1723.49</v>
      </c>
      <c r="H23">
        <v>1724.88</v>
      </c>
      <c r="I23">
        <f t="shared" si="3"/>
        <v>-1.3900000000001</v>
      </c>
      <c r="J23" s="1">
        <f t="shared" si="8"/>
        <v>-2.9999999999972715E-2</v>
      </c>
      <c r="K23">
        <v>5.0000000000000001E-3</v>
      </c>
    </row>
    <row r="24" spans="2:11" x14ac:dyDescent="0.35">
      <c r="B24" t="s">
        <v>16</v>
      </c>
      <c r="C24" s="2">
        <v>550</v>
      </c>
      <c r="D24">
        <v>1722.885</v>
      </c>
      <c r="E24">
        <f t="shared" si="10"/>
        <v>1722.89</v>
      </c>
      <c r="F24" t="str">
        <f t="shared" si="11"/>
        <v>1/200</v>
      </c>
      <c r="G24">
        <f t="shared" si="12"/>
        <v>1723.24</v>
      </c>
      <c r="H24">
        <v>1724.78</v>
      </c>
      <c r="I24">
        <f t="shared" si="3"/>
        <v>-1.5399999999999636</v>
      </c>
      <c r="J24" s="1">
        <f t="shared" si="8"/>
        <v>-0.34999999999990905</v>
      </c>
      <c r="K24">
        <v>5.0000000000000001E-3</v>
      </c>
    </row>
    <row r="25" spans="2:11" x14ac:dyDescent="0.35">
      <c r="B25" t="s">
        <v>17</v>
      </c>
      <c r="C25" s="2">
        <v>600</v>
      </c>
      <c r="D25">
        <v>1722.3789999999999</v>
      </c>
      <c r="E25">
        <f t="shared" si="10"/>
        <v>1722.38</v>
      </c>
      <c r="F25" t="str">
        <f t="shared" si="11"/>
        <v>1/100</v>
      </c>
      <c r="G25">
        <f t="shared" si="12"/>
        <v>1722.99</v>
      </c>
      <c r="H25">
        <v>1724.68</v>
      </c>
      <c r="I25">
        <f t="shared" si="3"/>
        <v>-1.6900000000000546</v>
      </c>
      <c r="J25" s="1">
        <f t="shared" si="8"/>
        <v>-0.60999999999989996</v>
      </c>
      <c r="K25">
        <v>0.01</v>
      </c>
    </row>
    <row r="26" spans="2:11" x14ac:dyDescent="0.35">
      <c r="C26" s="2"/>
      <c r="J26" s="1"/>
    </row>
    <row r="27" spans="2:11" x14ac:dyDescent="0.35">
      <c r="C27" s="2"/>
      <c r="J27" s="1"/>
    </row>
    <row r="28" spans="2:11" x14ac:dyDescent="0.35">
      <c r="C28" s="2"/>
      <c r="J28" s="1"/>
    </row>
    <row r="29" spans="2:11" x14ac:dyDescent="0.35">
      <c r="C29" s="2"/>
      <c r="J29" s="1"/>
    </row>
    <row r="30" spans="2:11" x14ac:dyDescent="0.35">
      <c r="C30" s="2"/>
      <c r="J30" s="1"/>
    </row>
    <row r="31" spans="2:11" x14ac:dyDescent="0.35">
      <c r="C31" s="2"/>
      <c r="J31" s="1"/>
    </row>
    <row r="32" spans="2:11" x14ac:dyDescent="0.35">
      <c r="C32" s="2"/>
      <c r="J32" s="1"/>
    </row>
    <row r="33" spans="3:10" x14ac:dyDescent="0.35">
      <c r="C33" s="2"/>
      <c r="J33" s="1"/>
    </row>
    <row r="34" spans="3:10" x14ac:dyDescent="0.35">
      <c r="C34" s="2"/>
      <c r="J34" s="1"/>
    </row>
    <row r="35" spans="3:10" x14ac:dyDescent="0.35">
      <c r="C35" s="2"/>
      <c r="J3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Clarifiedfish Lee</dc:creator>
  <cp:lastModifiedBy>Clarifiedfish Lee</cp:lastModifiedBy>
  <dcterms:created xsi:type="dcterms:W3CDTF">2015-06-05T18:19:34Z</dcterms:created>
  <dcterms:modified xsi:type="dcterms:W3CDTF">2025-11-21T02:44:03Z</dcterms:modified>
</cp:coreProperties>
</file>